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1910ADFF-45B9-469D-A6C7-3A4A722A9733}" xr6:coauthVersionLast="47" xr6:coauthVersionMax="47" xr10:uidLastSave="{00000000-0000-0000-0000-000000000000}"/>
  <bookViews>
    <workbookView xWindow="-120" yWindow="-120" windowWidth="20730" windowHeight="11160" activeTab="1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3" l="1"/>
  <c r="K10" i="3"/>
  <c r="M10" i="3"/>
  <c r="Q10" i="3"/>
  <c r="R10" i="3"/>
  <c r="S10" i="3" s="1"/>
  <c r="B254" i="4"/>
  <c r="C254" i="4"/>
  <c r="F254" i="4"/>
  <c r="J254" i="4"/>
  <c r="M254" i="4"/>
  <c r="P254" i="4"/>
  <c r="T254" i="4"/>
  <c r="U254" i="4"/>
  <c r="V254" i="4" s="1"/>
  <c r="B253" i="4"/>
  <c r="C253" i="4"/>
  <c r="F253" i="4"/>
  <c r="J253" i="4"/>
  <c r="M253" i="4"/>
  <c r="P253" i="4"/>
  <c r="T253" i="4"/>
  <c r="U253" i="4"/>
  <c r="V253" i="4" s="1"/>
  <c r="B252" i="4"/>
  <c r="C252" i="4"/>
  <c r="F252" i="4"/>
  <c r="J252" i="4"/>
  <c r="M252" i="4"/>
  <c r="P252" i="4"/>
  <c r="T252" i="4"/>
  <c r="U252" i="4"/>
  <c r="V252" i="4" s="1"/>
  <c r="B251" i="4"/>
  <c r="C251" i="4"/>
  <c r="F251" i="4"/>
  <c r="J251" i="4"/>
  <c r="M251" i="4"/>
  <c r="P251" i="4"/>
  <c r="T251" i="4"/>
  <c r="U251" i="4"/>
  <c r="V251" i="4" s="1"/>
  <c r="B250" i="4"/>
  <c r="C250" i="4"/>
  <c r="F250" i="4"/>
  <c r="J250" i="4"/>
  <c r="M250" i="4"/>
  <c r="P250" i="4"/>
  <c r="T250" i="4"/>
  <c r="U250" i="4"/>
  <c r="V250" i="4" s="1"/>
  <c r="B249" i="4"/>
  <c r="C249" i="4"/>
  <c r="F249" i="4"/>
  <c r="J249" i="4"/>
  <c r="M249" i="4"/>
  <c r="P249" i="4"/>
  <c r="T249" i="4"/>
  <c r="U249" i="4"/>
  <c r="V249" i="4" s="1"/>
  <c r="B248" i="4"/>
  <c r="C248" i="4"/>
  <c r="F248" i="4"/>
  <c r="J248" i="4"/>
  <c r="M248" i="4"/>
  <c r="P248" i="4"/>
  <c r="T248" i="4"/>
  <c r="U248" i="4"/>
  <c r="V248" i="4" s="1"/>
  <c r="M247" i="4"/>
  <c r="B247" i="4"/>
  <c r="C247" i="4"/>
  <c r="F247" i="4"/>
  <c r="J247" i="4"/>
  <c r="P247" i="4"/>
  <c r="T247" i="4"/>
  <c r="U247" i="4"/>
  <c r="V247" i="4" s="1"/>
  <c r="B246" i="4"/>
  <c r="C246" i="4"/>
  <c r="F246" i="4"/>
  <c r="J246" i="4"/>
  <c r="M246" i="4"/>
  <c r="P246" i="4"/>
  <c r="T246" i="4"/>
  <c r="U246" i="4"/>
  <c r="V246" i="4" s="1"/>
  <c r="B245" i="4"/>
  <c r="C245" i="4"/>
  <c r="F245" i="4"/>
  <c r="J245" i="4"/>
  <c r="M245" i="4"/>
  <c r="P245" i="4"/>
  <c r="T245" i="4"/>
  <c r="U245" i="4"/>
  <c r="V245" i="4" s="1"/>
  <c r="B244" i="4"/>
  <c r="C244" i="4"/>
  <c r="F244" i="4"/>
  <c r="J244" i="4"/>
  <c r="M244" i="4"/>
  <c r="P244" i="4"/>
  <c r="T244" i="4"/>
  <c r="U244" i="4"/>
  <c r="V244" i="4" s="1"/>
  <c r="B243" i="4"/>
  <c r="C243" i="4"/>
  <c r="F243" i="4"/>
  <c r="J243" i="4"/>
  <c r="M243" i="4"/>
  <c r="P243" i="4"/>
  <c r="T243" i="4"/>
  <c r="U243" i="4"/>
  <c r="V243" i="4" s="1"/>
  <c r="B242" i="4"/>
  <c r="C242" i="4"/>
  <c r="F242" i="4"/>
  <c r="J242" i="4"/>
  <c r="M242" i="4"/>
  <c r="P242" i="4"/>
  <c r="T242" i="4"/>
  <c r="U242" i="4"/>
  <c r="V242" i="4" s="1"/>
  <c r="B241" i="4"/>
  <c r="C241" i="4"/>
  <c r="F241" i="4"/>
  <c r="J241" i="4"/>
  <c r="M241" i="4"/>
  <c r="P241" i="4"/>
  <c r="T241" i="4"/>
  <c r="U241" i="4"/>
  <c r="V241" i="4" s="1"/>
  <c r="B240" i="4"/>
  <c r="C240" i="4"/>
  <c r="F240" i="4"/>
  <c r="J240" i="4"/>
  <c r="M240" i="4"/>
  <c r="P240" i="4"/>
  <c r="T240" i="4"/>
  <c r="U240" i="4"/>
  <c r="V240" i="4" s="1"/>
  <c r="B239" i="4"/>
  <c r="C239" i="4"/>
  <c r="F239" i="4"/>
  <c r="J239" i="4"/>
  <c r="M239" i="4"/>
  <c r="P239" i="4"/>
  <c r="T239" i="4"/>
  <c r="U239" i="4"/>
  <c r="V239" i="4" s="1"/>
  <c r="B238" i="4"/>
  <c r="C238" i="4"/>
  <c r="F238" i="4"/>
  <c r="J238" i="4"/>
  <c r="M238" i="4"/>
  <c r="P238" i="4"/>
  <c r="T238" i="4"/>
  <c r="U238" i="4"/>
  <c r="V238" i="4" s="1"/>
  <c r="B237" i="4"/>
  <c r="C237" i="4"/>
  <c r="F237" i="4"/>
  <c r="J237" i="4"/>
  <c r="M237" i="4"/>
  <c r="P237" i="4"/>
  <c r="T237" i="4"/>
  <c r="U237" i="4"/>
  <c r="V237" i="4" s="1"/>
  <c r="B236" i="4"/>
  <c r="C236" i="4"/>
  <c r="F236" i="4"/>
  <c r="J236" i="4"/>
  <c r="M236" i="4"/>
  <c r="P236" i="4"/>
  <c r="T236" i="4"/>
  <c r="U236" i="4"/>
  <c r="V236" i="4" s="1"/>
  <c r="B235" i="4"/>
  <c r="C235" i="4"/>
  <c r="F235" i="4"/>
  <c r="J235" i="4"/>
  <c r="M235" i="4"/>
  <c r="P235" i="4"/>
  <c r="T235" i="4"/>
  <c r="U235" i="4"/>
  <c r="V235" i="4" s="1"/>
  <c r="B234" i="4"/>
  <c r="C234" i="4"/>
  <c r="F234" i="4"/>
  <c r="J234" i="4"/>
  <c r="M234" i="4"/>
  <c r="P234" i="4"/>
  <c r="T234" i="4"/>
  <c r="U234" i="4"/>
  <c r="V234" i="4" s="1"/>
  <c r="B233" i="4"/>
  <c r="C233" i="4"/>
  <c r="F233" i="4"/>
  <c r="J233" i="4"/>
  <c r="M233" i="4"/>
  <c r="P233" i="4"/>
  <c r="T233" i="4"/>
  <c r="U233" i="4"/>
  <c r="V233" i="4" s="1"/>
  <c r="B232" i="4"/>
  <c r="C232" i="4"/>
  <c r="F232" i="4"/>
  <c r="J232" i="4"/>
  <c r="M232" i="4"/>
  <c r="P232" i="4"/>
  <c r="T232" i="4"/>
  <c r="U232" i="4"/>
  <c r="V232" i="4" s="1"/>
  <c r="B231" i="4"/>
  <c r="C231" i="4"/>
  <c r="F231" i="4"/>
  <c r="J231" i="4"/>
  <c r="M231" i="4"/>
  <c r="P231" i="4"/>
  <c r="T231" i="4"/>
  <c r="U231" i="4"/>
  <c r="V231" i="4" s="1"/>
  <c r="B230" i="4"/>
  <c r="C230" i="4"/>
  <c r="F230" i="4"/>
  <c r="J230" i="4"/>
  <c r="M230" i="4"/>
  <c r="P230" i="4"/>
  <c r="T230" i="4"/>
  <c r="U230" i="4"/>
  <c r="V230" i="4" s="1"/>
  <c r="B229" i="4"/>
  <c r="C229" i="4"/>
  <c r="F229" i="4"/>
  <c r="J229" i="4"/>
  <c r="M229" i="4"/>
  <c r="P229" i="4"/>
  <c r="T229" i="4"/>
  <c r="U229" i="4"/>
  <c r="V229" i="4" s="1"/>
  <c r="B228" i="4"/>
  <c r="C228" i="4"/>
  <c r="F228" i="4"/>
  <c r="J228" i="4"/>
  <c r="M228" i="4"/>
  <c r="P228" i="4"/>
  <c r="T228" i="4"/>
  <c r="U228" i="4"/>
  <c r="V228" i="4" s="1"/>
  <c r="B227" i="4"/>
  <c r="C227" i="4"/>
  <c r="F227" i="4"/>
  <c r="J227" i="4"/>
  <c r="M227" i="4"/>
  <c r="P227" i="4"/>
  <c r="T227" i="4"/>
  <c r="U227" i="4"/>
  <c r="V227" i="4" s="1"/>
  <c r="B226" i="4"/>
  <c r="C226" i="4"/>
  <c r="F226" i="4"/>
  <c r="J226" i="4"/>
  <c r="M226" i="4"/>
  <c r="P226" i="4"/>
  <c r="T226" i="4"/>
  <c r="U226" i="4"/>
  <c r="V226" i="4" s="1"/>
  <c r="B225" i="4"/>
  <c r="C225" i="4"/>
  <c r="F225" i="4"/>
  <c r="J225" i="4"/>
  <c r="M225" i="4"/>
  <c r="P225" i="4"/>
  <c r="T225" i="4"/>
  <c r="U225" i="4"/>
  <c r="V225" i="4" s="1"/>
  <c r="B224" i="4"/>
  <c r="C224" i="4"/>
  <c r="F224" i="4"/>
  <c r="J224" i="4"/>
  <c r="M224" i="4"/>
  <c r="P224" i="4"/>
  <c r="T224" i="4"/>
  <c r="U224" i="4"/>
  <c r="V224" i="4" s="1"/>
  <c r="B223" i="4"/>
  <c r="C223" i="4"/>
  <c r="F223" i="4"/>
  <c r="J223" i="4"/>
  <c r="M223" i="4"/>
  <c r="P223" i="4"/>
  <c r="T223" i="4"/>
  <c r="U223" i="4"/>
  <c r="V223" i="4" s="1"/>
  <c r="B222" i="4"/>
  <c r="C222" i="4"/>
  <c r="F222" i="4"/>
  <c r="J222" i="4"/>
  <c r="M222" i="4"/>
  <c r="P222" i="4"/>
  <c r="T222" i="4"/>
  <c r="U222" i="4"/>
  <c r="V222" i="4" s="1"/>
  <c r="B221" i="4"/>
  <c r="C221" i="4"/>
  <c r="F221" i="4"/>
  <c r="J221" i="4"/>
  <c r="M221" i="4"/>
  <c r="P221" i="4"/>
  <c r="T221" i="4"/>
  <c r="U221" i="4"/>
  <c r="V221" i="4" s="1"/>
  <c r="B220" i="4"/>
  <c r="C220" i="4"/>
  <c r="F220" i="4"/>
  <c r="J220" i="4"/>
  <c r="M220" i="4"/>
  <c r="P220" i="4"/>
  <c r="T220" i="4"/>
  <c r="U220" i="4"/>
  <c r="V220" i="4" s="1"/>
  <c r="B219" i="4"/>
  <c r="C219" i="4"/>
  <c r="F219" i="4"/>
  <c r="J219" i="4"/>
  <c r="M219" i="4"/>
  <c r="P219" i="4"/>
  <c r="T219" i="4"/>
  <c r="U219" i="4"/>
  <c r="V219" i="4" s="1"/>
  <c r="B218" i="4"/>
  <c r="C218" i="4"/>
  <c r="F218" i="4"/>
  <c r="J218" i="4"/>
  <c r="M218" i="4"/>
  <c r="P218" i="4"/>
  <c r="T218" i="4"/>
  <c r="U218" i="4"/>
  <c r="V218" i="4" s="1"/>
  <c r="B217" i="4"/>
  <c r="C217" i="4"/>
  <c r="F217" i="4"/>
  <c r="J217" i="4"/>
  <c r="M217" i="4"/>
  <c r="P217" i="4"/>
  <c r="T217" i="4"/>
  <c r="U217" i="4"/>
  <c r="V217" i="4" s="1"/>
  <c r="B216" i="4"/>
  <c r="C216" i="4"/>
  <c r="F216" i="4"/>
  <c r="J216" i="4"/>
  <c r="M216" i="4"/>
  <c r="P216" i="4"/>
  <c r="T216" i="4"/>
  <c r="U216" i="4"/>
  <c r="V216" i="4" s="1"/>
  <c r="B215" i="4"/>
  <c r="C215" i="4"/>
  <c r="F215" i="4"/>
  <c r="J215" i="4"/>
  <c r="M215" i="4"/>
  <c r="P215" i="4"/>
  <c r="T215" i="4"/>
  <c r="U215" i="4"/>
  <c r="V215" i="4" s="1"/>
  <c r="B214" i="4"/>
  <c r="C214" i="4"/>
  <c r="F214" i="4"/>
  <c r="J214" i="4"/>
  <c r="M214" i="4"/>
  <c r="P214" i="4"/>
  <c r="T214" i="4"/>
  <c r="U214" i="4"/>
  <c r="V214" i="4" s="1"/>
  <c r="B213" i="4"/>
  <c r="C213" i="4"/>
  <c r="F213" i="4"/>
  <c r="J213" i="4"/>
  <c r="M213" i="4"/>
  <c r="P213" i="4"/>
  <c r="T213" i="4"/>
  <c r="U213" i="4"/>
  <c r="V213" i="4" s="1"/>
  <c r="B212" i="4"/>
  <c r="C212" i="4"/>
  <c r="F212" i="4"/>
  <c r="J212" i="4"/>
  <c r="M212" i="4"/>
  <c r="P212" i="4"/>
  <c r="T212" i="4"/>
  <c r="U212" i="4"/>
  <c r="V212" i="4" s="1"/>
  <c r="B211" i="4"/>
  <c r="C211" i="4"/>
  <c r="F211" i="4"/>
  <c r="J211" i="4"/>
  <c r="M211" i="4"/>
  <c r="P211" i="4"/>
  <c r="T211" i="4"/>
  <c r="U211" i="4"/>
  <c r="V211" i="4" s="1"/>
  <c r="B210" i="4"/>
  <c r="C210" i="4"/>
  <c r="F210" i="4"/>
  <c r="J210" i="4"/>
  <c r="M210" i="4"/>
  <c r="P210" i="4"/>
  <c r="T210" i="4"/>
  <c r="U210" i="4"/>
  <c r="V210" i="4" s="1"/>
  <c r="B209" i="4"/>
  <c r="C209" i="4"/>
  <c r="F209" i="4"/>
  <c r="J209" i="4"/>
  <c r="M209" i="4"/>
  <c r="P209" i="4"/>
  <c r="T209" i="4"/>
  <c r="U209" i="4"/>
  <c r="V209" i="4" s="1"/>
  <c r="B208" i="4"/>
  <c r="C208" i="4"/>
  <c r="F208" i="4"/>
  <c r="J208" i="4"/>
  <c r="M208" i="4"/>
  <c r="P208" i="4"/>
  <c r="T208" i="4"/>
  <c r="U208" i="4"/>
  <c r="V208" i="4" s="1"/>
  <c r="B207" i="4"/>
  <c r="C207" i="4"/>
  <c r="F207" i="4"/>
  <c r="J207" i="4"/>
  <c r="M207" i="4"/>
  <c r="P207" i="4"/>
  <c r="T207" i="4"/>
  <c r="U207" i="4"/>
  <c r="V207" i="4" s="1"/>
  <c r="B206" i="4"/>
  <c r="C206" i="4"/>
  <c r="F206" i="4"/>
  <c r="J206" i="4"/>
  <c r="M206" i="4"/>
  <c r="P206" i="4"/>
  <c r="T206" i="4"/>
  <c r="U206" i="4"/>
  <c r="V206" i="4" s="1"/>
  <c r="B205" i="4"/>
  <c r="C205" i="4"/>
  <c r="F205" i="4"/>
  <c r="J205" i="4"/>
  <c r="M205" i="4"/>
  <c r="P205" i="4"/>
  <c r="T205" i="4"/>
  <c r="U205" i="4"/>
  <c r="V205" i="4" s="1"/>
  <c r="B204" i="4"/>
  <c r="C204" i="4"/>
  <c r="F204" i="4"/>
  <c r="J204" i="4"/>
  <c r="M204" i="4"/>
  <c r="P204" i="4"/>
  <c r="T204" i="4"/>
  <c r="U204" i="4"/>
  <c r="V204" i="4" s="1"/>
  <c r="B203" i="4"/>
  <c r="C203" i="4"/>
  <c r="F203" i="4"/>
  <c r="J203" i="4"/>
  <c r="M203" i="4"/>
  <c r="P203" i="4"/>
  <c r="T203" i="4"/>
  <c r="U203" i="4"/>
  <c r="V203" i="4" s="1"/>
  <c r="B202" i="4"/>
  <c r="C202" i="4"/>
  <c r="F202" i="4"/>
  <c r="J202" i="4"/>
  <c r="M202" i="4"/>
  <c r="P202" i="4"/>
  <c r="T202" i="4"/>
  <c r="U202" i="4"/>
  <c r="V202" i="4" s="1"/>
  <c r="B201" i="4"/>
  <c r="C201" i="4"/>
  <c r="F201" i="4"/>
  <c r="J201" i="4"/>
  <c r="M201" i="4"/>
  <c r="P201" i="4"/>
  <c r="T201" i="4"/>
  <c r="U201" i="4"/>
  <c r="V201" i="4" s="1"/>
  <c r="B200" i="4"/>
  <c r="C200" i="4"/>
  <c r="F200" i="4"/>
  <c r="J200" i="4"/>
  <c r="M200" i="4"/>
  <c r="P200" i="4"/>
  <c r="T200" i="4"/>
  <c r="U200" i="4"/>
  <c r="V200" i="4" s="1"/>
  <c r="B199" i="4"/>
  <c r="C199" i="4"/>
  <c r="F199" i="4"/>
  <c r="J199" i="4"/>
  <c r="M199" i="4"/>
  <c r="P199" i="4"/>
  <c r="T199" i="4"/>
  <c r="U199" i="4"/>
  <c r="V199" i="4" s="1"/>
  <c r="B198" i="4"/>
  <c r="C198" i="4"/>
  <c r="F198" i="4"/>
  <c r="J198" i="4"/>
  <c r="M198" i="4"/>
  <c r="P198" i="4"/>
  <c r="T198" i="4"/>
  <c r="U198" i="4"/>
  <c r="V198" i="4" s="1"/>
  <c r="B197" i="4"/>
  <c r="C197" i="4"/>
  <c r="F197" i="4"/>
  <c r="J197" i="4"/>
  <c r="M197" i="4"/>
  <c r="P197" i="4"/>
  <c r="T197" i="4"/>
  <c r="U197" i="4"/>
  <c r="V197" i="4" s="1"/>
  <c r="B196" i="4"/>
  <c r="C196" i="4"/>
  <c r="F196" i="4"/>
  <c r="J196" i="4"/>
  <c r="M196" i="4"/>
  <c r="P196" i="4"/>
  <c r="T196" i="4"/>
  <c r="U196" i="4"/>
  <c r="V196" i="4" s="1"/>
  <c r="B195" i="4"/>
  <c r="C195" i="4"/>
  <c r="F195" i="4"/>
  <c r="J195" i="4"/>
  <c r="M195" i="4"/>
  <c r="P195" i="4"/>
  <c r="T195" i="4"/>
  <c r="U195" i="4"/>
  <c r="V195" i="4" s="1"/>
  <c r="B194" i="4"/>
  <c r="C194" i="4"/>
  <c r="F194" i="4"/>
  <c r="J194" i="4"/>
  <c r="M194" i="4"/>
  <c r="P194" i="4"/>
  <c r="T194" i="4"/>
  <c r="U194" i="4"/>
  <c r="V194" i="4" s="1"/>
  <c r="B193" i="4"/>
  <c r="C193" i="4"/>
  <c r="F193" i="4"/>
  <c r="J193" i="4"/>
  <c r="M193" i="4"/>
  <c r="P193" i="4"/>
  <c r="T193" i="4"/>
  <c r="U193" i="4"/>
  <c r="V193" i="4" s="1"/>
  <c r="B192" i="4"/>
  <c r="C192" i="4"/>
  <c r="F192" i="4"/>
  <c r="J192" i="4"/>
  <c r="M192" i="4"/>
  <c r="P192" i="4"/>
  <c r="T192" i="4"/>
  <c r="U192" i="4"/>
  <c r="V192" i="4" s="1"/>
  <c r="B191" i="4"/>
  <c r="C191" i="4"/>
  <c r="F191" i="4"/>
  <c r="J191" i="4"/>
  <c r="M191" i="4"/>
  <c r="P191" i="4"/>
  <c r="T191" i="4"/>
  <c r="U191" i="4"/>
  <c r="V191" i="4" s="1"/>
  <c r="B190" i="4"/>
  <c r="C190" i="4"/>
  <c r="F190" i="4"/>
  <c r="J190" i="4"/>
  <c r="M190" i="4"/>
  <c r="P190" i="4"/>
  <c r="T190" i="4"/>
  <c r="U190" i="4"/>
  <c r="V190" i="4" s="1"/>
  <c r="B189" i="4"/>
  <c r="C189" i="4"/>
  <c r="F189" i="4"/>
  <c r="J189" i="4"/>
  <c r="M189" i="4"/>
  <c r="P189" i="4"/>
  <c r="T189" i="4"/>
  <c r="U189" i="4"/>
  <c r="V189" i="4" s="1"/>
  <c r="B188" i="4"/>
  <c r="C188" i="4"/>
  <c r="F188" i="4"/>
  <c r="J188" i="4"/>
  <c r="M188" i="4"/>
  <c r="P188" i="4"/>
  <c r="T188" i="4"/>
  <c r="U188" i="4"/>
  <c r="V188" i="4" s="1"/>
  <c r="B187" i="4"/>
  <c r="C187" i="4"/>
  <c r="F187" i="4"/>
  <c r="J187" i="4"/>
  <c r="M187" i="4"/>
  <c r="P187" i="4"/>
  <c r="T187" i="4"/>
  <c r="U187" i="4"/>
  <c r="V187" i="4" s="1"/>
  <c r="B186" i="4"/>
  <c r="C186" i="4"/>
  <c r="F186" i="4"/>
  <c r="J186" i="4"/>
  <c r="M186" i="4"/>
  <c r="P186" i="4"/>
  <c r="T186" i="4"/>
  <c r="U186" i="4"/>
  <c r="V186" i="4" s="1"/>
  <c r="B185" i="4"/>
  <c r="C185" i="4"/>
  <c r="F185" i="4"/>
  <c r="J185" i="4"/>
  <c r="M185" i="4"/>
  <c r="P185" i="4"/>
  <c r="T185" i="4"/>
  <c r="U185" i="4"/>
  <c r="V185" i="4" s="1"/>
  <c r="B184" i="4"/>
  <c r="C184" i="4"/>
  <c r="F184" i="4"/>
  <c r="J184" i="4"/>
  <c r="M184" i="4"/>
  <c r="P184" i="4"/>
  <c r="T184" i="4"/>
  <c r="U184" i="4"/>
  <c r="V184" i="4" s="1"/>
  <c r="B183" i="4"/>
  <c r="C183" i="4"/>
  <c r="F183" i="4"/>
  <c r="J183" i="4"/>
  <c r="M183" i="4"/>
  <c r="P183" i="4"/>
  <c r="T183" i="4"/>
  <c r="U183" i="4"/>
  <c r="V183" i="4" s="1"/>
  <c r="B182" i="4"/>
  <c r="C182" i="4"/>
  <c r="F182" i="4"/>
  <c r="J182" i="4"/>
  <c r="M182" i="4"/>
  <c r="P182" i="4"/>
  <c r="T182" i="4"/>
  <c r="U182" i="4"/>
  <c r="V182" i="4" s="1"/>
  <c r="B181" i="4"/>
  <c r="C181" i="4"/>
  <c r="F181" i="4"/>
  <c r="J181" i="4"/>
  <c r="M181" i="4"/>
  <c r="P181" i="4"/>
  <c r="T181" i="4"/>
  <c r="U181" i="4"/>
  <c r="V181" i="4" s="1"/>
  <c r="B180" i="4"/>
  <c r="C180" i="4"/>
  <c r="F180" i="4"/>
  <c r="J180" i="4"/>
  <c r="M180" i="4"/>
  <c r="P180" i="4"/>
  <c r="T180" i="4"/>
  <c r="U180" i="4"/>
  <c r="V180" i="4" s="1"/>
  <c r="M179" i="4"/>
  <c r="B179" i="4"/>
  <c r="C179" i="4"/>
  <c r="F179" i="4"/>
  <c r="J179" i="4"/>
  <c r="P179" i="4"/>
  <c r="T179" i="4"/>
  <c r="U179" i="4"/>
  <c r="V179" i="4" s="1"/>
  <c r="B178" i="4"/>
  <c r="C178" i="4"/>
  <c r="F178" i="4"/>
  <c r="J178" i="4"/>
  <c r="M178" i="4"/>
  <c r="P178" i="4"/>
  <c r="T178" i="4"/>
  <c r="U178" i="4"/>
  <c r="V178" i="4" s="1"/>
  <c r="B177" i="4"/>
  <c r="C177" i="4"/>
  <c r="F177" i="4"/>
  <c r="J177" i="4"/>
  <c r="M177" i="4"/>
  <c r="P177" i="4"/>
  <c r="U177" i="4"/>
  <c r="V177" i="4" s="1"/>
  <c r="P176" i="4"/>
  <c r="B176" i="4"/>
  <c r="C176" i="4"/>
  <c r="F176" i="4"/>
  <c r="J176" i="4"/>
  <c r="M176" i="4"/>
  <c r="T176" i="4"/>
  <c r="U176" i="4"/>
  <c r="V176" i="4" s="1"/>
  <c r="B175" i="4"/>
  <c r="C175" i="4"/>
  <c r="F175" i="4"/>
  <c r="J175" i="4"/>
  <c r="M175" i="4"/>
  <c r="P175" i="4"/>
  <c r="T175" i="4"/>
  <c r="U175" i="4"/>
  <c r="V175" i="4" s="1"/>
  <c r="B174" i="4"/>
  <c r="C174" i="4"/>
  <c r="F174" i="4"/>
  <c r="J174" i="4"/>
  <c r="M174" i="4"/>
  <c r="P174" i="4"/>
  <c r="T174" i="4"/>
  <c r="U174" i="4"/>
  <c r="V174" i="4" s="1"/>
  <c r="B173" i="4"/>
  <c r="C173" i="4"/>
  <c r="F173" i="4"/>
  <c r="J173" i="4"/>
  <c r="M173" i="4"/>
  <c r="P173" i="4"/>
  <c r="T173" i="4"/>
  <c r="U173" i="4"/>
  <c r="V173" i="4" s="1"/>
  <c r="B172" i="4"/>
  <c r="C172" i="4"/>
  <c r="F172" i="4"/>
  <c r="J172" i="4"/>
  <c r="M172" i="4"/>
  <c r="P172" i="4"/>
  <c r="T172" i="4"/>
  <c r="U172" i="4"/>
  <c r="V172" i="4" s="1"/>
  <c r="B171" i="4"/>
  <c r="C171" i="4"/>
  <c r="F171" i="4"/>
  <c r="J171" i="4"/>
  <c r="M171" i="4"/>
  <c r="P171" i="4"/>
  <c r="T171" i="4"/>
  <c r="U171" i="4"/>
  <c r="V171" i="4" s="1"/>
  <c r="B170" i="4"/>
  <c r="C170" i="4"/>
  <c r="F170" i="4"/>
  <c r="J170" i="4"/>
  <c r="M170" i="4"/>
  <c r="P170" i="4"/>
  <c r="T170" i="4"/>
  <c r="U170" i="4"/>
  <c r="V170" i="4" s="1"/>
  <c r="B169" i="4"/>
  <c r="C169" i="4"/>
  <c r="F169" i="4"/>
  <c r="J169" i="4"/>
  <c r="M169" i="4"/>
  <c r="P169" i="4"/>
  <c r="T169" i="4"/>
  <c r="U169" i="4"/>
  <c r="V169" i="4" s="1"/>
  <c r="H9" i="3"/>
  <c r="K9" i="3"/>
  <c r="M9" i="3"/>
  <c r="Q9" i="3"/>
  <c r="R9" i="3"/>
  <c r="S9" i="3" s="1"/>
  <c r="B168" i="4"/>
  <c r="C168" i="4"/>
  <c r="F168" i="4"/>
  <c r="J168" i="4"/>
  <c r="M168" i="4"/>
  <c r="P168" i="4"/>
  <c r="T168" i="4"/>
  <c r="U168" i="4"/>
  <c r="V168" i="4" s="1"/>
  <c r="B167" i="4"/>
  <c r="C167" i="4"/>
  <c r="F167" i="4"/>
  <c r="J167" i="4"/>
  <c r="M167" i="4"/>
  <c r="P167" i="4"/>
  <c r="T167" i="4"/>
  <c r="U167" i="4"/>
  <c r="V167" i="4" s="1"/>
  <c r="B166" i="4"/>
  <c r="C166" i="4"/>
  <c r="F166" i="4"/>
  <c r="J166" i="4"/>
  <c r="M166" i="4"/>
  <c r="P166" i="4"/>
  <c r="T166" i="4"/>
  <c r="U166" i="4"/>
  <c r="V166" i="4" s="1"/>
  <c r="B165" i="4"/>
  <c r="C165" i="4"/>
  <c r="F165" i="4"/>
  <c r="J165" i="4"/>
  <c r="M165" i="4"/>
  <c r="P165" i="4"/>
  <c r="T165" i="4"/>
  <c r="U165" i="4"/>
  <c r="V165" i="4" s="1"/>
  <c r="M164" i="4"/>
  <c r="B164" i="4"/>
  <c r="C164" i="4"/>
  <c r="F164" i="4"/>
  <c r="J164" i="4"/>
  <c r="P164" i="4"/>
  <c r="T164" i="4"/>
  <c r="U164" i="4"/>
  <c r="V164" i="4" s="1"/>
  <c r="B163" i="4"/>
  <c r="C163" i="4"/>
  <c r="F163" i="4"/>
  <c r="J163" i="4"/>
  <c r="M163" i="4"/>
  <c r="P163" i="4"/>
  <c r="T163" i="4"/>
  <c r="U163" i="4"/>
  <c r="V163" i="4" s="1"/>
  <c r="M162" i="4"/>
  <c r="B162" i="4"/>
  <c r="C162" i="4"/>
  <c r="F162" i="4"/>
  <c r="J162" i="4"/>
  <c r="P162" i="4"/>
  <c r="T162" i="4"/>
  <c r="U162" i="4"/>
  <c r="V162" i="4" s="1"/>
  <c r="B161" i="4"/>
  <c r="C161" i="4"/>
  <c r="F161" i="4"/>
  <c r="J161" i="4"/>
  <c r="M161" i="4"/>
  <c r="P161" i="4"/>
  <c r="T161" i="4"/>
  <c r="U161" i="4"/>
  <c r="V161" i="4" s="1"/>
  <c r="B160" i="4"/>
  <c r="C160" i="4"/>
  <c r="F160" i="4"/>
  <c r="J160" i="4"/>
  <c r="M160" i="4"/>
  <c r="P160" i="4"/>
  <c r="T160" i="4"/>
  <c r="U160" i="4"/>
  <c r="V160" i="4" s="1"/>
  <c r="B159" i="4"/>
  <c r="C159" i="4"/>
  <c r="F159" i="4"/>
  <c r="J159" i="4"/>
  <c r="M159" i="4"/>
  <c r="P159" i="4"/>
  <c r="T159" i="4"/>
  <c r="U159" i="4"/>
  <c r="V159" i="4" s="1"/>
  <c r="T47" i="4"/>
  <c r="B158" i="4"/>
  <c r="C158" i="4"/>
  <c r="F158" i="4"/>
  <c r="J158" i="4"/>
  <c r="M158" i="4"/>
  <c r="P158" i="4"/>
  <c r="T158" i="4"/>
  <c r="U158" i="4"/>
  <c r="V158" i="4" s="1"/>
  <c r="B157" i="4"/>
  <c r="C157" i="4"/>
  <c r="F157" i="4"/>
  <c r="J157" i="4"/>
  <c r="M157" i="4"/>
  <c r="P157" i="4"/>
  <c r="T157" i="4"/>
  <c r="U157" i="4"/>
  <c r="V157" i="4" s="1"/>
  <c r="B156" i="4"/>
  <c r="C156" i="4"/>
  <c r="F156" i="4"/>
  <c r="J156" i="4"/>
  <c r="M156" i="4"/>
  <c r="P156" i="4"/>
  <c r="T156" i="4"/>
  <c r="U156" i="4"/>
  <c r="V156" i="4" s="1"/>
  <c r="B155" i="4"/>
  <c r="C155" i="4"/>
  <c r="F155" i="4"/>
  <c r="J155" i="4"/>
  <c r="M155" i="4"/>
  <c r="P155" i="4"/>
  <c r="T155" i="4"/>
  <c r="U155" i="4"/>
  <c r="V155" i="4" s="1"/>
  <c r="B154" i="4"/>
  <c r="C154" i="4"/>
  <c r="F154" i="4"/>
  <c r="J154" i="4"/>
  <c r="M154" i="4"/>
  <c r="P154" i="4"/>
  <c r="T154" i="4"/>
  <c r="U154" i="4"/>
  <c r="V154" i="4" s="1"/>
  <c r="B153" i="4"/>
  <c r="C153" i="4"/>
  <c r="F153" i="4"/>
  <c r="J153" i="4"/>
  <c r="M153" i="4"/>
  <c r="P153" i="4"/>
  <c r="T153" i="4"/>
  <c r="U153" i="4"/>
  <c r="V153" i="4" s="1"/>
  <c r="B152" i="4"/>
  <c r="C152" i="4"/>
  <c r="F152" i="4"/>
  <c r="J152" i="4"/>
  <c r="M152" i="4"/>
  <c r="P152" i="4"/>
  <c r="T152" i="4"/>
  <c r="U152" i="4"/>
  <c r="V152" i="4" s="1"/>
  <c r="B151" i="4"/>
  <c r="C151" i="4"/>
  <c r="F151" i="4"/>
  <c r="J151" i="4"/>
  <c r="M151" i="4"/>
  <c r="P151" i="4"/>
  <c r="T151" i="4"/>
  <c r="U151" i="4"/>
  <c r="V151" i="4" s="1"/>
  <c r="B150" i="4"/>
  <c r="C150" i="4"/>
  <c r="F150" i="4"/>
  <c r="J150" i="4"/>
  <c r="M150" i="4"/>
  <c r="P150" i="4"/>
  <c r="T150" i="4"/>
  <c r="U150" i="4"/>
  <c r="V150" i="4" s="1"/>
  <c r="B149" i="4"/>
  <c r="C149" i="4"/>
  <c r="F149" i="4"/>
  <c r="J149" i="4"/>
  <c r="M149" i="4"/>
  <c r="P149" i="4"/>
  <c r="T149" i="4"/>
  <c r="U149" i="4"/>
  <c r="V149" i="4" s="1"/>
  <c r="B148" i="4"/>
  <c r="C148" i="4"/>
  <c r="F148" i="4"/>
  <c r="J148" i="4"/>
  <c r="M148" i="4"/>
  <c r="P148" i="4"/>
  <c r="T148" i="4"/>
  <c r="U148" i="4"/>
  <c r="V148" i="4" s="1"/>
  <c r="B147" i="4"/>
  <c r="C147" i="4"/>
  <c r="F147" i="4"/>
  <c r="J147" i="4"/>
  <c r="M147" i="4"/>
  <c r="P147" i="4"/>
  <c r="T147" i="4"/>
  <c r="U147" i="4"/>
  <c r="V147" i="4" s="1"/>
  <c r="B146" i="4"/>
  <c r="C146" i="4"/>
  <c r="F146" i="4"/>
  <c r="J146" i="4"/>
  <c r="M146" i="4"/>
  <c r="P146" i="4"/>
  <c r="T146" i="4"/>
  <c r="U146" i="4"/>
  <c r="V146" i="4" s="1"/>
  <c r="B145" i="4"/>
  <c r="C145" i="4"/>
  <c r="F145" i="4"/>
  <c r="J145" i="4"/>
  <c r="M145" i="4"/>
  <c r="P145" i="4"/>
  <c r="T145" i="4"/>
  <c r="U145" i="4"/>
  <c r="V145" i="4" s="1"/>
  <c r="B144" i="4"/>
  <c r="C144" i="4"/>
  <c r="F144" i="4"/>
  <c r="J144" i="4"/>
  <c r="M144" i="4"/>
  <c r="P144" i="4"/>
  <c r="T144" i="4"/>
  <c r="U144" i="4"/>
  <c r="V144" i="4" s="1"/>
  <c r="B143" i="4"/>
  <c r="C143" i="4"/>
  <c r="F143" i="4"/>
  <c r="J143" i="4"/>
  <c r="M143" i="4"/>
  <c r="P143" i="4"/>
  <c r="T143" i="4"/>
  <c r="U143" i="4"/>
  <c r="V143" i="4" s="1"/>
  <c r="T142" i="4"/>
  <c r="B142" i="4"/>
  <c r="C142" i="4"/>
  <c r="F142" i="4"/>
  <c r="J142" i="4"/>
  <c r="M142" i="4"/>
  <c r="P142" i="4"/>
  <c r="U142" i="4"/>
  <c r="V142" i="4" s="1"/>
  <c r="B141" i="4"/>
  <c r="C141" i="4"/>
  <c r="F141" i="4"/>
  <c r="J141" i="4"/>
  <c r="M141" i="4"/>
  <c r="P141" i="4"/>
  <c r="T141" i="4"/>
  <c r="U141" i="4"/>
  <c r="V141" i="4" s="1"/>
  <c r="B140" i="4"/>
  <c r="C140" i="4"/>
  <c r="F140" i="4"/>
  <c r="J140" i="4"/>
  <c r="M140" i="4"/>
  <c r="P140" i="4"/>
  <c r="T140" i="4"/>
  <c r="U140" i="4"/>
  <c r="V140" i="4" s="1"/>
  <c r="B139" i="4"/>
  <c r="C139" i="4"/>
  <c r="F139" i="4"/>
  <c r="J139" i="4"/>
  <c r="M139" i="4"/>
  <c r="P139" i="4"/>
  <c r="T139" i="4"/>
  <c r="U139" i="4"/>
  <c r="V139" i="4" s="1"/>
  <c r="B138" i="4"/>
  <c r="C138" i="4"/>
  <c r="F138" i="4"/>
  <c r="J138" i="4"/>
  <c r="M138" i="4"/>
  <c r="P138" i="4"/>
  <c r="T138" i="4"/>
  <c r="U138" i="4"/>
  <c r="V138" i="4" s="1"/>
  <c r="B137" i="4"/>
  <c r="C137" i="4"/>
  <c r="F137" i="4"/>
  <c r="J137" i="4"/>
  <c r="M137" i="4"/>
  <c r="P137" i="4"/>
  <c r="T137" i="4"/>
  <c r="U137" i="4"/>
  <c r="V137" i="4" s="1"/>
  <c r="B136" i="4"/>
  <c r="C136" i="4"/>
  <c r="F136" i="4"/>
  <c r="J136" i="4"/>
  <c r="M136" i="4"/>
  <c r="P136" i="4"/>
  <c r="T136" i="4"/>
  <c r="U136" i="4"/>
  <c r="V136" i="4" s="1"/>
  <c r="B135" i="4"/>
  <c r="C135" i="4"/>
  <c r="F135" i="4"/>
  <c r="J135" i="4"/>
  <c r="M135" i="4"/>
  <c r="P135" i="4"/>
  <c r="T135" i="4"/>
  <c r="U135" i="4"/>
  <c r="V135" i="4" s="1"/>
  <c r="B134" i="4"/>
  <c r="C134" i="4"/>
  <c r="F134" i="4"/>
  <c r="J134" i="4"/>
  <c r="M134" i="4"/>
  <c r="P134" i="4"/>
  <c r="T134" i="4"/>
  <c r="U134" i="4"/>
  <c r="V134" i="4" s="1"/>
  <c r="B133" i="4"/>
  <c r="C133" i="4"/>
  <c r="F133" i="4"/>
  <c r="J133" i="4"/>
  <c r="M133" i="4"/>
  <c r="P133" i="4"/>
  <c r="T133" i="4"/>
  <c r="U133" i="4"/>
  <c r="V133" i="4" s="1"/>
  <c r="B132" i="4"/>
  <c r="C132" i="4"/>
  <c r="F132" i="4"/>
  <c r="J132" i="4"/>
  <c r="M132" i="4"/>
  <c r="P132" i="4"/>
  <c r="T132" i="4"/>
  <c r="U132" i="4"/>
  <c r="V132" i="4" s="1"/>
  <c r="B131" i="4"/>
  <c r="C131" i="4"/>
  <c r="F131" i="4"/>
  <c r="J131" i="4"/>
  <c r="M131" i="4"/>
  <c r="P131" i="4"/>
  <c r="T131" i="4"/>
  <c r="U131" i="4"/>
  <c r="V131" i="4" s="1"/>
  <c r="B130" i="4"/>
  <c r="C130" i="4"/>
  <c r="F130" i="4"/>
  <c r="J130" i="4"/>
  <c r="M130" i="4"/>
  <c r="P130" i="4"/>
  <c r="T130" i="4"/>
  <c r="U130" i="4"/>
  <c r="V130" i="4" s="1"/>
  <c r="B129" i="4"/>
  <c r="C129" i="4"/>
  <c r="F129" i="4"/>
  <c r="J129" i="4"/>
  <c r="M129" i="4"/>
  <c r="P129" i="4"/>
  <c r="T129" i="4"/>
  <c r="U129" i="4"/>
  <c r="V129" i="4" s="1"/>
  <c r="B128" i="4"/>
  <c r="C128" i="4"/>
  <c r="F128" i="4"/>
  <c r="J128" i="4"/>
  <c r="M128" i="4"/>
  <c r="P128" i="4"/>
  <c r="T128" i="4"/>
  <c r="U128" i="4"/>
  <c r="V128" i="4" s="1"/>
  <c r="H8" i="3"/>
  <c r="K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K7" i="3"/>
  <c r="M7" i="3"/>
  <c r="Q7" i="3"/>
  <c r="R7" i="3"/>
  <c r="S7" i="3" s="1"/>
  <c r="H6" i="3"/>
  <c r="K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K5" i="3"/>
  <c r="M5" i="3"/>
  <c r="Q5" i="3"/>
  <c r="R5" i="3"/>
  <c r="S5" i="3" s="1"/>
  <c r="H4" i="3"/>
  <c r="K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K3" i="3"/>
  <c r="K2" i="3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<sst xmlns="http://schemas.openxmlformats.org/spreadsheetml/2006/main" count="614" uniqueCount="78">
  <si>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</si>
  <si>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</si>
  <si>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</si>
  <si>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</si>
  <si>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</si>
  <si>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</si>
  <si>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</si>
  <si>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</si>
  <si>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</si>
  <si>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</si>
  <si>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</si>
  <si>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</si>
  <si>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</si>
  <si>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</si>
  <si>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</si>
  <si>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</si>
  <si>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</si>
  <si>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</si>
  <si>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</si>
  <si>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</si>
  <si>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</si>
  <si>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</si>
  <si>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</si>
  <si>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Juscelino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</si>
  <si>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</si>
  <si>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</si>
  <si>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</si>
  <si>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</si>
  <si>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</si>
  <si>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</si>
  <si>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</si>
  <si>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</si>
  <si>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</si>
  <si>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</si>
  <si>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</si>
  <si>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</si>
  <si>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</si>
  <si>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</si>
  <si>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</si>
  <si>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</si>
  <si>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</si>
  <si>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</si>
  <si>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</si>
  <si>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Geber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</si>
  <si>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</si>
  <si>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</si>
  <si>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</si>
  <si>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</si>
  <si>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</si>
  <si>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</si>
  <si>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</si>
  <si>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</si>
  <si>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</si>
  <si>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</si>
  <si>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</si>
  <si>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</si>
  <si>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</si>
  <si>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</si>
  <si>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</si>
  <si>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</si>
  <si>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</si>
  <si>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</si>
  <si>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</si>
  <si>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</si>
  <si>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</si>
  <si>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</si>
  <si>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</si>
  <si>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</si>
  <si>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</si>
  <si>
    <t>10,13,5</t>
  </si>
  <si>
    <t>13,13,13,13,13</t>
  </si>
  <si>
    <t>13,13,13</t>
  </si>
  <si>
    <t>13,13,13,38,38</t>
  </si>
  <si>
    <t>13,13,13,13</t>
  </si>
  <si>
    <t>13,13,13,13,13,13,13,13,13,13,8,8,8,8</t>
  </si>
  <si>
    <t>Rota</t>
  </si>
  <si>
    <t>13,13,13,13,13,13,13,13</t>
  </si>
  <si>
    <t>13,13,38,38,38,38,10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</si>
</sst>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8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0" xfId="1" applyFont="1"/>
    <xf numFmtId="44" fontId="3" fillId="2" borderId="3" xfId="1" applyFont="1" applyFill="1" applyBorder="1" applyAlignment="1">
      <alignment horizontal="center" vertical="center"/>
    </xf>
    <xf numFmtId="14" fontId="3" fillId="2" borderId="2" xfId="3" applyNumberFormat="1" applyFont="1" applyFill="1" applyBorder="1" applyAlignment="1">
      <alignment horizontal="center" vertical="center"/>
    </xf>
    <xf numFmtId="14" fontId="0" fillId="0" borderId="0" xfId="0" applyNumberFormat="1"/>
    <xf numFmtId="44" fontId="3" fillId="2" borderId="3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0" borderId="5" xfId="0" applyNumberFormat="1" applyBorder="1" applyAlignment="1">
      <alignment horizontal="center"/>
    </xf>
    <xf numFmtId="44" fontId="0" fillId="0" borderId="6" xfId="1" applyNumberFormat="1" applyFon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145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10" totalsRowShown="0" headerRowDxfId="144" dataDxfId="142" headerRowBorderDxfId="143" tableBorderDxfId="141" totalsRowBorderDxfId="140" headerRowCellStyle="Normal 2 2 2">
  <autoFilter ref="A1:V10" xr:uid="{DCE91C63-7150-4B05-9681-4C03C82B532C}"/>
  <tableColumns count="22">
    <tableColumn id="1" xr3:uid="{26A85748-1AED-4A71-96D3-23AF97AC5D2B}" name="Data" dataDxfId="139"/>
    <tableColumn id="25" xr3:uid="{D413966D-CDFC-4875-A3AE-6AE9D849E75F}" name="Placa" dataDxfId="138"/>
    <tableColumn id="3" xr3:uid="{D30CA2C3-D31F-4082-8392-1A98EB60EDD3}" name="Carreta" dataDxfId="137"/>
    <tableColumn id="4" xr3:uid="{758E5D51-7D49-4A69-8227-C9CE8E4A907A}" name="Motorista" dataDxfId="136"/>
    <tableColumn id="6" xr3:uid="{842361EA-39E1-4EF7-90A4-9BDC9C0966DF}" name="Valor Frete" dataDxfId="135" dataCellStyle="Moeda"/>
    <tableColumn id="7" xr3:uid="{D4C1D57F-C6B7-49EE-9F7B-47EBA6030041}" name="Valor Mercadoria" dataDxfId="134" dataCellStyle="Moeda"/>
    <tableColumn id="8" xr3:uid="{C79AB3D8-0BFF-4FFE-B20B-E81367BFEEFC}" name="Peso" dataDxfId="133"/>
    <tableColumn id="9" xr3:uid="{7D4ACBB5-8F17-463A-A61F-84A8EFF41604}" name="% Frete" dataDxfId="132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131"/>
    <tableColumn id="11" xr3:uid="{DC726A91-384E-47C4-A94A-9095E8138925}" name="Hr Chegada" dataDxfId="130"/>
    <tableColumn id="12" xr3:uid="{9A37D38C-D321-47A3-881E-B95F03E5DB0D}" name="Tempo" dataDxfId="129">
      <calculatedColumnFormula>Tabela35[[#This Row],[Hr Chegada]]-Tabela35[[#This Row],[Hr Saida]]</calculatedColumnFormula>
    </tableColumn>
    <tableColumn id="13" xr3:uid="{E5643091-5008-4800-BF73-88DFC566FBE9}" name="Frete" dataDxfId="128" dataCellStyle="Moeda"/>
    <tableColumn id="14" xr3:uid="{5E8F8636-0E97-4E52-8561-725D1AD8BAF1}" name="% Frete T" dataDxfId="127" dataCellStyle="Porcentagem">
      <calculatedColumnFormula>Tabela35[[#This Row],[Frete]]/Tabela35[[#This Row],[Valor Frete]]</calculatedColumnFormula>
    </tableColumn>
    <tableColumn id="16" xr3:uid="{F64AFFB0-A5D7-49FD-8B66-BD3FBD830A8C}" name="Vols" dataDxfId="126"/>
    <tableColumn id="17" xr3:uid="{36B8097A-82AA-4880-AA26-8A84D3BFDAE9}" name="Qtde Entregas" dataDxfId="125"/>
    <tableColumn id="18" xr3:uid="{8BF06732-0C91-4852-86A9-342D98B30169}" name="Entregas Realizadas" dataDxfId="124"/>
    <tableColumn id="19" xr3:uid="{20BD31A4-57AA-4F11-A73A-2B181C01798B}" name=" Retornadas" dataDxfId="123">
      <calculatedColumnFormula>Tabela35[[#This Row],[Qtde Entregas]]-Tabela35[[#This Row],[Entregas Realizadas]]</calculatedColumnFormula>
    </tableColumn>
    <tableColumn id="20" xr3:uid="{F3EDF45C-B4E9-4FE6-A74A-C49CA0273F75}" name="% Entrega" dataDxfId="122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121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120"/>
    <tableColumn id="23" xr3:uid="{D7BA1AAD-39A7-4F74-8E2B-3DAD30E78669}" name="Nfs Voltaram" dataDxfId="119"/>
    <tableColumn id="24" xr3:uid="{3938B063-E851-4B1A-B457-042DD7442897}" name="Código ocorrência" dataDxfId="1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254" totalsRowShown="0" headerRowDxfId="117" dataDxfId="115" headerRowBorderDxfId="116" tableBorderDxfId="114" totalsRowBorderDxfId="113">
  <tableColumns count="25">
    <tableColumn id="1" xr3:uid="{B118DAB0-A500-46F5-A61D-A15BA1838F69}" name="Data" dataDxfId="112"/>
    <tableColumn id="25" xr3:uid="{DAA903FE-736A-4CBF-95D8-B9E859203B97}" name="Ano" dataDxfId="111">
      <calculatedColumnFormula>YEAR(Tabela32[[#This Row],[Data]])</calculatedColumnFormula>
    </tableColumn>
    <tableColumn id="5" xr3:uid="{90D6CF8C-ACE3-46EA-828E-BB258996DD8F}" name="Mês" dataDxfId="110">
      <calculatedColumnFormula>MONTH(Tabela32[[#This Row],[Data]])</calculatedColumnFormula>
    </tableColumn>
    <tableColumn id="2" xr3:uid="{9E2D603E-103D-4F88-A5C8-5E9A03E2A3EE}" name="Placa" dataDxfId="109"/>
    <tableColumn id="3" xr3:uid="{7935B67B-4456-42E7-8B2D-EAF1D5C1B4F9}" name="Rota" dataDxfId="108"/>
    <tableColumn id="4" xr3:uid="{74C94A9C-B298-4701-847E-59C66BC8BBC2}" name="Motorista" dataDxfId="107">
      <calculatedColumnFormula>IFERROR(VLOOKUP(Tabela32[[#This Row],[Placa]],Planilha2!$A$1:$B$12,2,0),"")</calculatedColumnFormula>
    </tableColumn>
    <tableColumn id="6" xr3:uid="{694C94D7-8F01-480E-AA0C-B9B0FA8D2345}" name="Valor Frete" dataDxfId="106" dataCellStyle="Moeda"/>
    <tableColumn id="7" xr3:uid="{7D623530-7EED-4526-B289-B392FA2EF883}" name="Valor Mercadoria" dataDxfId="105" dataCellStyle="Moeda"/>
    <tableColumn id="8" xr3:uid="{3D927A69-B557-47A5-A269-05DEBEF85C73}" name="Peso" dataDxfId="104"/>
    <tableColumn id="9" xr3:uid="{69BC588C-6D01-4257-B2D9-CF2D843D1C40}" name="% Frete" dataDxfId="103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102"/>
    <tableColumn id="11" xr3:uid="{3B907CC4-B262-4107-87FF-1E75280AC1BF}" name="Hr Chegada" dataDxfId="101"/>
    <tableColumn id="12" xr3:uid="{ED725939-179A-4D21-873C-15774DD68F53}" name="Tempo" dataDxfId="100">
      <calculatedColumnFormula>Tabela32[[#This Row],[Hr Chegada]]-Tabela32[[#This Row],[Hr Saida]]</calculatedColumnFormula>
    </tableColumn>
    <tableColumn id="13" xr3:uid="{74EA350D-6976-4E2D-A058-0785043C5735}" name="Km Saída" dataDxfId="99"/>
    <tableColumn id="14" xr3:uid="{496AFEAD-5BFE-466C-B0AF-20375AAEECFC}" name="Km Chegada" dataDxfId="98"/>
    <tableColumn id="15" xr3:uid="{AB2841F1-639E-4525-98D9-0FAED04E102B}" name="Km/Dia" dataDxfId="97">
      <calculatedColumnFormula>Tabela32[[#This Row],[Km Chegada]]-Tabela32[[#This Row],[Km Saída]]</calculatedColumnFormula>
    </tableColumn>
    <tableColumn id="16" xr3:uid="{D83FBC01-4652-43E1-B278-CE34A958D106}" name="Vols" dataDxfId="96"/>
    <tableColumn id="17" xr3:uid="{CA7BF05C-1770-40EE-89A9-C80AA88EFC06}" name="Entregas" dataDxfId="95"/>
    <tableColumn id="18" xr3:uid="{037F6348-AFD4-431D-99B0-8147EA9E213B}" name="Realizadas" dataDxfId="94"/>
    <tableColumn id="19" xr3:uid="{196A1910-314C-450C-B67A-E51295FA6A18}" name=" Retornadas" dataDxfId="93">
      <calculatedColumnFormula>Tabela32[[#This Row],[Entregas]]-Tabela32[[#This Row],[Realizadas]]</calculatedColumnFormula>
    </tableColumn>
    <tableColumn id="20" xr3:uid="{F0BBC004-BAAB-43E2-A50E-1DD3FAEFD5F0}" name="% Entrega" dataDxfId="92" dataCellStyle="Moeda">
      <calculatedColumnFormula>Tabela32[[#This Row],[Realizadas]]/Tabela32[[#This Row],[Entregas]]</calculatedColumnFormula>
    </tableColumn>
    <tableColumn id="21" xr3:uid="{BB53A276-7721-4934-9C42-DB7E1D2740B3}" name="Meta" dataDxfId="91">
      <calculatedColumnFormula>IF(Tabela32[[#This Row],[% Entrega]]&gt;=96%,"Atendeu a Meta","Não Atendeu a Meta")</calculatedColumnFormula>
    </tableColumn>
    <tableColumn id="22" xr3:uid="{CE1DD687-26CA-4D2F-BCFC-661EB14CAD0F}" name="Cidade Destino" dataDxfId="90"/>
    <tableColumn id="23" xr3:uid="{F8FFD74E-1FF0-45CC-9EA9-8E8EA807957C}" name="Nfs Voltaram" dataDxfId="89"/>
    <tableColumn id="24" xr3:uid="{2EC98F08-AFB3-40A3-B3CE-1C9A788E39CD}" name="Ocorrência" dataDxfId="8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6" sqref="B6"/>
    </sheetView>
  </sheetViews>
  <sheetFormatPr defaultRowHeight="15" x14ac:dyDescent="0.25"/>
  <sheetData>
    <row r="1" spans="1:2" x14ac:dyDescent="0.25">
      <c r="A1" t="s">
        <v>22</v>
      </c>
      <c r="B1" t="s">
        <v>23</v>
      </c>
    </row>
    <row r="2" spans="1:2" x14ac:dyDescent="0.25">
      <c r="A2" t="s">
        <v>24</v>
      </c>
      <c r="B2" t="s">
        <v>57</v>
      </c>
    </row>
    <row r="3" spans="1:2" x14ac:dyDescent="0.25">
      <c r="A3" t="s">
        <v>26</v>
      </c>
      <c r="B3" t="s">
        <v>27</v>
      </c>
    </row>
    <row r="4" spans="1:2" x14ac:dyDescent="0.25">
      <c r="A4" t="s">
        <v>28</v>
      </c>
      <c r="B4" t="s">
        <v>64</v>
      </c>
    </row>
    <row r="5" spans="1:2" x14ac:dyDescent="0.25">
      <c r="A5" t="s">
        <v>29</v>
      </c>
      <c r="B5" t="s">
        <v>58</v>
      </c>
    </row>
    <row r="6" spans="1:2" x14ac:dyDescent="0.25">
      <c r="A6" t="s">
        <v>30</v>
      </c>
      <c r="B6" t="s">
        <v>31</v>
      </c>
    </row>
    <row r="7" spans="1:2" x14ac:dyDescent="0.25">
      <c r="A7" t="s">
        <v>32</v>
      </c>
      <c r="B7" t="s">
        <v>33</v>
      </c>
    </row>
    <row r="8" spans="1:2" x14ac:dyDescent="0.25">
      <c r="A8" t="s">
        <v>34</v>
      </c>
      <c r="B8" t="s">
        <v>35</v>
      </c>
    </row>
    <row r="9" spans="1:2" x14ac:dyDescent="0.25">
      <c r="A9" t="s">
        <v>36</v>
      </c>
      <c r="B9" t="s">
        <v>56</v>
      </c>
    </row>
    <row r="10" spans="1:2" x14ac:dyDescent="0.25">
      <c r="A10" t="s">
        <v>37</v>
      </c>
      <c r="B10" t="s">
        <v>43</v>
      </c>
    </row>
    <row r="11" spans="1:2" x14ac:dyDescent="0.25">
      <c r="A11" t="s">
        <v>38</v>
      </c>
      <c r="B11" t="s">
        <v>39</v>
      </c>
    </row>
    <row r="12" spans="1:2" x14ac:dyDescent="0.25">
      <c r="A12" t="s">
        <v>55</v>
      </c>
      <c r="B12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10"/>
  <sheetViews>
    <sheetView showGridLines="0" tabSelected="1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M10" sqref="M10"/>
    </sheetView>
  </sheetViews>
  <sheetFormatPr defaultRowHeight="15" x14ac:dyDescent="0.25"/>
  <cols>
    <col min="1" max="1" width="10.42578125" style="23" bestFit="1" customWidth="1"/>
    <col min="2" max="2" width="10.42578125" customWidth="1"/>
    <col min="3" max="3" width="9.5703125" customWidth="1"/>
    <col min="4" max="4" width="11.85546875" customWidth="1"/>
    <col min="5" max="5" width="13" style="25" customWidth="1"/>
    <col min="6" max="6" width="18.42578125" style="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style="20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22" t="s">
        <v>0</v>
      </c>
      <c r="B1" s="1" t="s">
        <v>1</v>
      </c>
      <c r="C1" s="2" t="s">
        <v>2</v>
      </c>
      <c r="D1" s="2" t="s">
        <v>3</v>
      </c>
      <c r="E1" s="24" t="s">
        <v>4</v>
      </c>
      <c r="F1" s="24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1" t="s">
        <v>48</v>
      </c>
      <c r="M1" s="2" t="s">
        <v>49</v>
      </c>
      <c r="N1" s="2" t="s">
        <v>44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46</v>
      </c>
      <c r="C2" s="4"/>
      <c r="D2" s="4" t="s">
        <v>47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>
        <v>0.25</v>
      </c>
      <c r="J2" s="11">
        <v>0.77083333333333337</v>
      </c>
      <c r="K2" s="11">
        <f>Tabela35[[#This Row],[Hr Chegada]]-Tabela35[[#This Row],[Hr Saida]]</f>
        <v>0.52083333333333337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40</v>
      </c>
      <c r="U2" s="4">
        <v>0</v>
      </c>
      <c r="V2" s="5">
        <v>0</v>
      </c>
    </row>
    <row r="3" spans="1:22" x14ac:dyDescent="0.25">
      <c r="A3" s="8">
        <v>46238</v>
      </c>
      <c r="B3" s="8" t="s">
        <v>59</v>
      </c>
      <c r="C3" s="4"/>
      <c r="D3" s="4" t="s">
        <v>60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46</v>
      </c>
      <c r="C4" s="4"/>
      <c r="D4" s="4" t="s">
        <v>47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40</v>
      </c>
      <c r="U4" s="4">
        <v>2</v>
      </c>
      <c r="V4" s="5">
        <v>0</v>
      </c>
    </row>
    <row r="5" spans="1:22" x14ac:dyDescent="0.25">
      <c r="A5" s="8">
        <v>46245</v>
      </c>
      <c r="B5" s="8" t="s">
        <v>46</v>
      </c>
      <c r="C5" s="4"/>
      <c r="D5" s="4" t="s">
        <v>47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45</v>
      </c>
      <c r="U5" s="4"/>
      <c r="V5" s="5"/>
    </row>
    <row r="6" spans="1:22" x14ac:dyDescent="0.25">
      <c r="A6" s="8">
        <v>46247</v>
      </c>
      <c r="B6" s="8" t="s">
        <v>46</v>
      </c>
      <c r="C6" s="4"/>
      <c r="D6" s="4" t="s">
        <v>47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40</v>
      </c>
      <c r="U6" s="4">
        <v>1</v>
      </c>
      <c r="V6" s="5">
        <v>10</v>
      </c>
    </row>
    <row r="7" spans="1:22" x14ac:dyDescent="0.25">
      <c r="A7" s="8">
        <v>46252</v>
      </c>
      <c r="B7" s="8" t="s">
        <v>46</v>
      </c>
      <c r="C7" s="4"/>
      <c r="D7" s="4" t="s">
        <v>47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45</v>
      </c>
      <c r="U7" s="4">
        <v>1</v>
      </c>
      <c r="V7" s="5">
        <v>9</v>
      </c>
    </row>
    <row r="8" spans="1:22" x14ac:dyDescent="0.25">
      <c r="A8" s="8">
        <v>46253</v>
      </c>
      <c r="B8" s="8" t="s">
        <v>67</v>
      </c>
      <c r="C8" s="4"/>
      <c r="D8" s="4" t="s">
        <v>68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  <row r="9" spans="1:22" x14ac:dyDescent="0.25">
      <c r="A9" s="8">
        <v>46268</v>
      </c>
      <c r="B9" s="8" t="s">
        <v>59</v>
      </c>
      <c r="C9" s="4"/>
      <c r="D9" s="4" t="s">
        <v>47</v>
      </c>
      <c r="E9" s="10">
        <v>5954.82</v>
      </c>
      <c r="F9" s="10">
        <v>69924.039999999994</v>
      </c>
      <c r="G9" s="4">
        <v>1514</v>
      </c>
      <c r="H9" s="9">
        <f>Tabela35[[#This Row],[Valor Frete]]/Tabela35[[#This Row],[Valor Mercadoria]]</f>
        <v>8.5161269285927987E-2</v>
      </c>
      <c r="I9" s="4"/>
      <c r="J9" s="4"/>
      <c r="K9" s="4">
        <f>Tabela35[[#This Row],[Hr Chegada]]-Tabela35[[#This Row],[Hr Saida]]</f>
        <v>0</v>
      </c>
      <c r="L9" s="10">
        <v>500</v>
      </c>
      <c r="M9" s="9">
        <f>Tabela35[[#This Row],[Frete]]/Tabela35[[#This Row],[Valor Frete]]</f>
        <v>8.3965594258096812E-2</v>
      </c>
      <c r="N9" s="4"/>
      <c r="O9" s="4"/>
      <c r="P9" s="4"/>
      <c r="Q9" s="12">
        <f>Tabela35[[#This Row],[Qtde Entregas]]-Tabela35[[#This Row],[Entregas Realizadas]]</f>
        <v>0</v>
      </c>
      <c r="R9" s="13" t="e">
        <f>Tabela35[[#This Row],[Entregas Realizadas]]/Tabela35[[#This Row],[Qtde Entregas]]</f>
        <v>#DIV/0!</v>
      </c>
      <c r="S9" s="14" t="e">
        <f>IF(Tabela35[[#This Row],[% Entrega]]&gt;=96%,"Atendeu a Meta","Não Atendeu a Meta")</f>
        <v>#DIV/0!</v>
      </c>
      <c r="T9" s="4"/>
      <c r="U9" s="4"/>
      <c r="V9" s="5"/>
    </row>
    <row r="10" spans="1:22" x14ac:dyDescent="0.25">
      <c r="A10" s="8">
        <v>46269</v>
      </c>
      <c r="B10" s="8" t="s">
        <v>59</v>
      </c>
      <c r="C10" s="4"/>
      <c r="D10" s="4" t="s">
        <v>47</v>
      </c>
      <c r="E10" s="27">
        <v>24238.02</v>
      </c>
      <c r="F10" s="27">
        <v>167202.07</v>
      </c>
      <c r="G10" s="4">
        <v>2185</v>
      </c>
      <c r="H10" s="9">
        <f>Tabela35[[#This Row],[Valor Frete]]/Tabela35[[#This Row],[Valor Mercadoria]]</f>
        <v>0.14496243975926854</v>
      </c>
      <c r="I10" s="4"/>
      <c r="J10" s="4"/>
      <c r="K10" s="4">
        <f>Tabela35[[#This Row],[Hr Chegada]]-Tabela35[[#This Row],[Hr Saida]]</f>
        <v>0</v>
      </c>
      <c r="L10" s="10">
        <v>500</v>
      </c>
      <c r="M10" s="9">
        <f>Tabela35[[#This Row],[Frete]]/Tabela35[[#This Row],[Valor Frete]]</f>
        <v>2.0628747727743438E-2</v>
      </c>
      <c r="N10" s="4"/>
      <c r="O10" s="4"/>
      <c r="P10" s="4"/>
      <c r="Q10" s="12">
        <f>Tabela35[[#This Row],[Qtde Entregas]]-Tabela35[[#This Row],[Entregas Realizadas]]</f>
        <v>0</v>
      </c>
      <c r="R10" s="13" t="e">
        <f>Tabela35[[#This Row],[Entregas Realizadas]]/Tabela35[[#This Row],[Qtde Entregas]]</f>
        <v>#DIV/0!</v>
      </c>
      <c r="S10" s="14" t="e">
        <f>IF(Tabela35[[#This Row],[% Entrega]]&gt;=96%,"Atendeu a Meta","Não Atendeu a Meta")</f>
        <v>#DIV/0!</v>
      </c>
      <c r="T10" s="4"/>
      <c r="U10" s="4"/>
      <c r="V10" s="5"/>
    </row>
  </sheetData>
  <conditionalFormatting sqref="H2:H10">
    <cfRule type="cellIs" dxfId="87" priority="1" operator="lessThan">
      <formula>0.05</formula>
    </cfRule>
    <cfRule type="cellIs" dxfId="86" priority="2" operator="greaterThanOrEqual">
      <formula>0.05</formula>
    </cfRule>
  </conditionalFormatting>
  <conditionalFormatting sqref="R2:R10">
    <cfRule type="cellIs" dxfId="85" priority="7" stopIfTrue="1" operator="lessThanOrEqual">
      <formula>0.949</formula>
    </cfRule>
    <cfRule type="cellIs" dxfId="84" priority="8" stopIfTrue="1" operator="greaterThanOrEqual">
      <formula>0.9</formula>
    </cfRule>
    <cfRule type="cellIs" dxfId="83" priority="9" stopIfTrue="1" operator="greaterThanOrEqual">
      <formula>90</formula>
    </cfRule>
    <cfRule type="cellIs" dxfId="82" priority="10" stopIfTrue="1" operator="lessThan">
      <formula>0</formula>
    </cfRule>
    <cfRule type="cellIs" dxfId="81" priority="11" stopIfTrue="1" operator="lessThan">
      <formula>1</formula>
    </cfRule>
    <cfRule type="cellIs" dxfId="80" priority="12" stopIfTrue="1" operator="greaterThan">
      <formula>100</formula>
    </cfRule>
    <cfRule type="cellIs" dxfId="79" priority="13" stopIfTrue="1" operator="greaterThan">
      <formula>1</formula>
    </cfRule>
  </conditionalFormatting>
  <conditionalFormatting sqref="S2:S10">
    <cfRule type="expression" dxfId="78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77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254"/>
  <sheetViews>
    <sheetView showGridLines="0" workbookViewId="0">
      <pane xSplit="10" ySplit="1" topLeftCell="W226" activePane="bottomRight" state="frozen"/>
      <selection pane="topRight" activeCell="I1" sqref="I1"/>
      <selection pane="bottomLeft" activeCell="A2" sqref="A2"/>
      <selection pane="bottomRight" activeCell="Y254" sqref="Y254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style="20" bestFit="1" customWidth="1"/>
    <col min="8" max="8" width="18.42578125" style="20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33.140625" bestFit="1" customWidth="1"/>
  </cols>
  <sheetData>
    <row r="1" spans="1:25" x14ac:dyDescent="0.25">
      <c r="A1" s="1" t="s">
        <v>0</v>
      </c>
      <c r="B1" s="1" t="s">
        <v>54</v>
      </c>
      <c r="C1" s="1" t="s">
        <v>53</v>
      </c>
      <c r="D1" s="2" t="s">
        <v>1</v>
      </c>
      <c r="E1" s="2" t="s">
        <v>75</v>
      </c>
      <c r="F1" s="2" t="s">
        <v>3</v>
      </c>
      <c r="G1" s="21" t="s">
        <v>4</v>
      </c>
      <c r="H1" s="21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44</v>
      </c>
      <c r="R1" s="2" t="s">
        <v>50</v>
      </c>
      <c r="S1" s="2" t="s">
        <v>51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52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24</v>
      </c>
      <c r="E2" s="4">
        <v>3</v>
      </c>
      <c r="F2" s="4" t="str">
        <f>IFERROR(VLOOKUP(Tabela32[[#This Row],[Placa]],Planilha2!$A$1:$B$12,2,0),"")</f>
        <v>Wesley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40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34</v>
      </c>
      <c r="E3" s="4">
        <v>1</v>
      </c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40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55</v>
      </c>
      <c r="E4" s="4">
        <v>1</v>
      </c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40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26</v>
      </c>
      <c r="E5" s="4">
        <v>2</v>
      </c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40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36</v>
      </c>
      <c r="E6" s="4">
        <v>5</v>
      </c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40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32</v>
      </c>
      <c r="E7" s="4">
        <v>1</v>
      </c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45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30</v>
      </c>
      <c r="E8" s="4">
        <v>4</v>
      </c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40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>
        <v>1</v>
      </c>
      <c r="F9" s="4" t="str">
        <f>IFERROR(VLOOKUP(Tabela32[[#This Row],[Placa]],Planilha2!$A$1:$B$12,2,0),"")</f>
        <v>Juscelino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42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37</v>
      </c>
      <c r="E10" s="4">
        <v>1</v>
      </c>
      <c r="F10" s="4" t="str">
        <f>IFERROR(VLOOKUP(Tabela32[[#This Row],[Placa]],Planilha2!$A$1:$B$12,2,0),"")</f>
        <v>Geber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42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28</v>
      </c>
      <c r="E11" s="4">
        <v>1</v>
      </c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40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29</v>
      </c>
      <c r="E12" s="4">
        <v>11</v>
      </c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41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26</v>
      </c>
      <c r="E13" s="4">
        <v>2</v>
      </c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40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>
        <v>11</v>
      </c>
      <c r="F14" s="4" t="str">
        <f>IFERROR(VLOOKUP(Tabela32[[#This Row],[Placa]],Planilha2!$A$1:$B$12,2,0),"")</f>
        <v>Juscelino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42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55</v>
      </c>
      <c r="E15" s="4">
        <v>1</v>
      </c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41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36</v>
      </c>
      <c r="E16" s="4">
        <v>5</v>
      </c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19</v>
      </c>
      <c r="T16" s="12">
        <f>Tabela32[[#This Row],[Entregas]]-Tabela32[[#This Row],[Realizadas]]</f>
        <v>0</v>
      </c>
      <c r="U16" s="13">
        <f>Tabela32[[#This Row],[Realizadas]]/Tabela32[[#This Row],[Entregas]]</f>
        <v>1</v>
      </c>
      <c r="V16" s="14" t="str">
        <f>IF(Tabela32[[#This Row],[% Entrega]]&gt;=96%,"Atendeu a Meta","Não Atendeu a Meta")</f>
        <v>Atendeu a Meta</v>
      </c>
      <c r="W16" s="4" t="s">
        <v>40</v>
      </c>
      <c r="X16" s="4">
        <v>0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29</v>
      </c>
      <c r="E17" s="4">
        <v>1</v>
      </c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41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24</v>
      </c>
      <c r="E18" s="4">
        <v>3</v>
      </c>
      <c r="F18" s="4" t="str">
        <f>IFERROR(VLOOKUP(Tabela32[[#This Row],[Placa]],Planilha2!$A$1:$B$12,2,0),"")</f>
        <v>Wesley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40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34</v>
      </c>
      <c r="E19" s="4">
        <v>1</v>
      </c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41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34</v>
      </c>
      <c r="E20" s="4">
        <v>1</v>
      </c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40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32</v>
      </c>
      <c r="E21" s="4">
        <v>1</v>
      </c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45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26</v>
      </c>
      <c r="E22" s="4">
        <v>2</v>
      </c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40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30</v>
      </c>
      <c r="E23" s="4">
        <v>1</v>
      </c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41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28</v>
      </c>
      <c r="E24" s="4">
        <v>11</v>
      </c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42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29</v>
      </c>
      <c r="E25" s="4">
        <v>1</v>
      </c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45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26</v>
      </c>
      <c r="E26" s="4">
        <v>2</v>
      </c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40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30</v>
      </c>
      <c r="E27" s="4">
        <v>1</v>
      </c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40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>
        <v>11</v>
      </c>
      <c r="F28" s="4" t="str">
        <f>IFERROR(VLOOKUP(Tabela32[[#This Row],[Placa]],Planilha2!$A$1:$B$12,2,0),"")</f>
        <v>Juscelino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42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24</v>
      </c>
      <c r="E29" s="4">
        <v>3</v>
      </c>
      <c r="F29" s="4" t="str">
        <f>IFERROR(VLOOKUP(Tabela32[[#This Row],[Placa]],Planilha2!$A$1:$B$12,2,0),"")</f>
        <v>Wesley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40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55</v>
      </c>
      <c r="E30" s="4">
        <v>1</v>
      </c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41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29</v>
      </c>
      <c r="E31" s="4">
        <v>1</v>
      </c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40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28</v>
      </c>
      <c r="E32" s="4">
        <v>11</v>
      </c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42</v>
      </c>
      <c r="X32" s="4">
        <v>0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32</v>
      </c>
      <c r="E33" s="4">
        <v>1</v>
      </c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45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34</v>
      </c>
      <c r="E34" s="4">
        <v>1</v>
      </c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45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34</v>
      </c>
      <c r="E35" s="4">
        <v>1</v>
      </c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40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29</v>
      </c>
      <c r="E36" s="4">
        <v>11</v>
      </c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42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24</v>
      </c>
      <c r="E37" s="4">
        <v>3</v>
      </c>
      <c r="F37" s="4" t="str">
        <f>IFERROR(VLOOKUP(Tabela32[[#This Row],[Placa]],Planilha2!$A$1:$B$12,2,0),"")</f>
        <v>Wesley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40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28</v>
      </c>
      <c r="E38" s="4">
        <v>1</v>
      </c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11</v>
      </c>
      <c r="T38" s="12">
        <f>Tabela32[[#This Row],[Entregas]]-Tabela32[[#This Row],[Realizadas]]</f>
        <v>0</v>
      </c>
      <c r="U38" s="13">
        <f>Tabela32[[#This Row],[Realizadas]]/Tabela32[[#This Row],[Entregas]]</f>
        <v>1</v>
      </c>
      <c r="V38" s="14" t="str">
        <f>IF(Tabela32[[#This Row],[% Entrega]]&gt;=96%,"Atendeu a Meta","Não Atendeu a Meta")</f>
        <v>Atendeu a Meta</v>
      </c>
      <c r="W38" s="4" t="s">
        <v>45</v>
      </c>
      <c r="X38" s="4">
        <v>2</v>
      </c>
      <c r="Y38" s="5" t="s">
        <v>61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36</v>
      </c>
      <c r="E39" s="4">
        <v>5</v>
      </c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40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32</v>
      </c>
      <c r="E40" s="4">
        <v>1</v>
      </c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45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>
        <v>11</v>
      </c>
      <c r="F41" s="4" t="str">
        <f>IFERROR(VLOOKUP(Tabela32[[#This Row],[Placa]],Planilha2!$A$1:$B$12,2,0),"")</f>
        <v>Juscelino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42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55</v>
      </c>
      <c r="E42" s="4">
        <v>4</v>
      </c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25</v>
      </c>
      <c r="T42" s="12">
        <f>Tabela32[[#This Row],[Entregas]]-Tabela32[[#This Row],[Realizadas]]</f>
        <v>0</v>
      </c>
      <c r="U42" s="13">
        <f>Tabela32[[#This Row],[Realizadas]]/Tabela32[[#This Row],[Entregas]]</f>
        <v>1</v>
      </c>
      <c r="V42" s="14" t="str">
        <f>IF(Tabela32[[#This Row],[% Entrega]]&gt;=96%,"Atendeu a Meta","Não Atendeu a Meta")</f>
        <v>Atendeu a Meta</v>
      </c>
      <c r="W42" s="4" t="s">
        <v>40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26</v>
      </c>
      <c r="E43" s="4">
        <v>2</v>
      </c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40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26</v>
      </c>
      <c r="E44" s="4">
        <v>2</v>
      </c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40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34</v>
      </c>
      <c r="E45" s="4">
        <v>1</v>
      </c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41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29</v>
      </c>
      <c r="E46" s="4">
        <v>1</v>
      </c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45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34</v>
      </c>
      <c r="E47" s="4">
        <v>3</v>
      </c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11</v>
      </c>
      <c r="T47" s="12">
        <f>Tabela32[[#This Row],[Entregas]]-Tabela32[[#This Row],[Realizadas]]</f>
        <v>0</v>
      </c>
      <c r="U47" s="13">
        <f>Tabela32[[#This Row],[Realizadas]]/Tabela32[[#This Row],[Entregas]]</f>
        <v>1</v>
      </c>
      <c r="V47" s="14" t="str">
        <f>IF(Tabela32[[#This Row],[% Entrega]]&gt;=96%,"Atendeu a Meta","Não Atendeu a Meta")</f>
        <v>Atendeu a Meta</v>
      </c>
      <c r="W47" s="4" t="s">
        <v>45</v>
      </c>
      <c r="X47" s="4">
        <v>2</v>
      </c>
      <c r="Y47" s="5" t="s">
        <v>62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>
        <v>4</v>
      </c>
      <c r="F48" s="4" t="str">
        <f>IFERROR(VLOOKUP(Tabela32[[#This Row],[Placa]],Planilha2!$A$1:$B$12,2,0),"")</f>
        <v>Juscelino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40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55</v>
      </c>
      <c r="E49" s="4">
        <v>3</v>
      </c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40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32</v>
      </c>
      <c r="E50" s="4">
        <v>5</v>
      </c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23</v>
      </c>
      <c r="T50" s="12">
        <f>Tabela32[[#This Row],[Entregas]]-Tabela32[[#This Row],[Realizadas]]</f>
        <v>0</v>
      </c>
      <c r="U50" s="13">
        <f>Tabela32[[#This Row],[Realizadas]]/Tabela32[[#This Row],[Entregas]]</f>
        <v>1</v>
      </c>
      <c r="V50" s="14" t="str">
        <f>IF(Tabela32[[#This Row],[% Entrega]]&gt;=96%,"Atendeu a Meta","Não Atendeu a Meta")</f>
        <v>Atendeu a Meta</v>
      </c>
      <c r="W50" s="4" t="s">
        <v>40</v>
      </c>
      <c r="X50" s="4">
        <v>2</v>
      </c>
      <c r="Y50" s="5" t="s">
        <v>63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26</v>
      </c>
      <c r="E51" s="4">
        <v>11</v>
      </c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42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36</v>
      </c>
      <c r="E52" s="4">
        <v>1</v>
      </c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41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28</v>
      </c>
      <c r="E53" s="4">
        <v>1</v>
      </c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41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24</v>
      </c>
      <c r="E54" s="4">
        <v>1</v>
      </c>
      <c r="F54" s="4" t="str">
        <f>IFERROR(VLOOKUP(Tabela32[[#This Row],[Placa]],Planilha2!$A$1:$B$12,2,0),"")</f>
        <v>Wesley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45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37</v>
      </c>
      <c r="E55" s="4">
        <v>1</v>
      </c>
      <c r="F55" s="4" t="str">
        <f>IFERROR(VLOOKUP(Tabela32[[#This Row],[Placa]],Planilha2!$A$1:$B$12,2,0),"")</f>
        <v>Geber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40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55</v>
      </c>
      <c r="E56" s="4">
        <v>3</v>
      </c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40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28</v>
      </c>
      <c r="E57" s="4">
        <v>1</v>
      </c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40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>
        <v>2</v>
      </c>
      <c r="F58" s="4" t="str">
        <f>IFERROR(VLOOKUP(Tabela32[[#This Row],[Placa]],Planilha2!$A$1:$B$12,2,0),"")</f>
        <v>Juscelino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40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36</v>
      </c>
      <c r="E59" s="4">
        <v>1</v>
      </c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41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34</v>
      </c>
      <c r="E60" s="4">
        <v>1</v>
      </c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41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32</v>
      </c>
      <c r="E61" s="4">
        <v>5</v>
      </c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40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24</v>
      </c>
      <c r="E62" s="4">
        <v>4</v>
      </c>
      <c r="F62" s="4" t="str">
        <f>IFERROR(VLOOKUP(Tabela32[[#This Row],[Placa]],Planilha2!$A$1:$B$12,2,0),"")</f>
        <v>Wesley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40</v>
      </c>
      <c r="X62" s="4">
        <v>3</v>
      </c>
      <c r="Y62" s="5" t="s">
        <v>71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26</v>
      </c>
      <c r="E63" s="4">
        <v>11</v>
      </c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37</v>
      </c>
      <c r="T63" s="12">
        <f>Tabela32[[#This Row],[Entregas]]-Tabela32[[#This Row],[Realizadas]]</f>
        <v>0</v>
      </c>
      <c r="U63" s="13">
        <f>Tabela32[[#This Row],[Realizadas]]/Tabela32[[#This Row],[Entregas]]</f>
        <v>1</v>
      </c>
      <c r="V63" s="14" t="str">
        <f>IF(Tabela32[[#This Row],[% Entrega]]&gt;=96%,"Atendeu a Meta","Não Atendeu a Meta")</f>
        <v>Atendeu a Meta</v>
      </c>
      <c r="W63" s="4" t="s">
        <v>42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29</v>
      </c>
      <c r="E64" s="4">
        <v>11</v>
      </c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42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28</v>
      </c>
      <c r="E65" s="4">
        <v>11</v>
      </c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42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>
        <v>2</v>
      </c>
      <c r="F66" s="4" t="str">
        <f>IFERROR(VLOOKUP(Tabela32[[#This Row],[Placa]],Planilha2!$A$1:$B$12,2,0),"")</f>
        <v>Juscelino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40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29</v>
      </c>
      <c r="E67" s="4">
        <v>11</v>
      </c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42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24</v>
      </c>
      <c r="E68" s="4">
        <v>1</v>
      </c>
      <c r="F68" s="4" t="str">
        <f>IFERROR(VLOOKUP(Tabela32[[#This Row],[Placa]],Planilha2!$A$1:$B$12,2,0),"")</f>
        <v>Wesley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40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36</v>
      </c>
      <c r="E69" s="4">
        <v>1</v>
      </c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45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34</v>
      </c>
      <c r="E70" s="4">
        <v>1</v>
      </c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45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26</v>
      </c>
      <c r="E71" s="4">
        <v>11</v>
      </c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42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55</v>
      </c>
      <c r="E72" s="4">
        <v>3</v>
      </c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40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32</v>
      </c>
      <c r="E73" s="4">
        <v>5</v>
      </c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40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36</v>
      </c>
      <c r="E74" s="4">
        <v>2</v>
      </c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45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34</v>
      </c>
      <c r="E75" s="4">
        <v>3</v>
      </c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40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>
        <v>2</v>
      </c>
      <c r="F76" s="4" t="str">
        <f>IFERROR(VLOOKUP(Tabela32[[#This Row],[Placa]],Planilha2!$A$1:$B$12,2,0),"")</f>
        <v>Juscelino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40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24</v>
      </c>
      <c r="E77" s="4">
        <v>1</v>
      </c>
      <c r="F77" s="4" t="str">
        <f>IFERROR(VLOOKUP(Tabela32[[#This Row],[Placa]],Planilha2!$A$1:$B$12,2,0),"")</f>
        <v>Wesley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40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26</v>
      </c>
      <c r="E78" s="4">
        <v>3</v>
      </c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40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28</v>
      </c>
      <c r="E79" s="4">
        <v>1</v>
      </c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41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34</v>
      </c>
      <c r="E80" s="4">
        <v>1</v>
      </c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41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29</v>
      </c>
      <c r="E81" s="4">
        <v>1</v>
      </c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40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32</v>
      </c>
      <c r="E82" s="4">
        <v>5</v>
      </c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40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55</v>
      </c>
      <c r="E83" s="4">
        <v>11</v>
      </c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42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24</v>
      </c>
      <c r="E84" s="4">
        <v>11</v>
      </c>
      <c r="F84" s="4" t="str">
        <f>IFERROR(VLOOKUP(Tabela32[[#This Row],[Placa]],Planilha2!$A$1:$B$12,2,0),"")</f>
        <v>Wesley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42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36</v>
      </c>
      <c r="E85" s="4">
        <v>1</v>
      </c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45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26</v>
      </c>
      <c r="E86" s="4">
        <v>3</v>
      </c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40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32</v>
      </c>
      <c r="E87" s="4">
        <v>5</v>
      </c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40</v>
      </c>
      <c r="X87" s="4">
        <v>3</v>
      </c>
      <c r="Y87" s="5" t="s">
        <v>71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>
        <v>4</v>
      </c>
      <c r="F88" s="4" t="str">
        <f>IFERROR(VLOOKUP(Tabela32[[#This Row],[Placa]],Planilha2!$A$1:$B$12,2,0),"")</f>
        <v>Juscelino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40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55</v>
      </c>
      <c r="E89" s="4">
        <v>11</v>
      </c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42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29</v>
      </c>
      <c r="E90" s="4">
        <v>1</v>
      </c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41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28</v>
      </c>
      <c r="E91" s="4">
        <v>3</v>
      </c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40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26</v>
      </c>
      <c r="E92" s="4">
        <v>1</v>
      </c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40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30</v>
      </c>
      <c r="E93" s="4">
        <v>1</v>
      </c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40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34</v>
      </c>
      <c r="E94" s="4">
        <v>1</v>
      </c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41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55</v>
      </c>
      <c r="E95" s="4">
        <v>4</v>
      </c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40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34</v>
      </c>
      <c r="E96" s="4">
        <v>1</v>
      </c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65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28</v>
      </c>
      <c r="E97" s="4">
        <v>1</v>
      </c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45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30</v>
      </c>
      <c r="E98" s="4">
        <v>11</v>
      </c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42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29</v>
      </c>
      <c r="E99" s="4">
        <v>1</v>
      </c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40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36</v>
      </c>
      <c r="E100" s="4">
        <v>1</v>
      </c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45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>
        <v>3</v>
      </c>
      <c r="F101" s="4" t="str">
        <f>IFERROR(VLOOKUP(Tabela32[[#This Row],[Placa]],Planilha2!$A$1:$B$12,2,0),"")</f>
        <v>Juscelino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40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26</v>
      </c>
      <c r="E102" s="4">
        <v>5</v>
      </c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40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24</v>
      </c>
      <c r="E103" s="4">
        <v>11</v>
      </c>
      <c r="F103" s="4" t="str">
        <f>IFERROR(VLOOKUP(Tabela32[[#This Row],[Placa]],Planilha2!$A$1:$B$12,2,0),"")</f>
        <v>Wesley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42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32</v>
      </c>
      <c r="E104" s="4">
        <v>1</v>
      </c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41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34</v>
      </c>
      <c r="E105" s="4">
        <v>1</v>
      </c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41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30</v>
      </c>
      <c r="E106" s="4">
        <v>11</v>
      </c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42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36</v>
      </c>
      <c r="E107" s="4">
        <v>1</v>
      </c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41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24</v>
      </c>
      <c r="E108" s="4">
        <v>4</v>
      </c>
      <c r="F108" s="4" t="str">
        <f>IFERROR(VLOOKUP(Tabela32[[#This Row],[Placa]],Planilha2!$A$1:$B$12,2,0),"")</f>
        <v>Wesley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40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28</v>
      </c>
      <c r="E109" s="4">
        <v>1</v>
      </c>
      <c r="F109" s="4" t="str">
        <f>IFERROR(VLOOKUP(Tabela32[[#This Row],[Placa]],Planilha2!$A$1:$B$12,2,0),"")</f>
        <v>Rosinaldo</v>
      </c>
      <c r="G109" s="10">
        <v>6107.34</v>
      </c>
      <c r="H109" s="1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41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>
        <v>3</v>
      </c>
      <c r="F110" s="4" t="str">
        <f>IFERROR(VLOOKUP(Tabela32[[#This Row],[Placa]],Planilha2!$A$1:$B$12,2,0),"")</f>
        <v>Juscelino</v>
      </c>
      <c r="G110" s="10">
        <v>8968.25</v>
      </c>
      <c r="H110" s="1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40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55</v>
      </c>
      <c r="E111" s="4">
        <v>2</v>
      </c>
      <c r="F111" s="4" t="str">
        <f>IFERROR(VLOOKUP(Tabela32[[#This Row],[Placa]],Planilha2!$A$1:$B$12,2,0),"")</f>
        <v>Arnaldo</v>
      </c>
      <c r="G111" s="10">
        <v>13448.98</v>
      </c>
      <c r="H111" s="1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40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29</v>
      </c>
      <c r="E112" s="4">
        <v>11</v>
      </c>
      <c r="F112" s="4" t="str">
        <f>IFERROR(VLOOKUP(Tabela32[[#This Row],[Placa]],Planilha2!$A$1:$B$12,2,0),"")</f>
        <v>Edilson</v>
      </c>
      <c r="G112" s="10">
        <v>16015.07</v>
      </c>
      <c r="H112" s="1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42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26</v>
      </c>
      <c r="E113" s="4">
        <v>5</v>
      </c>
      <c r="F113" s="4" t="str">
        <f>IFERROR(VLOOKUP(Tabela32[[#This Row],[Placa]],Planilha2!$A$1:$B$12,2,0),"")</f>
        <v>Gilberto</v>
      </c>
      <c r="G113" s="10">
        <v>6269.27</v>
      </c>
      <c r="H113" s="1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40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34</v>
      </c>
      <c r="E114" s="4">
        <v>1</v>
      </c>
      <c r="F114" s="4" t="str">
        <f>IFERROR(VLOOKUP(Tabela32[[#This Row],[Placa]],Planilha2!$A$1:$B$12,2,0),"")</f>
        <v>Paulo</v>
      </c>
      <c r="G114" s="10">
        <v>1959.35</v>
      </c>
      <c r="H114" s="1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45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>
        <v>2</v>
      </c>
      <c r="F115" s="4" t="str">
        <f>IFERROR(VLOOKUP(Tabela32[[#This Row],[Placa]],Planilha2!$A$1:$B$12,2,0),"")</f>
        <v>Juscelino</v>
      </c>
      <c r="G115" s="10">
        <v>6952.52</v>
      </c>
      <c r="H115" s="1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40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34</v>
      </c>
      <c r="E116" s="4">
        <v>1</v>
      </c>
      <c r="F116" s="4" t="str">
        <f>IFERROR(VLOOKUP(Tabela32[[#This Row],[Placa]],Planilha2!$A$1:$B$12,2,0),"")</f>
        <v>Paulo</v>
      </c>
      <c r="G116" s="10">
        <v>677.17</v>
      </c>
      <c r="H116" s="1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41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36</v>
      </c>
      <c r="E117" s="4">
        <v>1</v>
      </c>
      <c r="F117" s="4" t="str">
        <f>IFERROR(VLOOKUP(Tabela32[[#This Row],[Placa]],Planilha2!$A$1:$B$12,2,0),"")</f>
        <v>Osvaldo</v>
      </c>
      <c r="G117" s="1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41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24</v>
      </c>
      <c r="E118" s="4">
        <v>5</v>
      </c>
      <c r="F118" s="4" t="str">
        <f>IFERROR(VLOOKUP(Tabela32[[#This Row],[Placa]],Planilha2!$A$1:$B$12,2,0),"")</f>
        <v>Wesley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65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26</v>
      </c>
      <c r="E119" s="4">
        <v>5</v>
      </c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40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30</v>
      </c>
      <c r="E120" s="4">
        <v>11</v>
      </c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42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29</v>
      </c>
      <c r="E121" s="4">
        <v>1</v>
      </c>
      <c r="F121" s="4" t="str">
        <f>IFERROR(VLOOKUP(Tabela32[[#This Row],[Placa]],Planilha2!$A$1:$B$12,2,0),"")</f>
        <v>Edilson</v>
      </c>
      <c r="G121" s="10">
        <v>34859.64</v>
      </c>
      <c r="H121" s="10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42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38</v>
      </c>
      <c r="E122" s="4">
        <v>1</v>
      </c>
      <c r="F122" s="4" t="str">
        <f>IFERROR(VLOOKUP(Tabela32[[#This Row],[Placa]],Planilha2!$A$1:$B$12,2,0),"")</f>
        <v>Manoel</v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41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37</v>
      </c>
      <c r="E123" s="4">
        <v>1</v>
      </c>
      <c r="F123" s="4" t="str">
        <f>IFERROR(VLOOKUP(Tabela32[[#This Row],[Placa]],Planilha2!$A$1:$B$12,2,0),"")</f>
        <v>Geber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40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28</v>
      </c>
      <c r="E124" s="4">
        <v>1</v>
      </c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41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36</v>
      </c>
      <c r="E125" s="4">
        <v>2</v>
      </c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45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55</v>
      </c>
      <c r="E126" s="4">
        <v>2</v>
      </c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11</v>
      </c>
      <c r="T126" s="12">
        <f>Tabela32[[#This Row],[Entregas]]-Tabela32[[#This Row],[Realizadas]]</f>
        <v>2</v>
      </c>
      <c r="U126" s="18">
        <f>Tabela32[[#This Row],[Realizadas]]/Tabela32[[#This Row],[Entregas]]</f>
        <v>0.84615384615384615</v>
      </c>
      <c r="V126" s="19" t="str">
        <f>IF(Tabela32[[#This Row],[% Entrega]]&gt;=96%,"Atendeu a Meta","Não Atendeu a Meta")</f>
        <v>Não Atendeu a Meta</v>
      </c>
      <c r="W126" s="4" t="s">
        <v>40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34</v>
      </c>
      <c r="E127" s="4">
        <v>1</v>
      </c>
      <c r="F127" s="4" t="str">
        <f>IFERROR(VLOOKUP(Tabela32[[#This Row],[Placa]],Planilha2!$A$1:$B$12,2,0),"")</f>
        <v>Paulo</v>
      </c>
      <c r="G127" s="10">
        <v>1669.34</v>
      </c>
      <c r="H127" s="10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66</v>
      </c>
      <c r="X127" s="4">
        <v>0</v>
      </c>
      <c r="Y127" s="5">
        <v>0</v>
      </c>
    </row>
    <row r="128" spans="1:25" x14ac:dyDescent="0.25">
      <c r="A128" s="8">
        <v>46254</v>
      </c>
      <c r="B128" s="16">
        <f>YEAR(Tabela32[[#This Row],[Data]])</f>
        <v>2026</v>
      </c>
      <c r="C128" s="16">
        <f>MONTH(Tabela32[[#This Row],[Data]])</f>
        <v>8</v>
      </c>
      <c r="D128" s="4" t="s">
        <v>30</v>
      </c>
      <c r="E128" s="4">
        <v>1</v>
      </c>
      <c r="F128" s="4" t="str">
        <f>IFERROR(VLOOKUP(Tabela32[[#This Row],[Placa]],Planilha2!$A$1:$B$12,2,0),"")</f>
        <v>Sandro</v>
      </c>
      <c r="G128" s="10">
        <v>2199.7600000000002</v>
      </c>
      <c r="H128" s="10">
        <v>59957.51</v>
      </c>
      <c r="I128" s="4">
        <v>359</v>
      </c>
      <c r="J128" s="17">
        <f>IFERROR(Tabela32[[#This Row],[Valor Frete]]/Tabela32[[#This Row],[Valor Mercadoria]],"")</f>
        <v>3.6688648344469277E-2</v>
      </c>
      <c r="K128" s="11">
        <v>0.29166666666666669</v>
      </c>
      <c r="L128" s="15">
        <v>0.44444444444444442</v>
      </c>
      <c r="M128" s="15">
        <f>Tabela32[[#This Row],[Hr Chegada]]-Tabela32[[#This Row],[Hr Saida]]</f>
        <v>0.15277777777777773</v>
      </c>
      <c r="N128" s="4">
        <v>274573</v>
      </c>
      <c r="O128" s="4">
        <v>274603</v>
      </c>
      <c r="P128" s="4">
        <f>Tabela32[[#This Row],[Km Chegada]]-Tabela32[[#This Row],[Km Saída]]</f>
        <v>30</v>
      </c>
      <c r="Q128" s="4">
        <v>129</v>
      </c>
      <c r="R128" s="4">
        <v>3</v>
      </c>
      <c r="S128" s="4">
        <v>3</v>
      </c>
      <c r="T128" s="12">
        <f>Tabela32[[#This Row],[Entregas]]-Tabela32[[#This Row],[Realizadas]]</f>
        <v>0</v>
      </c>
      <c r="U128" s="18">
        <f>Tabela32[[#This Row],[Realizadas]]/Tabela32[[#This Row],[Entregas]]</f>
        <v>1</v>
      </c>
      <c r="V128" s="19" t="str">
        <f>IF(Tabela32[[#This Row],[% Entrega]]&gt;=96%,"Atendeu a Meta","Não Atendeu a Meta")</f>
        <v>Atendeu a Meta</v>
      </c>
      <c r="W128" s="4" t="s">
        <v>41</v>
      </c>
      <c r="X128" s="4">
        <v>0</v>
      </c>
      <c r="Y128" s="5">
        <v>0</v>
      </c>
    </row>
    <row r="129" spans="1:25" x14ac:dyDescent="0.25">
      <c r="A129" s="8">
        <v>46254</v>
      </c>
      <c r="B129" s="16">
        <f>YEAR(Tabela32[[#This Row],[Data]])</f>
        <v>2026</v>
      </c>
      <c r="C129" s="16">
        <f>MONTH(Tabela32[[#This Row],[Data]])</f>
        <v>8</v>
      </c>
      <c r="D129" s="4" t="s">
        <v>24</v>
      </c>
      <c r="E129" s="4">
        <v>1</v>
      </c>
      <c r="F129" s="4" t="str">
        <f>IFERROR(VLOOKUP(Tabela32[[#This Row],[Placa]],Planilha2!$A$1:$B$12,2,0),"")</f>
        <v>Wesley</v>
      </c>
      <c r="G129" s="10">
        <v>8081.76</v>
      </c>
      <c r="H129" s="10">
        <v>383207.29</v>
      </c>
      <c r="I129" s="4">
        <v>979</v>
      </c>
      <c r="J129" s="17">
        <f>IFERROR(Tabela32[[#This Row],[Valor Frete]]/Tabela32[[#This Row],[Valor Mercadoria]],"")</f>
        <v>2.1089786679162604E-2</v>
      </c>
      <c r="K129" s="11">
        <v>0.29166666666666669</v>
      </c>
      <c r="L129" s="15">
        <v>0.66666666666666663</v>
      </c>
      <c r="M129" s="15">
        <f>Tabela32[[#This Row],[Hr Chegada]]-Tabela32[[#This Row],[Hr Saida]]</f>
        <v>0.37499999999999994</v>
      </c>
      <c r="N129" s="4">
        <v>124126</v>
      </c>
      <c r="O129" s="4">
        <v>124163</v>
      </c>
      <c r="P129" s="4">
        <f>Tabela32[[#This Row],[Km Chegada]]-Tabela32[[#This Row],[Km Saída]]</f>
        <v>37</v>
      </c>
      <c r="Q129" s="4">
        <v>220</v>
      </c>
      <c r="R129" s="4">
        <v>12</v>
      </c>
      <c r="S129" s="4">
        <v>12</v>
      </c>
      <c r="T129" s="12">
        <f>Tabela32[[#This Row],[Entregas]]-Tabela32[[#This Row],[Realizadas]]</f>
        <v>0</v>
      </c>
      <c r="U129" s="18">
        <f>Tabela32[[#This Row],[Realizadas]]/Tabela32[[#This Row],[Entregas]]</f>
        <v>1</v>
      </c>
      <c r="V129" s="19" t="str">
        <f>IF(Tabela32[[#This Row],[% Entrega]]&gt;=96%,"Atendeu a Meta","Não Atendeu a Meta")</f>
        <v>Atendeu a Meta</v>
      </c>
      <c r="W129" s="4" t="s">
        <v>40</v>
      </c>
      <c r="X129" s="4">
        <v>0</v>
      </c>
      <c r="Y129" s="5">
        <v>0</v>
      </c>
    </row>
    <row r="130" spans="1:25" x14ac:dyDescent="0.25">
      <c r="A130" s="8">
        <v>46254</v>
      </c>
      <c r="B130" s="16">
        <f>YEAR(Tabela32[[#This Row],[Data]])</f>
        <v>2026</v>
      </c>
      <c r="C130" s="16">
        <f>MONTH(Tabela32[[#This Row],[Data]])</f>
        <v>8</v>
      </c>
      <c r="D130" s="4" t="s">
        <v>22</v>
      </c>
      <c r="E130" s="4">
        <v>3</v>
      </c>
      <c r="F130" s="4" t="str">
        <f>IFERROR(VLOOKUP(Tabela32[[#This Row],[Placa]],Planilha2!$A$1:$B$12,2,0),"")</f>
        <v>Juscelino</v>
      </c>
      <c r="G130" s="10">
        <v>6967.71</v>
      </c>
      <c r="H130" s="10">
        <v>158751.57</v>
      </c>
      <c r="I130" s="4">
        <v>905</v>
      </c>
      <c r="J130" s="17">
        <f>IFERROR(Tabela32[[#This Row],[Valor Frete]]/Tabela32[[#This Row],[Valor Mercadoria]],"")</f>
        <v>4.3890652545987417E-2</v>
      </c>
      <c r="K130" s="11">
        <v>0.29166666666666669</v>
      </c>
      <c r="L130" s="15">
        <v>0.71666666666666667</v>
      </c>
      <c r="M130" s="15">
        <f>Tabela32[[#This Row],[Hr Chegada]]-Tabela32[[#This Row],[Hr Saida]]</f>
        <v>0.42499999999999999</v>
      </c>
      <c r="N130" s="4">
        <v>303230</v>
      </c>
      <c r="O130" s="4">
        <v>303285</v>
      </c>
      <c r="P130" s="4">
        <f>Tabela32[[#This Row],[Km Chegada]]-Tabela32[[#This Row],[Km Saída]]</f>
        <v>55</v>
      </c>
      <c r="Q130" s="4">
        <v>218</v>
      </c>
      <c r="R130" s="4">
        <v>18</v>
      </c>
      <c r="S130" s="4">
        <v>18</v>
      </c>
      <c r="T130" s="12">
        <f>Tabela32[[#This Row],[Entregas]]-Tabela32[[#This Row],[Realizadas]]</f>
        <v>0</v>
      </c>
      <c r="U130" s="18">
        <f>Tabela32[[#This Row],[Realizadas]]/Tabela32[[#This Row],[Entregas]]</f>
        <v>1</v>
      </c>
      <c r="V130" s="19" t="str">
        <f>IF(Tabela32[[#This Row],[% Entrega]]&gt;=96%,"Atendeu a Meta","Não Atendeu a Meta")</f>
        <v>Atendeu a Meta</v>
      </c>
      <c r="W130" s="4" t="s">
        <v>40</v>
      </c>
      <c r="X130" s="4">
        <v>0</v>
      </c>
      <c r="Y130" s="5">
        <v>0</v>
      </c>
    </row>
    <row r="131" spans="1:25" x14ac:dyDescent="0.25">
      <c r="A131" s="8">
        <v>46254</v>
      </c>
      <c r="B131" s="16">
        <f>YEAR(Tabela32[[#This Row],[Data]])</f>
        <v>2026</v>
      </c>
      <c r="C131" s="16">
        <f>MONTH(Tabela32[[#This Row],[Data]])</f>
        <v>8</v>
      </c>
      <c r="D131" s="4" t="s">
        <v>29</v>
      </c>
      <c r="E131" s="4">
        <v>11</v>
      </c>
      <c r="F131" s="4" t="str">
        <f>IFERROR(VLOOKUP(Tabela32[[#This Row],[Placa]],Planilha2!$A$1:$B$12,2,0),"")</f>
        <v>Edilson</v>
      </c>
      <c r="G131" s="10">
        <v>7544.35</v>
      </c>
      <c r="H131" s="10">
        <v>136955.37</v>
      </c>
      <c r="I131" s="4">
        <v>823</v>
      </c>
      <c r="J131" s="17">
        <f>IFERROR(Tabela32[[#This Row],[Valor Frete]]/Tabela32[[#This Row],[Valor Mercadoria]],"")</f>
        <v>5.5086193407385201E-2</v>
      </c>
      <c r="K131" s="11">
        <v>0.27083333333333331</v>
      </c>
      <c r="L131" s="15">
        <v>0.70833333333333337</v>
      </c>
      <c r="M131" s="15">
        <f>Tabela32[[#This Row],[Hr Chegada]]-Tabela32[[#This Row],[Hr Saida]]</f>
        <v>0.43750000000000006</v>
      </c>
      <c r="N131" s="4">
        <v>103835</v>
      </c>
      <c r="O131" s="4">
        <v>103967</v>
      </c>
      <c r="P131" s="4">
        <f>Tabela32[[#This Row],[Km Chegada]]-Tabela32[[#This Row],[Km Saída]]</f>
        <v>132</v>
      </c>
      <c r="Q131" s="4">
        <v>194</v>
      </c>
      <c r="R131" s="4">
        <v>28</v>
      </c>
      <c r="S131" s="4">
        <v>28</v>
      </c>
      <c r="T131" s="12">
        <f>Tabela32[[#This Row],[Entregas]]-Tabela32[[#This Row],[Realizadas]]</f>
        <v>0</v>
      </c>
      <c r="U131" s="18">
        <f>Tabela32[[#This Row],[Realizadas]]/Tabela32[[#This Row],[Entregas]]</f>
        <v>1</v>
      </c>
      <c r="V131" s="19" t="str">
        <f>IF(Tabela32[[#This Row],[% Entrega]]&gt;=96%,"Atendeu a Meta","Não Atendeu a Meta")</f>
        <v>Atendeu a Meta</v>
      </c>
      <c r="W131" s="4" t="s">
        <v>42</v>
      </c>
      <c r="X131" s="4">
        <v>0</v>
      </c>
      <c r="Y131" s="5">
        <v>0</v>
      </c>
    </row>
    <row r="132" spans="1:25" x14ac:dyDescent="0.25">
      <c r="A132" s="8">
        <v>46254</v>
      </c>
      <c r="B132" s="16">
        <f>YEAR(Tabela32[[#This Row],[Data]])</f>
        <v>2026</v>
      </c>
      <c r="C132" s="16">
        <f>MONTH(Tabela32[[#This Row],[Data]])</f>
        <v>8</v>
      </c>
      <c r="D132" s="4" t="s">
        <v>36</v>
      </c>
      <c r="E132" s="4">
        <v>2</v>
      </c>
      <c r="F132" s="4" t="str">
        <f>IFERROR(VLOOKUP(Tabela32[[#This Row],[Placa]],Planilha2!$A$1:$B$12,2,0),"")</f>
        <v>Osvaldo</v>
      </c>
      <c r="G132" s="10">
        <v>6276.2</v>
      </c>
      <c r="H132" s="10">
        <v>154985.65</v>
      </c>
      <c r="I132" s="4">
        <v>735</v>
      </c>
      <c r="J132" s="17">
        <f>IFERROR(Tabela32[[#This Row],[Valor Frete]]/Tabela32[[#This Row],[Valor Mercadoria]],"")</f>
        <v>4.0495361989964875E-2</v>
      </c>
      <c r="K132" s="11">
        <v>0.29166666666666669</v>
      </c>
      <c r="L132" s="15">
        <v>0.74652777777777779</v>
      </c>
      <c r="M132" s="15">
        <f>Tabela32[[#This Row],[Hr Chegada]]-Tabela32[[#This Row],[Hr Saida]]</f>
        <v>0.4548611111111111</v>
      </c>
      <c r="N132" s="4">
        <v>141738</v>
      </c>
      <c r="O132" s="4">
        <v>141799</v>
      </c>
      <c r="P132" s="4">
        <f>Tabela32[[#This Row],[Km Chegada]]-Tabela32[[#This Row],[Km Saída]]</f>
        <v>61</v>
      </c>
      <c r="Q132" s="4">
        <v>263</v>
      </c>
      <c r="R132" s="4">
        <v>24</v>
      </c>
      <c r="S132" s="4">
        <v>24</v>
      </c>
      <c r="T132" s="12">
        <f>Tabela32[[#This Row],[Entregas]]-Tabela32[[#This Row],[Realizadas]]</f>
        <v>0</v>
      </c>
      <c r="U132" s="18">
        <f>Tabela32[[#This Row],[Realizadas]]/Tabela32[[#This Row],[Entregas]]</f>
        <v>1</v>
      </c>
      <c r="V132" s="19" t="str">
        <f>IF(Tabela32[[#This Row],[% Entrega]]&gt;=96%,"Atendeu a Meta","Não Atendeu a Meta")</f>
        <v>Atendeu a Meta</v>
      </c>
      <c r="W132" s="4" t="s">
        <v>40</v>
      </c>
      <c r="X132" s="4">
        <v>0</v>
      </c>
      <c r="Y132" s="5">
        <v>0</v>
      </c>
    </row>
    <row r="133" spans="1:25" x14ac:dyDescent="0.25">
      <c r="A133" s="8">
        <v>46254</v>
      </c>
      <c r="B133" s="16">
        <f>YEAR(Tabela32[[#This Row],[Data]])</f>
        <v>2026</v>
      </c>
      <c r="C133" s="16">
        <f>MONTH(Tabela32[[#This Row],[Data]])</f>
        <v>8</v>
      </c>
      <c r="D133" s="4" t="s">
        <v>34</v>
      </c>
      <c r="E133" s="4">
        <v>1</v>
      </c>
      <c r="F133" s="4" t="str">
        <f>IFERROR(VLOOKUP(Tabela32[[#This Row],[Placa]],Planilha2!$A$1:$B$12,2,0),"")</f>
        <v>Paulo</v>
      </c>
      <c r="G133" s="10">
        <v>4199.3599999999997</v>
      </c>
      <c r="H133" s="10">
        <v>56016.05</v>
      </c>
      <c r="I133" s="4">
        <v>583</v>
      </c>
      <c r="J133" s="17">
        <f>IFERROR(Tabela32[[#This Row],[Valor Frete]]/Tabela32[[#This Row],[Valor Mercadoria]],"")</f>
        <v>7.4967085326437685E-2</v>
      </c>
      <c r="K133" s="11">
        <v>0.29166666666666669</v>
      </c>
      <c r="L133" s="15">
        <v>0.77500000000000002</v>
      </c>
      <c r="M133" s="15">
        <f>Tabela32[[#This Row],[Hr Chegada]]-Tabela32[[#This Row],[Hr Saida]]</f>
        <v>0.48333333333333334</v>
      </c>
      <c r="N133" s="4">
        <v>154209</v>
      </c>
      <c r="O133" s="4">
        <v>154259</v>
      </c>
      <c r="P133" s="4">
        <f>Tabela32[[#This Row],[Km Chegada]]-Tabela32[[#This Row],[Km Saída]]</f>
        <v>50</v>
      </c>
      <c r="Q133" s="4">
        <v>100</v>
      </c>
      <c r="R133" s="4">
        <v>16</v>
      </c>
      <c r="S133" s="4">
        <v>16</v>
      </c>
      <c r="T133" s="12">
        <f>Tabela32[[#This Row],[Entregas]]-Tabela32[[#This Row],[Realizadas]]</f>
        <v>0</v>
      </c>
      <c r="U133" s="18">
        <f>Tabela32[[#This Row],[Realizadas]]/Tabela32[[#This Row],[Entregas]]</f>
        <v>1</v>
      </c>
      <c r="V133" s="19" t="str">
        <f>IF(Tabela32[[#This Row],[% Entrega]]&gt;=96%,"Atendeu a Meta","Não Atendeu a Meta")</f>
        <v>Atendeu a Meta</v>
      </c>
      <c r="W133" s="4" t="s">
        <v>45</v>
      </c>
      <c r="X133" s="4">
        <v>2</v>
      </c>
      <c r="Y133" s="5">
        <v>42</v>
      </c>
    </row>
    <row r="134" spans="1:25" x14ac:dyDescent="0.25">
      <c r="A134" s="8">
        <v>46254</v>
      </c>
      <c r="B134" s="16">
        <f>YEAR(Tabela32[[#This Row],[Data]])</f>
        <v>2026</v>
      </c>
      <c r="C134" s="16">
        <f>MONTH(Tabela32[[#This Row],[Data]])</f>
        <v>8</v>
      </c>
      <c r="D134" s="4" t="s">
        <v>28</v>
      </c>
      <c r="E134" s="4">
        <v>1</v>
      </c>
      <c r="F134" s="4" t="str">
        <f>IFERROR(VLOOKUP(Tabela32[[#This Row],[Placa]],Planilha2!$A$1:$B$12,2,0),"")</f>
        <v>Rosinaldo</v>
      </c>
      <c r="G134" s="10">
        <v>9400.0400000000009</v>
      </c>
      <c r="H134" s="10">
        <v>133865.57</v>
      </c>
      <c r="I134" s="4">
        <v>1514</v>
      </c>
      <c r="J134" s="17">
        <f>IFERROR(Tabela32[[#This Row],[Valor Frete]]/Tabela32[[#This Row],[Valor Mercadoria]],"")</f>
        <v>7.0219997569203191E-2</v>
      </c>
      <c r="K134" s="11">
        <v>0.29166666666666669</v>
      </c>
      <c r="L134" s="15">
        <v>0.81319444444444444</v>
      </c>
      <c r="M134" s="15">
        <f>Tabela32[[#This Row],[Hr Chegada]]-Tabela32[[#This Row],[Hr Saida]]</f>
        <v>0.52152777777777781</v>
      </c>
      <c r="N134" s="4">
        <v>290312</v>
      </c>
      <c r="O134" s="4">
        <v>290462</v>
      </c>
      <c r="P134" s="4">
        <f>Tabela32[[#This Row],[Km Chegada]]-Tabela32[[#This Row],[Km Saída]]</f>
        <v>150</v>
      </c>
      <c r="Q134" s="4">
        <v>166</v>
      </c>
      <c r="R134" s="4">
        <v>19</v>
      </c>
      <c r="S134" s="4">
        <v>14</v>
      </c>
      <c r="T134" s="12">
        <f>Tabela32[[#This Row],[Entregas]]-Tabela32[[#This Row],[Realizadas]]</f>
        <v>5</v>
      </c>
      <c r="U134" s="18">
        <f>Tabela32[[#This Row],[Realizadas]]/Tabela32[[#This Row],[Entregas]]</f>
        <v>0.73684210526315785</v>
      </c>
      <c r="V134" s="19" t="str">
        <f>IF(Tabela32[[#This Row],[% Entrega]]&gt;=96%,"Atendeu a Meta","Não Atendeu a Meta")</f>
        <v>Não Atendeu a Meta</v>
      </c>
      <c r="W134" s="4" t="s">
        <v>45</v>
      </c>
      <c r="X134" s="4">
        <v>7</v>
      </c>
      <c r="Y134" s="5" t="s">
        <v>70</v>
      </c>
    </row>
    <row r="135" spans="1:25" x14ac:dyDescent="0.25">
      <c r="A135" s="8">
        <v>46254</v>
      </c>
      <c r="B135" s="16">
        <f>YEAR(Tabela32[[#This Row],[Data]])</f>
        <v>2026</v>
      </c>
      <c r="C135" s="16">
        <f>MONTH(Tabela32[[#This Row],[Data]])</f>
        <v>8</v>
      </c>
      <c r="D135" s="4" t="s">
        <v>26</v>
      </c>
      <c r="E135" s="4">
        <v>5</v>
      </c>
      <c r="F135" s="4" t="str">
        <f>IFERROR(VLOOKUP(Tabela32[[#This Row],[Placa]],Planilha2!$A$1:$B$12,2,0),"")</f>
        <v>Gilberto</v>
      </c>
      <c r="G135" s="10">
        <v>7997.22</v>
      </c>
      <c r="H135" s="10">
        <v>164530.65</v>
      </c>
      <c r="I135" s="4">
        <v>1132</v>
      </c>
      <c r="J135" s="17">
        <f>IFERROR(Tabela32[[#This Row],[Valor Frete]]/Tabela32[[#This Row],[Valor Mercadoria]],"")</f>
        <v>4.8606262723693124E-2</v>
      </c>
      <c r="K135" s="11">
        <v>0.29166666666666669</v>
      </c>
      <c r="L135" s="15">
        <v>0.75</v>
      </c>
      <c r="M135" s="15">
        <f>Tabela32[[#This Row],[Hr Chegada]]-Tabela32[[#This Row],[Hr Saida]]</f>
        <v>0.45833333333333331</v>
      </c>
      <c r="N135" s="4">
        <v>118171</v>
      </c>
      <c r="O135" s="4">
        <v>118237</v>
      </c>
      <c r="P135" s="4">
        <f>Tabela32[[#This Row],[Km Chegada]]-Tabela32[[#This Row],[Km Saída]]</f>
        <v>66</v>
      </c>
      <c r="Q135" s="4">
        <v>97</v>
      </c>
      <c r="R135" s="4">
        <v>17</v>
      </c>
      <c r="S135" s="4">
        <v>14</v>
      </c>
      <c r="T135" s="12">
        <f>Tabela32[[#This Row],[Entregas]]-Tabela32[[#This Row],[Realizadas]]</f>
        <v>3</v>
      </c>
      <c r="U135" s="18">
        <f>Tabela32[[#This Row],[Realizadas]]/Tabela32[[#This Row],[Entregas]]</f>
        <v>0.82352941176470584</v>
      </c>
      <c r="V135" s="19" t="str">
        <f>IF(Tabela32[[#This Row],[% Entrega]]&gt;=96%,"Atendeu a Meta","Não Atendeu a Meta")</f>
        <v>Não Atendeu a Meta</v>
      </c>
      <c r="W135" s="4" t="s">
        <v>40</v>
      </c>
      <c r="X135" s="4">
        <v>3</v>
      </c>
      <c r="Y135" s="5" t="s">
        <v>71</v>
      </c>
    </row>
    <row r="136" spans="1:25" x14ac:dyDescent="0.25">
      <c r="A136" s="8">
        <v>46254</v>
      </c>
      <c r="B136" s="16">
        <f>YEAR(Tabela32[[#This Row],[Data]])</f>
        <v>2026</v>
      </c>
      <c r="C136" s="16">
        <f>MONTH(Tabela32[[#This Row],[Data]])</f>
        <v>8</v>
      </c>
      <c r="D136" s="4" t="s">
        <v>55</v>
      </c>
      <c r="E136" s="4">
        <v>2</v>
      </c>
      <c r="F136" s="4" t="str">
        <f>IFERROR(VLOOKUP(Tabela32[[#This Row],[Placa]],Planilha2!$A$1:$B$12,2,0),"")</f>
        <v>Arnaldo</v>
      </c>
      <c r="G136" s="10">
        <v>7069.92</v>
      </c>
      <c r="H136" s="10">
        <v>137083.25</v>
      </c>
      <c r="I136" s="4">
        <v>1045</v>
      </c>
      <c r="J136" s="17">
        <f>IFERROR(Tabela32[[#This Row],[Valor Frete]]/Tabela32[[#This Row],[Valor Mercadoria]],"")</f>
        <v>5.1573915850404772E-2</v>
      </c>
      <c r="K136" s="11">
        <v>0.29166666666666669</v>
      </c>
      <c r="L136" s="15">
        <v>0.76180555555555551</v>
      </c>
      <c r="M136" s="15">
        <f>Tabela32[[#This Row],[Hr Chegada]]-Tabela32[[#This Row],[Hr Saida]]</f>
        <v>0.47013888888888883</v>
      </c>
      <c r="N136" s="4">
        <v>12400</v>
      </c>
      <c r="O136" s="4">
        <v>12456</v>
      </c>
      <c r="P136" s="4">
        <f>Tabela32[[#This Row],[Km Chegada]]-Tabela32[[#This Row],[Km Saída]]</f>
        <v>56</v>
      </c>
      <c r="Q136" s="4">
        <v>217</v>
      </c>
      <c r="R136" s="4">
        <v>29</v>
      </c>
      <c r="S136" s="4">
        <v>29</v>
      </c>
      <c r="T136" s="12">
        <f>Tabela32[[#This Row],[Entregas]]-Tabela32[[#This Row],[Realizadas]]</f>
        <v>0</v>
      </c>
      <c r="U136" s="18">
        <f>Tabela32[[#This Row],[Realizadas]]/Tabela32[[#This Row],[Entregas]]</f>
        <v>1</v>
      </c>
      <c r="V136" s="19" t="str">
        <f>IF(Tabela32[[#This Row],[% Entrega]]&gt;=96%,"Atendeu a Meta","Não Atendeu a Meta")</f>
        <v>Atendeu a Meta</v>
      </c>
      <c r="W136" s="4" t="s">
        <v>40</v>
      </c>
      <c r="X136" s="4">
        <v>3</v>
      </c>
      <c r="Y136" s="5">
        <v>38</v>
      </c>
    </row>
    <row r="137" spans="1:25" x14ac:dyDescent="0.25">
      <c r="A137" s="8">
        <v>46254</v>
      </c>
      <c r="B137" s="16">
        <f>YEAR(Tabela32[[#This Row],[Data]])</f>
        <v>2026</v>
      </c>
      <c r="C137" s="16">
        <f>MONTH(Tabela32[[#This Row],[Data]])</f>
        <v>8</v>
      </c>
      <c r="D137" s="4" t="s">
        <v>30</v>
      </c>
      <c r="E137" s="4">
        <v>2</v>
      </c>
      <c r="F137" s="4" t="str">
        <f>IFERROR(VLOOKUP(Tabela32[[#This Row],[Placa]],Planilha2!$A$1:$B$12,2,0),"")</f>
        <v>Sandro</v>
      </c>
      <c r="G137" s="10">
        <v>2627.47</v>
      </c>
      <c r="H137" s="10">
        <v>57743.38</v>
      </c>
      <c r="I137" s="4">
        <v>446</v>
      </c>
      <c r="J137" s="17">
        <f>IFERROR(Tabela32[[#This Row],[Valor Frete]]/Tabela32[[#This Row],[Valor Mercadoria]],"")</f>
        <v>4.5502532065147552E-2</v>
      </c>
      <c r="K137" s="11">
        <v>0.5</v>
      </c>
      <c r="L137" s="15">
        <v>0.69374999999999998</v>
      </c>
      <c r="M137" s="15">
        <f>Tabela32[[#This Row],[Hr Chegada]]-Tabela32[[#This Row],[Hr Saida]]</f>
        <v>0.19374999999999998</v>
      </c>
      <c r="N137" s="4">
        <v>274600</v>
      </c>
      <c r="O137" s="4">
        <v>274652</v>
      </c>
      <c r="P137" s="4">
        <f>Tabela32[[#This Row],[Km Chegada]]-Tabela32[[#This Row],[Km Saída]]</f>
        <v>52</v>
      </c>
      <c r="Q137" s="4">
        <v>128</v>
      </c>
      <c r="R137" s="4">
        <v>11</v>
      </c>
      <c r="S137" s="4">
        <v>11</v>
      </c>
      <c r="T137" s="12">
        <f>Tabela32[[#This Row],[Entregas]]-Tabela32[[#This Row],[Realizadas]]</f>
        <v>0</v>
      </c>
      <c r="U137" s="18">
        <f>Tabela32[[#This Row],[Realizadas]]/Tabela32[[#This Row],[Entregas]]</f>
        <v>1</v>
      </c>
      <c r="V137" s="19" t="str">
        <f>IF(Tabela32[[#This Row],[% Entrega]]&gt;=96%,"Atendeu a Meta","Não Atendeu a Meta")</f>
        <v>Atendeu a Meta</v>
      </c>
      <c r="W137" s="4" t="s">
        <v>40</v>
      </c>
      <c r="X137" s="4">
        <v>0</v>
      </c>
      <c r="Y137" s="5">
        <v>0</v>
      </c>
    </row>
    <row r="138" spans="1:25" x14ac:dyDescent="0.25">
      <c r="A138" s="8">
        <v>46255</v>
      </c>
      <c r="B138" s="16">
        <f>YEAR(Tabela32[[#This Row],[Data]])</f>
        <v>2026</v>
      </c>
      <c r="C138" s="16">
        <f>MONTH(Tabela32[[#This Row],[Data]])</f>
        <v>8</v>
      </c>
      <c r="D138" s="4" t="s">
        <v>29</v>
      </c>
      <c r="E138" s="4">
        <v>1</v>
      </c>
      <c r="F138" s="4" t="str">
        <f>IFERROR(VLOOKUP(Tabela32[[#This Row],[Placa]],Planilha2!$A$1:$B$12,2,0),"")</f>
        <v>Edilson</v>
      </c>
      <c r="G138" s="10">
        <v>30511.18</v>
      </c>
      <c r="H138" s="10">
        <v>631200.38</v>
      </c>
      <c r="I138" s="4">
        <v>4591</v>
      </c>
      <c r="J138" s="17">
        <f>IFERROR(Tabela32[[#This Row],[Valor Frete]]/Tabela32[[#This Row],[Valor Mercadoria]],"")</f>
        <v>4.8338342255117149E-2</v>
      </c>
      <c r="K138" s="11">
        <v>0.27083333333333331</v>
      </c>
      <c r="L138" s="15">
        <v>0.77916666666666667</v>
      </c>
      <c r="M138" s="15">
        <f>Tabela32[[#This Row],[Hr Chegada]]-Tabela32[[#This Row],[Hr Saida]]</f>
        <v>0.5083333333333333</v>
      </c>
      <c r="N138" s="4">
        <v>103967</v>
      </c>
      <c r="O138" s="4">
        <v>104102</v>
      </c>
      <c r="P138" s="4">
        <f>Tabela32[[#This Row],[Km Chegada]]-Tabela32[[#This Row],[Km Saída]]</f>
        <v>135</v>
      </c>
      <c r="Q138" s="4">
        <v>110</v>
      </c>
      <c r="R138" s="4">
        <v>24</v>
      </c>
      <c r="S138" s="4">
        <v>24</v>
      </c>
      <c r="T138" s="12">
        <f>Tabela32[[#This Row],[Entregas]]-Tabela32[[#This Row],[Realizadas]]</f>
        <v>0</v>
      </c>
      <c r="U138" s="18">
        <f>Tabela32[[#This Row],[Realizadas]]/Tabela32[[#This Row],[Entregas]]</f>
        <v>1</v>
      </c>
      <c r="V138" s="19" t="str">
        <f>IF(Tabela32[[#This Row],[% Entrega]]&gt;=96%,"Atendeu a Meta","Não Atendeu a Meta")</f>
        <v>Atendeu a Meta</v>
      </c>
      <c r="W138" s="4" t="s">
        <v>42</v>
      </c>
      <c r="X138" s="4">
        <v>0</v>
      </c>
      <c r="Y138" s="5">
        <v>0</v>
      </c>
    </row>
    <row r="139" spans="1:25" x14ac:dyDescent="0.25">
      <c r="A139" s="8">
        <v>46255</v>
      </c>
      <c r="B139" s="16">
        <f>YEAR(Tabela32[[#This Row],[Data]])</f>
        <v>2026</v>
      </c>
      <c r="C139" s="16">
        <f>MONTH(Tabela32[[#This Row],[Data]])</f>
        <v>8</v>
      </c>
      <c r="D139" s="4" t="s">
        <v>55</v>
      </c>
      <c r="E139" s="4">
        <v>4</v>
      </c>
      <c r="F139" s="4" t="str">
        <f>IFERROR(VLOOKUP(Tabela32[[#This Row],[Placa]],Planilha2!$A$1:$B$12,2,0),"")</f>
        <v>Arnaldo</v>
      </c>
      <c r="G139" s="10">
        <v>3043.17</v>
      </c>
      <c r="H139" s="10">
        <v>63774.15</v>
      </c>
      <c r="I139" s="4">
        <v>323</v>
      </c>
      <c r="J139" s="17">
        <f>IFERROR(Tabela32[[#This Row],[Valor Frete]]/Tabela32[[#This Row],[Valor Mercadoria]],"")</f>
        <v>4.7717923327868735E-2</v>
      </c>
      <c r="K139" s="11">
        <v>0.29166666666666669</v>
      </c>
      <c r="L139" s="15">
        <v>0.66180555555555554</v>
      </c>
      <c r="M139" s="15">
        <f>Tabela32[[#This Row],[Hr Chegada]]-Tabela32[[#This Row],[Hr Saida]]</f>
        <v>0.37013888888888885</v>
      </c>
      <c r="N139" s="4">
        <v>12456</v>
      </c>
      <c r="O139" s="4">
        <v>12522</v>
      </c>
      <c r="P139" s="4">
        <f>Tabela32[[#This Row],[Km Chegada]]-Tabela32[[#This Row],[Km Saída]]</f>
        <v>66</v>
      </c>
      <c r="Q139" s="4">
        <v>66</v>
      </c>
      <c r="R139" s="4">
        <v>12</v>
      </c>
      <c r="S139" s="4">
        <v>12</v>
      </c>
      <c r="T139" s="12">
        <f>Tabela32[[#This Row],[Entregas]]-Tabela32[[#This Row],[Realizadas]]</f>
        <v>0</v>
      </c>
      <c r="U139" s="18">
        <f>Tabela32[[#This Row],[Realizadas]]/Tabela32[[#This Row],[Entregas]]</f>
        <v>1</v>
      </c>
      <c r="V139" s="19" t="str">
        <f>IF(Tabela32[[#This Row],[% Entrega]]&gt;=96%,"Atendeu a Meta","Não Atendeu a Meta")</f>
        <v>Atendeu a Meta</v>
      </c>
      <c r="W139" s="4" t="s">
        <v>40</v>
      </c>
      <c r="X139" s="4">
        <v>2</v>
      </c>
      <c r="Y139" s="5">
        <v>38</v>
      </c>
    </row>
    <row r="140" spans="1:25" x14ac:dyDescent="0.25">
      <c r="A140" s="8">
        <v>46255</v>
      </c>
      <c r="B140" s="16">
        <f>YEAR(Tabela32[[#This Row],[Data]])</f>
        <v>2026</v>
      </c>
      <c r="C140" s="16">
        <f>MONTH(Tabela32[[#This Row],[Data]])</f>
        <v>8</v>
      </c>
      <c r="D140" s="4" t="s">
        <v>30</v>
      </c>
      <c r="E140" s="4">
        <v>1</v>
      </c>
      <c r="F140" s="4" t="str">
        <f>IFERROR(VLOOKUP(Tabela32[[#This Row],[Placa]],Planilha2!$A$1:$B$12,2,0),"")</f>
        <v>Sandro</v>
      </c>
      <c r="G140" s="10">
        <v>1644.73</v>
      </c>
      <c r="H140" s="10">
        <v>61111.38</v>
      </c>
      <c r="I140" s="4">
        <v>276</v>
      </c>
      <c r="J140" s="17">
        <f>IFERROR(Tabela32[[#This Row],[Valor Frete]]/Tabela32[[#This Row],[Valor Mercadoria]],"")</f>
        <v>2.6913645216324687E-2</v>
      </c>
      <c r="K140" s="11">
        <v>0.29166666666666669</v>
      </c>
      <c r="L140" s="15">
        <v>0.625</v>
      </c>
      <c r="M140" s="15">
        <f>Tabela32[[#This Row],[Hr Chegada]]-Tabela32[[#This Row],[Hr Saida]]</f>
        <v>0.33333333333333331</v>
      </c>
      <c r="N140" s="4">
        <v>274652</v>
      </c>
      <c r="O140" s="4">
        <v>274700</v>
      </c>
      <c r="P140" s="4">
        <f>Tabela32[[#This Row],[Km Chegada]]-Tabela32[[#This Row],[Km Saída]]</f>
        <v>48</v>
      </c>
      <c r="Q140" s="4">
        <v>56</v>
      </c>
      <c r="R140" s="4">
        <v>3</v>
      </c>
      <c r="S140" s="4">
        <v>3</v>
      </c>
      <c r="T140" s="12">
        <f>Tabela32[[#This Row],[Entregas]]-Tabela32[[#This Row],[Realizadas]]</f>
        <v>0</v>
      </c>
      <c r="U140" s="18">
        <f>Tabela32[[#This Row],[Realizadas]]/Tabela32[[#This Row],[Entregas]]</f>
        <v>1</v>
      </c>
      <c r="V140" s="19" t="str">
        <f>IF(Tabela32[[#This Row],[% Entrega]]&gt;=96%,"Atendeu a Meta","Não Atendeu a Meta")</f>
        <v>Atendeu a Meta</v>
      </c>
      <c r="W140" s="4" t="s">
        <v>41</v>
      </c>
      <c r="X140" s="4">
        <v>0</v>
      </c>
      <c r="Y140" s="5">
        <v>0</v>
      </c>
    </row>
    <row r="141" spans="1:25" x14ac:dyDescent="0.25">
      <c r="A141" s="8">
        <v>46255</v>
      </c>
      <c r="B141" s="16">
        <f>YEAR(Tabela32[[#This Row],[Data]])</f>
        <v>2026</v>
      </c>
      <c r="C141" s="16">
        <f>MONTH(Tabela32[[#This Row],[Data]])</f>
        <v>8</v>
      </c>
      <c r="D141" s="4" t="s">
        <v>26</v>
      </c>
      <c r="E141" s="4">
        <v>5</v>
      </c>
      <c r="F141" s="4" t="str">
        <f>IFERROR(VLOOKUP(Tabela32[[#This Row],[Placa]],Planilha2!$A$1:$B$12,2,0),"")</f>
        <v>Gilberto</v>
      </c>
      <c r="G141" s="10">
        <v>5634.34</v>
      </c>
      <c r="H141" s="10">
        <v>145684.98000000001</v>
      </c>
      <c r="I141" s="4">
        <v>1005</v>
      </c>
      <c r="J141" s="17">
        <f>IFERROR(Tabela32[[#This Row],[Valor Frete]]/Tabela32[[#This Row],[Valor Mercadoria]],"")</f>
        <v>3.8674817403962988E-2</v>
      </c>
      <c r="K141" s="11">
        <v>0.29166666666666669</v>
      </c>
      <c r="L141" s="15">
        <v>0.71250000000000002</v>
      </c>
      <c r="M141" s="15">
        <f>Tabela32[[#This Row],[Hr Chegada]]-Tabela32[[#This Row],[Hr Saida]]</f>
        <v>0.42083333333333334</v>
      </c>
      <c r="N141" s="4">
        <v>118237</v>
      </c>
      <c r="O141" s="4">
        <v>118332</v>
      </c>
      <c r="P141" s="4">
        <f>Tabela32[[#This Row],[Km Chegada]]-Tabela32[[#This Row],[Km Saída]]</f>
        <v>95</v>
      </c>
      <c r="Q141" s="4">
        <v>221</v>
      </c>
      <c r="R141" s="4">
        <v>27</v>
      </c>
      <c r="S141" s="4">
        <v>27</v>
      </c>
      <c r="T141" s="12">
        <f>Tabela32[[#This Row],[Entregas]]-Tabela32[[#This Row],[Realizadas]]</f>
        <v>0</v>
      </c>
      <c r="U141" s="18">
        <f>Tabela32[[#This Row],[Realizadas]]/Tabela32[[#This Row],[Entregas]]</f>
        <v>1</v>
      </c>
      <c r="V141" s="19" t="str">
        <f>IF(Tabela32[[#This Row],[% Entrega]]&gt;=96%,"Atendeu a Meta","Não Atendeu a Meta")</f>
        <v>Atendeu a Meta</v>
      </c>
      <c r="W141" s="4" t="s">
        <v>40</v>
      </c>
      <c r="X141" s="4">
        <v>0</v>
      </c>
      <c r="Y141" s="5">
        <v>0</v>
      </c>
    </row>
    <row r="142" spans="1:25" x14ac:dyDescent="0.25">
      <c r="A142" s="8">
        <v>46255</v>
      </c>
      <c r="B142" s="16">
        <f>YEAR(Tabela32[[#This Row],[Data]])</f>
        <v>2026</v>
      </c>
      <c r="C142" s="16">
        <f>MONTH(Tabela32[[#This Row],[Data]])</f>
        <v>8</v>
      </c>
      <c r="D142" s="4" t="s">
        <v>36</v>
      </c>
      <c r="E142" s="4">
        <v>1</v>
      </c>
      <c r="F142" s="4" t="str">
        <f>IFERROR(VLOOKUP(Tabela32[[#This Row],[Placa]],Planilha2!$A$1:$B$12,2,0),"")</f>
        <v>Osvaldo</v>
      </c>
      <c r="G142" s="10">
        <v>18367.5</v>
      </c>
      <c r="H142" s="10">
        <v>285918.33</v>
      </c>
      <c r="I142" s="4">
        <v>4968</v>
      </c>
      <c r="J142" s="17">
        <f>IFERROR(Tabela32[[#This Row],[Valor Frete]]/Tabela32[[#This Row],[Valor Mercadoria]],"")</f>
        <v>6.4240372416836652E-2</v>
      </c>
      <c r="K142" s="11">
        <v>0.29166666666666669</v>
      </c>
      <c r="L142" s="15">
        <v>0.81944444444444442</v>
      </c>
      <c r="M142" s="15">
        <f>Tabela32[[#This Row],[Hr Chegada]]-Tabela32[[#This Row],[Hr Saida]]</f>
        <v>0.52777777777777768</v>
      </c>
      <c r="N142" s="4">
        <v>141799</v>
      </c>
      <c r="O142" s="4">
        <v>141859</v>
      </c>
      <c r="P142" s="4">
        <f>Tabela32[[#This Row],[Km Chegada]]-Tabela32[[#This Row],[Km Saída]]</f>
        <v>60</v>
      </c>
      <c r="Q142" s="4">
        <v>773</v>
      </c>
      <c r="R142" s="4">
        <v>30</v>
      </c>
      <c r="S142" s="4">
        <v>25</v>
      </c>
      <c r="T142" s="12">
        <f>Tabela32[[#This Row],[Entregas]]-Tabela32[[#This Row],[Realizadas]]</f>
        <v>5</v>
      </c>
      <c r="U142" s="18">
        <f>Tabela32[[#This Row],[Realizadas]]/Tabela32[[#This Row],[Entregas]]</f>
        <v>0.83333333333333337</v>
      </c>
      <c r="V142" s="19" t="str">
        <f>IF(Tabela32[[#This Row],[% Entrega]]&gt;=96%,"Atendeu a Meta","Não Atendeu a Meta")</f>
        <v>Não Atendeu a Meta</v>
      </c>
      <c r="W142" s="4" t="s">
        <v>45</v>
      </c>
      <c r="X142" s="4">
        <v>5</v>
      </c>
      <c r="Y142" s="5" t="s">
        <v>70</v>
      </c>
    </row>
    <row r="143" spans="1:25" x14ac:dyDescent="0.25">
      <c r="A143" s="8">
        <v>46255</v>
      </c>
      <c r="B143" s="16">
        <f>YEAR(Tabela32[[#This Row],[Data]])</f>
        <v>2026</v>
      </c>
      <c r="C143" s="16">
        <f>MONTH(Tabela32[[#This Row],[Data]])</f>
        <v>8</v>
      </c>
      <c r="D143" s="4" t="s">
        <v>32</v>
      </c>
      <c r="E143" s="4">
        <v>1</v>
      </c>
      <c r="F143" s="4" t="str">
        <f>IFERROR(VLOOKUP(Tabela32[[#This Row],[Placa]],Planilha2!$A$1:$B$12,2,0),"")</f>
        <v>Jerson</v>
      </c>
      <c r="G143" s="10">
        <v>3355.34</v>
      </c>
      <c r="H143" s="10">
        <v>45519.69</v>
      </c>
      <c r="I143" s="4">
        <v>401</v>
      </c>
      <c r="J143" s="17">
        <f>IFERROR(Tabela32[[#This Row],[Valor Frete]]/Tabela32[[#This Row],[Valor Mercadoria]],"")</f>
        <v>7.3711837668490279E-2</v>
      </c>
      <c r="K143" s="11">
        <v>0.29166666666666669</v>
      </c>
      <c r="L143" s="15">
        <v>0.70138888888888884</v>
      </c>
      <c r="M143" s="15">
        <f>Tabela32[[#This Row],[Hr Chegada]]-Tabela32[[#This Row],[Hr Saida]]</f>
        <v>0.40972222222222215</v>
      </c>
      <c r="N143" s="4">
        <v>279486</v>
      </c>
      <c r="O143" s="4">
        <v>279543</v>
      </c>
      <c r="P143" s="4">
        <f>Tabela32[[#This Row],[Km Chegada]]-Tabela32[[#This Row],[Km Saída]]</f>
        <v>57</v>
      </c>
      <c r="Q143" s="4">
        <v>73</v>
      </c>
      <c r="R143" s="4">
        <v>8</v>
      </c>
      <c r="S143" s="4">
        <v>8</v>
      </c>
      <c r="T143" s="12">
        <f>Tabela32[[#This Row],[Entregas]]-Tabela32[[#This Row],[Realizadas]]</f>
        <v>0</v>
      </c>
      <c r="U143" s="18">
        <f>Tabela32[[#This Row],[Realizadas]]/Tabela32[[#This Row],[Entregas]]</f>
        <v>1</v>
      </c>
      <c r="V143" s="19" t="str">
        <f>IF(Tabela32[[#This Row],[% Entrega]]&gt;=96%,"Atendeu a Meta","Não Atendeu a Meta")</f>
        <v>Atendeu a Meta</v>
      </c>
      <c r="W143" s="4" t="s">
        <v>40</v>
      </c>
      <c r="X143" s="4">
        <v>1</v>
      </c>
      <c r="Y143" s="5">
        <v>38</v>
      </c>
    </row>
    <row r="144" spans="1:25" x14ac:dyDescent="0.25">
      <c r="A144" s="8">
        <v>46255</v>
      </c>
      <c r="B144" s="16">
        <f>YEAR(Tabela32[[#This Row],[Data]])</f>
        <v>2026</v>
      </c>
      <c r="C144" s="16">
        <f>MONTH(Tabela32[[#This Row],[Data]])</f>
        <v>8</v>
      </c>
      <c r="D144" s="4" t="s">
        <v>22</v>
      </c>
      <c r="E144" s="4">
        <v>3</v>
      </c>
      <c r="F144" s="4" t="str">
        <f>IFERROR(VLOOKUP(Tabela32[[#This Row],[Placa]],Planilha2!$A$1:$B$12,2,0),"")</f>
        <v>Juscelino</v>
      </c>
      <c r="G144" s="10">
        <v>12213.47</v>
      </c>
      <c r="H144" s="10">
        <v>219930.64</v>
      </c>
      <c r="I144" s="4">
        <v>3470</v>
      </c>
      <c r="J144" s="17">
        <f>IFERROR(Tabela32[[#This Row],[Valor Frete]]/Tabela32[[#This Row],[Valor Mercadoria]],"")</f>
        <v>5.553328085618265E-2</v>
      </c>
      <c r="K144" s="11">
        <v>0.29166666666666669</v>
      </c>
      <c r="L144" s="15">
        <v>0.75069444444444444</v>
      </c>
      <c r="M144" s="15">
        <f>Tabela32[[#This Row],[Hr Chegada]]-Tabela32[[#This Row],[Hr Saida]]</f>
        <v>0.45902777777777776</v>
      </c>
      <c r="N144" s="4">
        <v>303285</v>
      </c>
      <c r="O144" s="4">
        <v>303335</v>
      </c>
      <c r="P144" s="4">
        <f>Tabela32[[#This Row],[Km Chegada]]-Tabela32[[#This Row],[Km Saída]]</f>
        <v>50</v>
      </c>
      <c r="Q144" s="4">
        <v>285</v>
      </c>
      <c r="R144" s="4">
        <v>12</v>
      </c>
      <c r="S144" s="4">
        <v>12</v>
      </c>
      <c r="T144" s="12">
        <f>Tabela32[[#This Row],[Entregas]]-Tabela32[[#This Row],[Realizadas]]</f>
        <v>0</v>
      </c>
      <c r="U144" s="18">
        <f>Tabela32[[#This Row],[Realizadas]]/Tabela32[[#This Row],[Entregas]]</f>
        <v>1</v>
      </c>
      <c r="V144" s="19" t="str">
        <f>IF(Tabela32[[#This Row],[% Entrega]]&gt;=96%,"Atendeu a Meta","Não Atendeu a Meta")</f>
        <v>Atendeu a Meta</v>
      </c>
      <c r="W144" s="10" t="s">
        <v>40</v>
      </c>
      <c r="X144" s="4">
        <v>0</v>
      </c>
      <c r="Y144" s="5">
        <v>0</v>
      </c>
    </row>
    <row r="145" spans="1:25" x14ac:dyDescent="0.25">
      <c r="A145" s="8">
        <v>46255</v>
      </c>
      <c r="B145" s="16">
        <f>YEAR(Tabela32[[#This Row],[Data]])</f>
        <v>2026</v>
      </c>
      <c r="C145" s="16">
        <f>MONTH(Tabela32[[#This Row],[Data]])</f>
        <v>8</v>
      </c>
      <c r="D145" s="4" t="s">
        <v>34</v>
      </c>
      <c r="E145" s="4">
        <v>1</v>
      </c>
      <c r="F145" s="4" t="str">
        <f>IFERROR(VLOOKUP(Tabela32[[#This Row],[Placa]],Planilha2!$A$1:$B$12,2,0),"")</f>
        <v>Paulo</v>
      </c>
      <c r="G145" s="10">
        <v>1386.09</v>
      </c>
      <c r="H145" s="10">
        <v>40934.400000000001</v>
      </c>
      <c r="I145" s="4">
        <v>61</v>
      </c>
      <c r="J145" s="17">
        <f>IFERROR(Tabela32[[#This Row],[Valor Frete]]/Tabela32[[#This Row],[Valor Mercadoria]],"")</f>
        <v>3.3861251172607874E-2</v>
      </c>
      <c r="K145" s="11">
        <v>0.29166666666666669</v>
      </c>
      <c r="L145" s="15">
        <v>0.79722222222222228</v>
      </c>
      <c r="M145" s="15">
        <f>Tabela32[[#This Row],[Hr Chegada]]-Tabela32[[#This Row],[Hr Saida]]</f>
        <v>0.50555555555555554</v>
      </c>
      <c r="N145" s="4">
        <v>154259</v>
      </c>
      <c r="O145" s="4">
        <v>154300</v>
      </c>
      <c r="P145" s="4">
        <f>Tabela32[[#This Row],[Km Chegada]]-Tabela32[[#This Row],[Km Saída]]</f>
        <v>41</v>
      </c>
      <c r="Q145" s="4">
        <v>64</v>
      </c>
      <c r="R145" s="4">
        <v>2</v>
      </c>
      <c r="S145" s="4">
        <v>2</v>
      </c>
      <c r="T145" s="12">
        <f>Tabela32[[#This Row],[Entregas]]-Tabela32[[#This Row],[Realizadas]]</f>
        <v>0</v>
      </c>
      <c r="U145" s="18">
        <f>Tabela32[[#This Row],[Realizadas]]/Tabela32[[#This Row],[Entregas]]</f>
        <v>1</v>
      </c>
      <c r="V145" s="19" t="str">
        <f>IF(Tabela32[[#This Row],[% Entrega]]&gt;=96%,"Atendeu a Meta","Não Atendeu a Meta")</f>
        <v>Atendeu a Meta</v>
      </c>
      <c r="W145" s="4" t="s">
        <v>41</v>
      </c>
      <c r="X145" s="4">
        <v>0</v>
      </c>
      <c r="Y145" s="5">
        <v>0</v>
      </c>
    </row>
    <row r="146" spans="1:25" x14ac:dyDescent="0.25">
      <c r="A146" s="8">
        <v>46255</v>
      </c>
      <c r="B146" s="16">
        <f>YEAR(Tabela32[[#This Row],[Data]])</f>
        <v>2026</v>
      </c>
      <c r="C146" s="16">
        <f>MONTH(Tabela32[[#This Row],[Data]])</f>
        <v>8</v>
      </c>
      <c r="D146" s="4" t="s">
        <v>24</v>
      </c>
      <c r="E146" s="4">
        <v>1</v>
      </c>
      <c r="F146" s="4" t="str">
        <f>IFERROR(VLOOKUP(Tabela32[[#This Row],[Placa]],Planilha2!$A$1:$B$12,2,0),"")</f>
        <v>Wesley</v>
      </c>
      <c r="G146" s="10">
        <v>11238.27</v>
      </c>
      <c r="H146" s="10">
        <v>184739.8</v>
      </c>
      <c r="I146" s="4">
        <v>2061</v>
      </c>
      <c r="J146" s="17">
        <f>IFERROR(Tabela32[[#This Row],[Valor Frete]]/Tabela32[[#This Row],[Valor Mercadoria]],"")</f>
        <v>6.0832966150228596E-2</v>
      </c>
      <c r="K146" s="11">
        <v>0.29166666666666669</v>
      </c>
      <c r="L146" s="15">
        <v>0.76875000000000004</v>
      </c>
      <c r="M146" s="15">
        <f>Tabela32[[#This Row],[Hr Chegada]]-Tabela32[[#This Row],[Hr Saida]]</f>
        <v>0.47708333333333336</v>
      </c>
      <c r="N146" s="4">
        <v>124163</v>
      </c>
      <c r="O146" s="4">
        <v>124246</v>
      </c>
      <c r="P146" s="4">
        <f>Tabela32[[#This Row],[Km Chegada]]-Tabela32[[#This Row],[Km Saída]]</f>
        <v>83</v>
      </c>
      <c r="Q146" s="4">
        <v>266</v>
      </c>
      <c r="R146" s="4">
        <v>31</v>
      </c>
      <c r="S146" s="4">
        <v>30</v>
      </c>
      <c r="T146" s="12">
        <f>Tabela32[[#This Row],[Entregas]]-Tabela32[[#This Row],[Realizadas]]</f>
        <v>1</v>
      </c>
      <c r="U146" s="18">
        <f>Tabela32[[#This Row],[Realizadas]]/Tabela32[[#This Row],[Entregas]]</f>
        <v>0.967741935483871</v>
      </c>
      <c r="V146" s="19" t="str">
        <f>IF(Tabela32[[#This Row],[% Entrega]]&gt;=96%,"Atendeu a Meta","Não Atendeu a Meta")</f>
        <v>Atendeu a Meta</v>
      </c>
      <c r="W146" s="4" t="s">
        <v>45</v>
      </c>
      <c r="X146" s="4">
        <v>3</v>
      </c>
      <c r="Y146" s="5" t="s">
        <v>69</v>
      </c>
    </row>
    <row r="147" spans="1:25" x14ac:dyDescent="0.25">
      <c r="A147" s="8">
        <v>46255</v>
      </c>
      <c r="B147" s="16">
        <f>YEAR(Tabela32[[#This Row],[Data]])</f>
        <v>2026</v>
      </c>
      <c r="C147" s="16">
        <f>MONTH(Tabela32[[#This Row],[Data]])</f>
        <v>8</v>
      </c>
      <c r="D147" s="4" t="s">
        <v>30</v>
      </c>
      <c r="E147" s="4">
        <v>2</v>
      </c>
      <c r="F147" s="4" t="str">
        <f>IFERROR(VLOOKUP(Tabela32[[#This Row],[Placa]],Planilha2!$A$1:$B$12,2,0),"")</f>
        <v>Sandro</v>
      </c>
      <c r="G147" s="10">
        <v>1528.87</v>
      </c>
      <c r="H147" s="10">
        <v>13798.57</v>
      </c>
      <c r="I147" s="4">
        <v>310</v>
      </c>
      <c r="J147" s="17">
        <f>IFERROR(Tabela32[[#This Row],[Valor Frete]]/Tabela32[[#This Row],[Valor Mercadoria]],"")</f>
        <v>0.11079916252191349</v>
      </c>
      <c r="K147" s="11">
        <v>0.29166666666666669</v>
      </c>
      <c r="L147" s="15">
        <v>0.73263888888888884</v>
      </c>
      <c r="M147" s="15">
        <f>Tabela32[[#This Row],[Hr Chegada]]-Tabela32[[#This Row],[Hr Saida]]</f>
        <v>0.44097222222222215</v>
      </c>
      <c r="N147" s="4">
        <v>274652</v>
      </c>
      <c r="O147" s="4">
        <v>274736</v>
      </c>
      <c r="P147" s="4">
        <f>Tabela32[[#This Row],[Km Chegada]]-Tabela32[[#This Row],[Km Saída]]</f>
        <v>84</v>
      </c>
      <c r="Q147" s="4">
        <v>50</v>
      </c>
      <c r="R147" s="4">
        <v>2</v>
      </c>
      <c r="S147" s="4">
        <v>2</v>
      </c>
      <c r="T147" s="12">
        <f>Tabela32[[#This Row],[Entregas]]-Tabela32[[#This Row],[Realizadas]]</f>
        <v>0</v>
      </c>
      <c r="U147" s="18">
        <f>Tabela32[[#This Row],[Realizadas]]/Tabela32[[#This Row],[Entregas]]</f>
        <v>1</v>
      </c>
      <c r="V147" s="19" t="str">
        <f>IF(Tabela32[[#This Row],[% Entrega]]&gt;=96%,"Atendeu a Meta","Não Atendeu a Meta")</f>
        <v>Atendeu a Meta</v>
      </c>
      <c r="W147" s="10" t="s">
        <v>40</v>
      </c>
      <c r="X147" s="4">
        <v>0</v>
      </c>
      <c r="Y147" s="5">
        <v>0</v>
      </c>
    </row>
    <row r="148" spans="1:25" x14ac:dyDescent="0.25">
      <c r="A148" s="8">
        <v>46256</v>
      </c>
      <c r="B148" s="16">
        <f>YEAR(Tabela32[[#This Row],[Data]])</f>
        <v>2026</v>
      </c>
      <c r="C148" s="16">
        <f>MONTH(Tabela32[[#This Row],[Data]])</f>
        <v>8</v>
      </c>
      <c r="D148" s="4" t="s">
        <v>30</v>
      </c>
      <c r="E148" s="4">
        <v>1</v>
      </c>
      <c r="F148" s="4" t="str">
        <f>IFERROR(VLOOKUP(Tabela32[[#This Row],[Placa]],Planilha2!$A$1:$B$12,2,0),"")</f>
        <v>Sandro</v>
      </c>
      <c r="G148" s="10">
        <v>8121.49</v>
      </c>
      <c r="H148" s="10">
        <v>159899.17000000001</v>
      </c>
      <c r="I148" s="4">
        <v>1284</v>
      </c>
      <c r="J148" s="17">
        <f>IFERROR(Tabela32[[#This Row],[Valor Frete]]/Tabela32[[#This Row],[Valor Mercadoria]],"")</f>
        <v>5.0791320555322449E-2</v>
      </c>
      <c r="K148" s="11">
        <v>0.29166666666666669</v>
      </c>
      <c r="L148" s="15">
        <v>0.59375</v>
      </c>
      <c r="M148" s="15">
        <f>Tabela32[[#This Row],[Hr Chegada]]-Tabela32[[#This Row],[Hr Saida]]</f>
        <v>0.30208333333333331</v>
      </c>
      <c r="N148" s="4">
        <v>274736</v>
      </c>
      <c r="O148" s="4">
        <v>274865</v>
      </c>
      <c r="P148" s="4">
        <f>Tabela32[[#This Row],[Km Chegada]]-Tabela32[[#This Row],[Km Saída]]</f>
        <v>129</v>
      </c>
      <c r="Q148" s="4">
        <v>178</v>
      </c>
      <c r="R148" s="4">
        <v>20</v>
      </c>
      <c r="S148" s="4">
        <v>20</v>
      </c>
      <c r="T148" s="12">
        <f>Tabela32[[#This Row],[Entregas]]-Tabela32[[#This Row],[Realizadas]]</f>
        <v>0</v>
      </c>
      <c r="U148" s="18">
        <f>Tabela32[[#This Row],[Realizadas]]/Tabela32[[#This Row],[Entregas]]</f>
        <v>1</v>
      </c>
      <c r="V148" s="19" t="str">
        <f>IF(Tabela32[[#This Row],[% Entrega]]&gt;=96%,"Atendeu a Meta","Não Atendeu a Meta")</f>
        <v>Atendeu a Meta</v>
      </c>
      <c r="W148" s="4" t="s">
        <v>42</v>
      </c>
      <c r="X148" s="4">
        <v>0</v>
      </c>
      <c r="Y148" s="5">
        <v>0</v>
      </c>
    </row>
    <row r="149" spans="1:25" x14ac:dyDescent="0.25">
      <c r="A149" s="8">
        <v>46258</v>
      </c>
      <c r="B149" s="16">
        <f>YEAR(Tabela32[[#This Row],[Data]])</f>
        <v>2026</v>
      </c>
      <c r="C149" s="16">
        <f>MONTH(Tabela32[[#This Row],[Data]])</f>
        <v>8</v>
      </c>
      <c r="D149" s="4" t="s">
        <v>30</v>
      </c>
      <c r="E149" s="4">
        <v>1</v>
      </c>
      <c r="F149" s="4" t="str">
        <f>IFERROR(VLOOKUP(Tabela32[[#This Row],[Placa]],Planilha2!$A$1:$B$12,2,0),"")</f>
        <v>Sandro</v>
      </c>
      <c r="G149" s="10">
        <v>1417.19</v>
      </c>
      <c r="H149" s="10">
        <v>68719.899999999994</v>
      </c>
      <c r="I149" s="4">
        <v>94</v>
      </c>
      <c r="J149" s="17">
        <f>IFERROR(Tabela32[[#This Row],[Valor Frete]]/Tabela32[[#This Row],[Valor Mercadoria]],"")</f>
        <v>2.0622701721044415E-2</v>
      </c>
      <c r="K149" s="11">
        <v>0.29166666666666669</v>
      </c>
      <c r="L149" s="15">
        <v>0.63749999999999996</v>
      </c>
      <c r="M149" s="15">
        <f>Tabela32[[#This Row],[Hr Chegada]]-Tabela32[[#This Row],[Hr Saida]]</f>
        <v>0.34583333333333327</v>
      </c>
      <c r="N149" s="4">
        <v>274865</v>
      </c>
      <c r="O149" s="4">
        <v>274901</v>
      </c>
      <c r="P149" s="4">
        <f>Tabela32[[#This Row],[Km Chegada]]-Tabela32[[#This Row],[Km Saída]]</f>
        <v>36</v>
      </c>
      <c r="Q149" s="4">
        <v>2</v>
      </c>
      <c r="R149" s="4">
        <v>2</v>
      </c>
      <c r="S149" s="4">
        <v>2</v>
      </c>
      <c r="T149" s="12">
        <f>Tabela32[[#This Row],[Entregas]]-Tabela32[[#This Row],[Realizadas]]</f>
        <v>0</v>
      </c>
      <c r="U149" s="18">
        <f>Tabela32[[#This Row],[Realizadas]]/Tabela32[[#This Row],[Entregas]]</f>
        <v>1</v>
      </c>
      <c r="V149" s="19" t="str">
        <f>IF(Tabela32[[#This Row],[% Entrega]]&gt;=96%,"Atendeu a Meta","Não Atendeu a Meta")</f>
        <v>Atendeu a Meta</v>
      </c>
      <c r="W149" s="4" t="s">
        <v>41</v>
      </c>
      <c r="X149" s="4">
        <v>0</v>
      </c>
      <c r="Y149" s="5">
        <v>0</v>
      </c>
    </row>
    <row r="150" spans="1:25" x14ac:dyDescent="0.25">
      <c r="A150" s="8">
        <v>46258</v>
      </c>
      <c r="B150" s="16">
        <f>YEAR(Tabela32[[#This Row],[Data]])</f>
        <v>2026</v>
      </c>
      <c r="C150" s="16">
        <f>MONTH(Tabela32[[#This Row],[Data]])</f>
        <v>8</v>
      </c>
      <c r="D150" s="4" t="s">
        <v>32</v>
      </c>
      <c r="E150" s="4">
        <v>2</v>
      </c>
      <c r="F150" s="4" t="str">
        <f>IFERROR(VLOOKUP(Tabela32[[#This Row],[Placa]],Planilha2!$A$1:$B$12,2,0),"")</f>
        <v>Jerson</v>
      </c>
      <c r="G150" s="10">
        <v>13874.37</v>
      </c>
      <c r="H150" s="10">
        <v>302315.42</v>
      </c>
      <c r="I150" s="4">
        <v>2846</v>
      </c>
      <c r="J150" s="17">
        <f>IFERROR(Tabela32[[#This Row],[Valor Frete]]/Tabela32[[#This Row],[Valor Mercadoria]],"")</f>
        <v>4.5893689445282021E-2</v>
      </c>
      <c r="K150" s="11">
        <v>0.29166666666666669</v>
      </c>
      <c r="L150" s="15">
        <v>0.7993055555555556</v>
      </c>
      <c r="M150" s="15">
        <f>Tabela32[[#This Row],[Hr Chegada]]-Tabela32[[#This Row],[Hr Saida]]</f>
        <v>0.50763888888888897</v>
      </c>
      <c r="N150" s="4">
        <v>279544</v>
      </c>
      <c r="O150" s="4">
        <v>279628</v>
      </c>
      <c r="P150" s="4">
        <f>Tabela32[[#This Row],[Km Chegada]]-Tabela32[[#This Row],[Km Saída]]</f>
        <v>84</v>
      </c>
      <c r="Q150" s="4">
        <v>441</v>
      </c>
      <c r="R150" s="4">
        <v>49</v>
      </c>
      <c r="S150" s="4">
        <v>49</v>
      </c>
      <c r="T150" s="12">
        <f>Tabela32[[#This Row],[Entregas]]-Tabela32[[#This Row],[Realizadas]]</f>
        <v>0</v>
      </c>
      <c r="U150" s="18">
        <f>Tabela32[[#This Row],[Realizadas]]/Tabela32[[#This Row],[Entregas]]</f>
        <v>1</v>
      </c>
      <c r="V150" s="19" t="str">
        <f>IF(Tabela32[[#This Row],[% Entrega]]&gt;=96%,"Atendeu a Meta","Não Atendeu a Meta")</f>
        <v>Atendeu a Meta</v>
      </c>
      <c r="W150" s="4" t="s">
        <v>40</v>
      </c>
      <c r="X150" s="4">
        <v>0</v>
      </c>
      <c r="Y150" s="5">
        <v>0</v>
      </c>
    </row>
    <row r="151" spans="1:25" x14ac:dyDescent="0.25">
      <c r="A151" s="8">
        <v>46258</v>
      </c>
      <c r="B151" s="16">
        <f>YEAR(Tabela32[[#This Row],[Data]])</f>
        <v>2026</v>
      </c>
      <c r="C151" s="16">
        <f>MONTH(Tabela32[[#This Row],[Data]])</f>
        <v>8</v>
      </c>
      <c r="D151" s="4" t="s">
        <v>26</v>
      </c>
      <c r="E151" s="4">
        <v>11</v>
      </c>
      <c r="F151" s="4" t="str">
        <f>IFERROR(VLOOKUP(Tabela32[[#This Row],[Placa]],Planilha2!$A$1:$B$12,2,0),"")</f>
        <v>Gilberto</v>
      </c>
      <c r="G151" s="10">
        <v>12498.44</v>
      </c>
      <c r="H151" s="10">
        <v>198626.17</v>
      </c>
      <c r="I151" s="4">
        <v>2011</v>
      </c>
      <c r="J151" s="17">
        <f>IFERROR(Tabela32[[#This Row],[Valor Frete]]/Tabela32[[#This Row],[Valor Mercadoria]],"")</f>
        <v>6.2924437399160441E-2</v>
      </c>
      <c r="K151" s="11">
        <v>0.27083333333333331</v>
      </c>
      <c r="L151" s="15">
        <v>0.74652777777777779</v>
      </c>
      <c r="M151" s="15">
        <f>Tabela32[[#This Row],[Hr Chegada]]-Tabela32[[#This Row],[Hr Saida]]</f>
        <v>0.47569444444444448</v>
      </c>
      <c r="N151" s="4">
        <v>118332</v>
      </c>
      <c r="O151" s="4">
        <v>118496</v>
      </c>
      <c r="P151" s="4">
        <f>Tabela32[[#This Row],[Km Chegada]]-Tabela32[[#This Row],[Km Saída]]</f>
        <v>164</v>
      </c>
      <c r="Q151" s="4">
        <v>265</v>
      </c>
      <c r="R151" s="4">
        <v>26</v>
      </c>
      <c r="S151" s="4">
        <v>26</v>
      </c>
      <c r="T151" s="12">
        <f>Tabela32[[#This Row],[Entregas]]-Tabela32[[#This Row],[Realizadas]]</f>
        <v>0</v>
      </c>
      <c r="U151" s="18">
        <f>Tabela32[[#This Row],[Realizadas]]/Tabela32[[#This Row],[Entregas]]</f>
        <v>1</v>
      </c>
      <c r="V151" s="19" t="str">
        <f>IF(Tabela32[[#This Row],[% Entrega]]&gt;=96%,"Atendeu a Meta","Não Atendeu a Meta")</f>
        <v>Atendeu a Meta</v>
      </c>
      <c r="W151" s="4" t="s">
        <v>42</v>
      </c>
      <c r="X151" s="4">
        <v>0</v>
      </c>
      <c r="Y151" s="5">
        <v>0</v>
      </c>
    </row>
    <row r="152" spans="1:25" x14ac:dyDescent="0.25">
      <c r="A152" s="8">
        <v>46258</v>
      </c>
      <c r="B152" s="16">
        <f>YEAR(Tabela32[[#This Row],[Data]])</f>
        <v>2026</v>
      </c>
      <c r="C152" s="16">
        <f>MONTH(Tabela32[[#This Row],[Data]])</f>
        <v>8</v>
      </c>
      <c r="D152" s="4" t="s">
        <v>36</v>
      </c>
      <c r="E152" s="4">
        <v>1</v>
      </c>
      <c r="F152" s="4" t="str">
        <f>IFERROR(VLOOKUP(Tabela32[[#This Row],[Placa]],Planilha2!$A$1:$B$12,2,0),"")</f>
        <v>Osvaldo</v>
      </c>
      <c r="G152" s="10">
        <v>7333</v>
      </c>
      <c r="H152" s="10">
        <v>75924.73</v>
      </c>
      <c r="I152" s="4">
        <v>657</v>
      </c>
      <c r="J152" s="17">
        <f>IFERROR(Tabela32[[#This Row],[Valor Frete]]/Tabela32[[#This Row],[Valor Mercadoria]],"")</f>
        <v>9.6582496901865836E-2</v>
      </c>
      <c r="K152" s="11">
        <v>0.29166666666666669</v>
      </c>
      <c r="L152" s="15">
        <v>0.78333333333333333</v>
      </c>
      <c r="M152" s="15">
        <f>Tabela32[[#This Row],[Hr Chegada]]-Tabela32[[#This Row],[Hr Saida]]</f>
        <v>0.49166666666666664</v>
      </c>
      <c r="N152" s="4">
        <v>141865</v>
      </c>
      <c r="O152" s="4">
        <v>141946</v>
      </c>
      <c r="P152" s="4">
        <f>Tabela32[[#This Row],[Km Chegada]]-Tabela32[[#This Row],[Km Saída]]</f>
        <v>81</v>
      </c>
      <c r="Q152" s="4">
        <v>163</v>
      </c>
      <c r="R152" s="4">
        <v>21</v>
      </c>
      <c r="S152" s="4">
        <v>21</v>
      </c>
      <c r="T152" s="12">
        <f>Tabela32[[#This Row],[Entregas]]-Tabela32[[#This Row],[Realizadas]]</f>
        <v>0</v>
      </c>
      <c r="U152" s="18">
        <f>Tabela32[[#This Row],[Realizadas]]/Tabela32[[#This Row],[Entregas]]</f>
        <v>1</v>
      </c>
      <c r="V152" s="19" t="str">
        <f>IF(Tabela32[[#This Row],[% Entrega]]&gt;=96%,"Atendeu a Meta","Não Atendeu a Meta")</f>
        <v>Atendeu a Meta</v>
      </c>
      <c r="W152" s="4" t="s">
        <v>65</v>
      </c>
      <c r="X152" s="4">
        <v>0</v>
      </c>
      <c r="Y152" s="5">
        <v>0</v>
      </c>
    </row>
    <row r="153" spans="1:25" x14ac:dyDescent="0.25">
      <c r="A153" s="8">
        <v>46258</v>
      </c>
      <c r="B153" s="16">
        <f>YEAR(Tabela32[[#This Row],[Data]])</f>
        <v>2026</v>
      </c>
      <c r="C153" s="16">
        <f>MONTH(Tabela32[[#This Row],[Data]])</f>
        <v>8</v>
      </c>
      <c r="D153" s="4" t="s">
        <v>34</v>
      </c>
      <c r="E153" s="4">
        <v>1</v>
      </c>
      <c r="F153" s="4" t="str">
        <f>IFERROR(VLOOKUP(Tabela32[[#This Row],[Placa]],Planilha2!$A$1:$B$12,2,0),"")</f>
        <v>Paulo</v>
      </c>
      <c r="G153" s="10">
        <v>1107.99</v>
      </c>
      <c r="H153" s="10">
        <v>18684.599999999999</v>
      </c>
      <c r="I153" s="4">
        <v>92</v>
      </c>
      <c r="J153" s="17">
        <f>IFERROR(Tabela32[[#This Row],[Valor Frete]]/Tabela32[[#This Row],[Valor Mercadoria]],"")</f>
        <v>5.9299637134324526E-2</v>
      </c>
      <c r="K153" s="11">
        <v>0.29166666666666669</v>
      </c>
      <c r="L153" s="15">
        <v>0.73541666666666672</v>
      </c>
      <c r="M153" s="15">
        <f>Tabela32[[#This Row],[Hr Chegada]]-Tabela32[[#This Row],[Hr Saida]]</f>
        <v>0.44375000000000003</v>
      </c>
      <c r="N153" s="4">
        <v>154300</v>
      </c>
      <c r="O153" s="4">
        <v>154398</v>
      </c>
      <c r="P153" s="4">
        <f>Tabela32[[#This Row],[Km Chegada]]-Tabela32[[#This Row],[Km Saída]]</f>
        <v>98</v>
      </c>
      <c r="Q153" s="4">
        <v>13</v>
      </c>
      <c r="R153" s="4">
        <v>2</v>
      </c>
      <c r="S153" s="4">
        <v>2</v>
      </c>
      <c r="T153" s="12">
        <f>Tabela32[[#This Row],[Entregas]]-Tabela32[[#This Row],[Realizadas]]</f>
        <v>0</v>
      </c>
      <c r="U153" s="18">
        <f>Tabela32[[#This Row],[Realizadas]]/Tabela32[[#This Row],[Entregas]]</f>
        <v>1</v>
      </c>
      <c r="V153" s="19" t="str">
        <f>IF(Tabela32[[#This Row],[% Entrega]]&gt;=96%,"Atendeu a Meta","Não Atendeu a Meta")</f>
        <v>Atendeu a Meta</v>
      </c>
      <c r="W153" s="4" t="s">
        <v>41</v>
      </c>
      <c r="X153" s="4">
        <v>0</v>
      </c>
      <c r="Y153" s="5">
        <v>0</v>
      </c>
    </row>
    <row r="154" spans="1:25" x14ac:dyDescent="0.25">
      <c r="A154" s="8">
        <v>46258</v>
      </c>
      <c r="B154" s="16">
        <f>YEAR(Tabela32[[#This Row],[Data]])</f>
        <v>2026</v>
      </c>
      <c r="C154" s="16">
        <f>MONTH(Tabela32[[#This Row],[Data]])</f>
        <v>8</v>
      </c>
      <c r="D154" s="4" t="s">
        <v>29</v>
      </c>
      <c r="E154" s="4">
        <v>1</v>
      </c>
      <c r="F154" s="4" t="str">
        <f>IFERROR(VLOOKUP(Tabela32[[#This Row],[Placa]],Planilha2!$A$1:$B$12,2,0),"")</f>
        <v>Edilson</v>
      </c>
      <c r="G154" s="10">
        <v>12805.43</v>
      </c>
      <c r="H154" s="10">
        <v>336673.7</v>
      </c>
      <c r="I154" s="4">
        <v>2326</v>
      </c>
      <c r="J154" s="17">
        <f>IFERROR(Tabela32[[#This Row],[Valor Frete]]/Tabela32[[#This Row],[Valor Mercadoria]],"")</f>
        <v>3.8035136097651821E-2</v>
      </c>
      <c r="K154" s="11">
        <v>0.29166666666666669</v>
      </c>
      <c r="L154" s="15">
        <v>0.79166666666666663</v>
      </c>
      <c r="M154" s="15">
        <f>Tabela32[[#This Row],[Hr Chegada]]-Tabela32[[#This Row],[Hr Saida]]</f>
        <v>0.49999999999999994</v>
      </c>
      <c r="N154" s="4">
        <v>104102</v>
      </c>
      <c r="O154" s="4">
        <v>104135</v>
      </c>
      <c r="P154" s="4">
        <f>Tabela32[[#This Row],[Km Chegada]]-Tabela32[[#This Row],[Km Saída]]</f>
        <v>33</v>
      </c>
      <c r="Q154" s="4">
        <v>395</v>
      </c>
      <c r="R154" s="4">
        <v>8</v>
      </c>
      <c r="S154" s="4">
        <v>8</v>
      </c>
      <c r="T154" s="12">
        <f>Tabela32[[#This Row],[Entregas]]-Tabela32[[#This Row],[Realizadas]]</f>
        <v>0</v>
      </c>
      <c r="U154" s="18">
        <f>Tabela32[[#This Row],[Realizadas]]/Tabela32[[#This Row],[Entregas]]</f>
        <v>1</v>
      </c>
      <c r="V154" s="19" t="str">
        <f>IF(Tabela32[[#This Row],[% Entrega]]&gt;=96%,"Atendeu a Meta","Não Atendeu a Meta")</f>
        <v>Atendeu a Meta</v>
      </c>
      <c r="W154" s="4" t="s">
        <v>40</v>
      </c>
      <c r="X154" s="4">
        <v>0</v>
      </c>
      <c r="Y154" s="5">
        <v>0</v>
      </c>
    </row>
    <row r="155" spans="1:25" x14ac:dyDescent="0.25">
      <c r="A155" s="8">
        <v>46258</v>
      </c>
      <c r="B155" s="16">
        <f>YEAR(Tabela32[[#This Row],[Data]])</f>
        <v>2026</v>
      </c>
      <c r="C155" s="16">
        <f>MONTH(Tabela32[[#This Row],[Data]])</f>
        <v>8</v>
      </c>
      <c r="D155" s="4" t="s">
        <v>55</v>
      </c>
      <c r="E155" s="4">
        <v>3</v>
      </c>
      <c r="F155" s="4" t="str">
        <f>IFERROR(VLOOKUP(Tabela32[[#This Row],[Placa]],Planilha2!$A$1:$B$12,2,0),"")</f>
        <v>Arnaldo</v>
      </c>
      <c r="G155" s="10">
        <v>6572.41</v>
      </c>
      <c r="H155" s="10">
        <v>145386.14000000001</v>
      </c>
      <c r="I155" s="4">
        <v>1089</v>
      </c>
      <c r="J155" s="17">
        <f>IFERROR(Tabela32[[#This Row],[Valor Frete]]/Tabela32[[#This Row],[Valor Mercadoria]],"")</f>
        <v>4.5206578838945716E-2</v>
      </c>
      <c r="K155" s="11">
        <v>0.29166666666666669</v>
      </c>
      <c r="L155" s="15">
        <v>0.75555555555555554</v>
      </c>
      <c r="M155" s="15">
        <f>Tabela32[[#This Row],[Hr Chegada]]-Tabela32[[#This Row],[Hr Saida]]</f>
        <v>0.46388888888888885</v>
      </c>
      <c r="N155" s="4">
        <v>12523</v>
      </c>
      <c r="O155" s="4">
        <v>12589</v>
      </c>
      <c r="P155" s="4">
        <f>Tabela32[[#This Row],[Km Chegada]]-Tabela32[[#This Row],[Km Saída]]</f>
        <v>66</v>
      </c>
      <c r="Q155" s="4">
        <v>199</v>
      </c>
      <c r="R155" s="4">
        <v>20</v>
      </c>
      <c r="S155" s="4">
        <v>20</v>
      </c>
      <c r="T155" s="12">
        <f>Tabela32[[#This Row],[Entregas]]-Tabela32[[#This Row],[Realizadas]]</f>
        <v>0</v>
      </c>
      <c r="U155" s="18">
        <f>Tabela32[[#This Row],[Realizadas]]/Tabela32[[#This Row],[Entregas]]</f>
        <v>1</v>
      </c>
      <c r="V155" s="19" t="str">
        <f>IF(Tabela32[[#This Row],[% Entrega]]&gt;=96%,"Atendeu a Meta","Não Atendeu a Meta")</f>
        <v>Atendeu a Meta</v>
      </c>
      <c r="W155" s="4" t="s">
        <v>40</v>
      </c>
      <c r="X155" s="4">
        <v>1</v>
      </c>
      <c r="Y155" s="5">
        <v>38</v>
      </c>
    </row>
    <row r="156" spans="1:25" x14ac:dyDescent="0.25">
      <c r="A156" s="8">
        <v>46258</v>
      </c>
      <c r="B156" s="16">
        <f>YEAR(Tabela32[[#This Row],[Data]])</f>
        <v>2026</v>
      </c>
      <c r="C156" s="16">
        <f>MONTH(Tabela32[[#This Row],[Data]])</f>
        <v>8</v>
      </c>
      <c r="D156" s="4" t="s">
        <v>22</v>
      </c>
      <c r="E156" s="4">
        <v>5</v>
      </c>
      <c r="F156" s="4" t="str">
        <f>IFERROR(VLOOKUP(Tabela32[[#This Row],[Placa]],Planilha2!$A$1:$B$12,2,0),"")</f>
        <v>Juscelino</v>
      </c>
      <c r="G156" s="10">
        <v>4996.9399999999996</v>
      </c>
      <c r="H156" s="10">
        <v>93418.03</v>
      </c>
      <c r="I156" s="4">
        <v>1473</v>
      </c>
      <c r="J156" s="17">
        <f>IFERROR(Tabela32[[#This Row],[Valor Frete]]/Tabela32[[#This Row],[Valor Mercadoria]],"")</f>
        <v>5.3490102499485374E-2</v>
      </c>
      <c r="K156" s="11">
        <v>0.29166666666666669</v>
      </c>
      <c r="L156" s="15">
        <v>0.74097222222222225</v>
      </c>
      <c r="M156" s="15">
        <f>Tabela32[[#This Row],[Hr Chegada]]-Tabela32[[#This Row],[Hr Saida]]</f>
        <v>0.44930555555555557</v>
      </c>
      <c r="N156" s="4">
        <v>303335</v>
      </c>
      <c r="O156" s="4">
        <v>303436</v>
      </c>
      <c r="P156" s="4">
        <f>Tabela32[[#This Row],[Km Chegada]]-Tabela32[[#This Row],[Km Saída]]</f>
        <v>101</v>
      </c>
      <c r="Q156" s="4">
        <v>116</v>
      </c>
      <c r="R156" s="4">
        <v>15</v>
      </c>
      <c r="S156" s="4">
        <v>15</v>
      </c>
      <c r="T156" s="12">
        <f>Tabela32[[#This Row],[Entregas]]-Tabela32[[#This Row],[Realizadas]]</f>
        <v>0</v>
      </c>
      <c r="U156" s="18">
        <f>Tabela32[[#This Row],[Realizadas]]/Tabela32[[#This Row],[Entregas]]</f>
        <v>1</v>
      </c>
      <c r="V156" s="19" t="str">
        <f>IF(Tabela32[[#This Row],[% Entrega]]&gt;=96%,"Atendeu a Meta","Não Atendeu a Meta")</f>
        <v>Atendeu a Meta</v>
      </c>
      <c r="W156" s="4" t="s">
        <v>40</v>
      </c>
      <c r="X156" s="4">
        <v>0</v>
      </c>
      <c r="Y156" s="5">
        <v>0</v>
      </c>
    </row>
    <row r="157" spans="1:25" x14ac:dyDescent="0.25">
      <c r="A157" s="8">
        <v>46258</v>
      </c>
      <c r="B157" s="16">
        <f>YEAR(Tabela32[[#This Row],[Data]])</f>
        <v>2026</v>
      </c>
      <c r="C157" s="16">
        <f>MONTH(Tabela32[[#This Row],[Data]])</f>
        <v>8</v>
      </c>
      <c r="D157" s="4" t="s">
        <v>28</v>
      </c>
      <c r="E157" s="4">
        <v>3</v>
      </c>
      <c r="F157" s="4" t="str">
        <f>IFERROR(VLOOKUP(Tabela32[[#This Row],[Placa]],Planilha2!$A$1:$B$12,2,0),"")</f>
        <v>Rosinaldo</v>
      </c>
      <c r="G157" s="10">
        <v>7675.58</v>
      </c>
      <c r="H157" s="10">
        <v>100507.22</v>
      </c>
      <c r="I157" s="4">
        <v>1567</v>
      </c>
      <c r="J157" s="17">
        <f>IFERROR(Tabela32[[#This Row],[Valor Frete]]/Tabela32[[#This Row],[Valor Mercadoria]],"")</f>
        <v>7.6368443978452494E-2</v>
      </c>
      <c r="K157" s="11">
        <v>0.29166666666666669</v>
      </c>
      <c r="L157" s="15">
        <v>0.73611111111111116</v>
      </c>
      <c r="M157" s="15">
        <f>Tabela32[[#This Row],[Hr Chegada]]-Tabela32[[#This Row],[Hr Saida]]</f>
        <v>0.44444444444444448</v>
      </c>
      <c r="N157" s="4">
        <v>290485</v>
      </c>
      <c r="O157" s="4">
        <v>290557</v>
      </c>
      <c r="P157" s="4">
        <f>Tabela32[[#This Row],[Km Chegada]]-Tabela32[[#This Row],[Km Saída]]</f>
        <v>72</v>
      </c>
      <c r="Q157" s="4">
        <v>69</v>
      </c>
      <c r="R157" s="4">
        <v>5</v>
      </c>
      <c r="S157" s="4">
        <v>5</v>
      </c>
      <c r="T157" s="12">
        <f>Tabela32[[#This Row],[Entregas]]-Tabela32[[#This Row],[Realizadas]]</f>
        <v>0</v>
      </c>
      <c r="U157" s="18">
        <f>Tabela32[[#This Row],[Realizadas]]/Tabela32[[#This Row],[Entregas]]</f>
        <v>1</v>
      </c>
      <c r="V157" s="19" t="str">
        <f>IF(Tabela32[[#This Row],[% Entrega]]&gt;=96%,"Atendeu a Meta","Não Atendeu a Meta")</f>
        <v>Atendeu a Meta</v>
      </c>
      <c r="W157" s="4" t="s">
        <v>45</v>
      </c>
      <c r="X157" s="4">
        <v>0</v>
      </c>
      <c r="Y157" s="5">
        <v>0</v>
      </c>
    </row>
    <row r="158" spans="1:25" x14ac:dyDescent="0.25">
      <c r="A158" s="8">
        <v>46258</v>
      </c>
      <c r="B158" s="16">
        <f>YEAR(Tabela32[[#This Row],[Data]])</f>
        <v>2026</v>
      </c>
      <c r="C158" s="16">
        <f>MONTH(Tabela32[[#This Row],[Data]])</f>
        <v>8</v>
      </c>
      <c r="D158" s="4" t="s">
        <v>24</v>
      </c>
      <c r="E158" s="4">
        <v>1</v>
      </c>
      <c r="F158" s="4" t="str">
        <f>IFERROR(VLOOKUP(Tabela32[[#This Row],[Placa]],Planilha2!$A$1:$B$12,2,0),"")</f>
        <v>Wesley</v>
      </c>
      <c r="G158" s="10">
        <v>6915.91</v>
      </c>
      <c r="H158" s="10">
        <v>215754.15</v>
      </c>
      <c r="I158" s="4">
        <v>1161</v>
      </c>
      <c r="J158" s="17">
        <f>IFERROR(Tabela32[[#This Row],[Valor Frete]]/Tabela32[[#This Row],[Valor Mercadoria]],"")</f>
        <v>3.2054586203787969E-2</v>
      </c>
      <c r="K158" s="11">
        <v>0.29166666666666669</v>
      </c>
      <c r="L158" s="15">
        <v>0.68055555555555558</v>
      </c>
      <c r="M158" s="15">
        <f>Tabela32[[#This Row],[Hr Chegada]]-Tabela32[[#This Row],[Hr Saida]]</f>
        <v>0.3888888888888889</v>
      </c>
      <c r="N158" s="4">
        <v>124251</v>
      </c>
      <c r="O158" s="4">
        <v>124299</v>
      </c>
      <c r="P158" s="4">
        <f>Tabela32[[#This Row],[Km Chegada]]-Tabela32[[#This Row],[Km Saída]]</f>
        <v>48</v>
      </c>
      <c r="Q158" s="4">
        <v>200</v>
      </c>
      <c r="R158" s="4">
        <v>15</v>
      </c>
      <c r="S158" s="4">
        <v>15</v>
      </c>
      <c r="T158" s="12">
        <f>Tabela32[[#This Row],[Entregas]]-Tabela32[[#This Row],[Realizadas]]</f>
        <v>0</v>
      </c>
      <c r="U158" s="18">
        <f>Tabela32[[#This Row],[Realizadas]]/Tabela32[[#This Row],[Entregas]]</f>
        <v>1</v>
      </c>
      <c r="V158" s="19" t="str">
        <f>IF(Tabela32[[#This Row],[% Entrega]]&gt;=96%,"Atendeu a Meta","Não Atendeu a Meta")</f>
        <v>Atendeu a Meta</v>
      </c>
      <c r="W158" s="4" t="s">
        <v>45</v>
      </c>
      <c r="X158" s="4">
        <v>0</v>
      </c>
      <c r="Y158" s="5">
        <v>0</v>
      </c>
    </row>
    <row r="159" spans="1:25" x14ac:dyDescent="0.25">
      <c r="A159" s="8">
        <v>46259</v>
      </c>
      <c r="B159" s="16">
        <f>YEAR(Tabela32[[#This Row],[Data]])</f>
        <v>2026</v>
      </c>
      <c r="C159" s="16">
        <f>MONTH(Tabela32[[#This Row],[Data]])</f>
        <v>8</v>
      </c>
      <c r="D159" s="4" t="s">
        <v>26</v>
      </c>
      <c r="E159" s="4">
        <v>11</v>
      </c>
      <c r="F159" s="4" t="str">
        <f>IFERROR(VLOOKUP(Tabela32[[#This Row],[Placa]],Planilha2!$A$1:$B$12,2,0),"")</f>
        <v>Gilberto</v>
      </c>
      <c r="G159" s="10">
        <v>14687.19</v>
      </c>
      <c r="H159" s="10">
        <v>313360.65000000002</v>
      </c>
      <c r="I159" s="4">
        <v>2095</v>
      </c>
      <c r="J159" s="17">
        <f>IFERROR(Tabela32[[#This Row],[Valor Frete]]/Tabela32[[#This Row],[Valor Mercadoria]],"")</f>
        <v>4.6869924478392548E-2</v>
      </c>
      <c r="K159" s="11">
        <v>0.29166666666666669</v>
      </c>
      <c r="L159" s="15">
        <v>0.70833333333333337</v>
      </c>
      <c r="M159" s="15">
        <f>Tabela32[[#This Row],[Hr Chegada]]-Tabela32[[#This Row],[Hr Saida]]</f>
        <v>0.41666666666666669</v>
      </c>
      <c r="N159" s="4">
        <v>118496</v>
      </c>
      <c r="O159" s="4">
        <v>118661</v>
      </c>
      <c r="P159" s="4">
        <f>Tabela32[[#This Row],[Km Chegada]]-Tabela32[[#This Row],[Km Saída]]</f>
        <v>165</v>
      </c>
      <c r="Q159" s="4">
        <v>311</v>
      </c>
      <c r="R159" s="4">
        <v>37</v>
      </c>
      <c r="S159" s="4">
        <v>37</v>
      </c>
      <c r="T159" s="12">
        <f>Tabela32[[#This Row],[Entregas]]-Tabela32[[#This Row],[Realizadas]]</f>
        <v>0</v>
      </c>
      <c r="U159" s="18">
        <f>Tabela32[[#This Row],[Realizadas]]/Tabela32[[#This Row],[Entregas]]</f>
        <v>1</v>
      </c>
      <c r="V159" s="19" t="str">
        <f>IF(Tabela32[[#This Row],[% Entrega]]&gt;=96%,"Atendeu a Meta","Não Atendeu a Meta")</f>
        <v>Atendeu a Meta</v>
      </c>
      <c r="W159" s="4" t="s">
        <v>42</v>
      </c>
      <c r="X159" s="4">
        <v>0</v>
      </c>
      <c r="Y159" s="5">
        <v>0</v>
      </c>
    </row>
    <row r="160" spans="1:25" x14ac:dyDescent="0.25">
      <c r="A160" s="8">
        <v>46259</v>
      </c>
      <c r="B160" s="16">
        <f>YEAR(Tabela32[[#This Row],[Data]])</f>
        <v>2026</v>
      </c>
      <c r="C160" s="16">
        <f>MONTH(Tabela32[[#This Row],[Data]])</f>
        <v>8</v>
      </c>
      <c r="D160" s="4" t="s">
        <v>22</v>
      </c>
      <c r="E160" s="4">
        <v>5</v>
      </c>
      <c r="F160" s="4" t="str">
        <f>IFERROR(VLOOKUP(Tabela32[[#This Row],[Placa]],Planilha2!$A$1:$B$12,2,0),"")</f>
        <v>Juscelino</v>
      </c>
      <c r="G160" s="10">
        <v>4179.62</v>
      </c>
      <c r="H160" s="10">
        <v>71532.98</v>
      </c>
      <c r="I160" s="4">
        <v>519</v>
      </c>
      <c r="J160" s="17">
        <f>IFERROR(Tabela32[[#This Row],[Valor Frete]]/Tabela32[[#This Row],[Valor Mercadoria]],"")</f>
        <v>5.8429272763416258E-2</v>
      </c>
      <c r="K160" s="11">
        <v>0.29166666666666669</v>
      </c>
      <c r="L160" s="15">
        <v>0.7583333333333333</v>
      </c>
      <c r="M160" s="15">
        <f>Tabela32[[#This Row],[Hr Chegada]]-Tabela32[[#This Row],[Hr Saida]]</f>
        <v>0.46666666666666662</v>
      </c>
      <c r="N160" s="4">
        <v>303436</v>
      </c>
      <c r="O160" s="4">
        <v>303490</v>
      </c>
      <c r="P160" s="4">
        <f>Tabela32[[#This Row],[Km Chegada]]-Tabela32[[#This Row],[Km Saída]]</f>
        <v>54</v>
      </c>
      <c r="Q160" s="4">
        <v>66</v>
      </c>
      <c r="R160" s="4">
        <v>20</v>
      </c>
      <c r="S160" s="4">
        <v>20</v>
      </c>
      <c r="T160" s="12">
        <f>Tabela32[[#This Row],[Entregas]]-Tabela32[[#This Row],[Realizadas]]</f>
        <v>0</v>
      </c>
      <c r="U160" s="18">
        <f>Tabela32[[#This Row],[Realizadas]]/Tabela32[[#This Row],[Entregas]]</f>
        <v>1</v>
      </c>
      <c r="V160" s="19" t="str">
        <f>IF(Tabela32[[#This Row],[% Entrega]]&gt;=96%,"Atendeu a Meta","Não Atendeu a Meta")</f>
        <v>Atendeu a Meta</v>
      </c>
      <c r="W160" s="4" t="s">
        <v>40</v>
      </c>
      <c r="X160" s="4">
        <v>0</v>
      </c>
      <c r="Y160" s="5">
        <v>0</v>
      </c>
    </row>
    <row r="161" spans="1:25" x14ac:dyDescent="0.25">
      <c r="A161" s="8">
        <v>46259</v>
      </c>
      <c r="B161" s="16">
        <f>YEAR(Tabela32[[#This Row],[Data]])</f>
        <v>2026</v>
      </c>
      <c r="C161" s="16">
        <f>MONTH(Tabela32[[#This Row],[Data]])</f>
        <v>8</v>
      </c>
      <c r="D161" s="4" t="s">
        <v>55</v>
      </c>
      <c r="E161" s="4">
        <v>3</v>
      </c>
      <c r="F161" s="4" t="str">
        <f>IFERROR(VLOOKUP(Tabela32[[#This Row],[Placa]],Planilha2!$A$1:$B$12,2,0),"")</f>
        <v>Arnaldo</v>
      </c>
      <c r="G161" s="10">
        <v>9947.27</v>
      </c>
      <c r="H161" s="10">
        <v>188381.87</v>
      </c>
      <c r="I161" s="4">
        <v>2322</v>
      </c>
      <c r="J161" s="17">
        <f>IFERROR(Tabela32[[#This Row],[Valor Frete]]/Tabela32[[#This Row],[Valor Mercadoria]],"")</f>
        <v>5.2803754416494542E-2</v>
      </c>
      <c r="K161" s="11">
        <v>0.27083333333333331</v>
      </c>
      <c r="L161" s="15">
        <v>0.77083333333333337</v>
      </c>
      <c r="M161" s="15">
        <f>Tabela32[[#This Row],[Hr Chegada]]-Tabela32[[#This Row],[Hr Saida]]</f>
        <v>0.5</v>
      </c>
      <c r="N161" s="4">
        <v>12589</v>
      </c>
      <c r="O161" s="4">
        <v>12644</v>
      </c>
      <c r="P161" s="4">
        <f>Tabela32[[#This Row],[Km Chegada]]-Tabela32[[#This Row],[Km Saída]]</f>
        <v>55</v>
      </c>
      <c r="Q161" s="4">
        <v>165</v>
      </c>
      <c r="R161" s="4">
        <v>20</v>
      </c>
      <c r="S161" s="4">
        <v>17</v>
      </c>
      <c r="T161" s="12">
        <f>Tabela32[[#This Row],[Entregas]]-Tabela32[[#This Row],[Realizadas]]</f>
        <v>3</v>
      </c>
      <c r="U161" s="18">
        <f>Tabela32[[#This Row],[Realizadas]]/Tabela32[[#This Row],[Entregas]]</f>
        <v>0.85</v>
      </c>
      <c r="V161" s="19" t="str">
        <f>IF(Tabela32[[#This Row],[% Entrega]]&gt;=96%,"Atendeu a Meta","Não Atendeu a Meta")</f>
        <v>Não Atendeu a Meta</v>
      </c>
      <c r="W161" s="4" t="s">
        <v>40</v>
      </c>
      <c r="X161" s="4">
        <v>3</v>
      </c>
      <c r="Y161" s="5" t="s">
        <v>72</v>
      </c>
    </row>
    <row r="162" spans="1:25" x14ac:dyDescent="0.25">
      <c r="A162" s="8">
        <v>46259</v>
      </c>
      <c r="B162" s="16">
        <f>YEAR(Tabela32[[#This Row],[Data]])</f>
        <v>2026</v>
      </c>
      <c r="C162" s="16">
        <f>MONTH(Tabela32[[#This Row],[Data]])</f>
        <v>8</v>
      </c>
      <c r="D162" s="4" t="s">
        <v>32</v>
      </c>
      <c r="E162" s="4">
        <v>2</v>
      </c>
      <c r="F162" s="4" t="str">
        <f>IFERROR(VLOOKUP(Tabela32[[#This Row],[Placa]],Planilha2!$A$1:$B$12,2,0),"")</f>
        <v>Jerson</v>
      </c>
      <c r="G162" s="10">
        <v>10500.14</v>
      </c>
      <c r="H162" s="10">
        <v>171291.32</v>
      </c>
      <c r="I162" s="4">
        <v>1911</v>
      </c>
      <c r="J162" s="17">
        <f>IFERROR(Tabela32[[#This Row],[Valor Frete]]/Tabela32[[#This Row],[Valor Mercadoria]],"")</f>
        <v>6.1299895406258756E-2</v>
      </c>
      <c r="K162" s="11">
        <v>0.29166666666666669</v>
      </c>
      <c r="L162" s="15">
        <v>0.69444444444444442</v>
      </c>
      <c r="M162" s="15">
        <f>Tabela32[[#This Row],[Hr Chegada]]-Tabela32[[#This Row],[Hr Saida]]</f>
        <v>0.40277777777777773</v>
      </c>
      <c r="N162" s="4">
        <v>279628</v>
      </c>
      <c r="O162" s="4">
        <v>279682</v>
      </c>
      <c r="P162" s="4">
        <f>Tabela32[[#This Row],[Km Chegada]]-Tabela32[[#This Row],[Km Saída]]</f>
        <v>54</v>
      </c>
      <c r="Q162" s="4">
        <v>218</v>
      </c>
      <c r="R162" s="4">
        <v>36</v>
      </c>
      <c r="S162" s="4">
        <v>36</v>
      </c>
      <c r="T162" s="12">
        <f>Tabela32[[#This Row],[Entregas]]-Tabela32[[#This Row],[Realizadas]]</f>
        <v>0</v>
      </c>
      <c r="U162" s="18">
        <f>Tabela32[[#This Row],[Realizadas]]/Tabela32[[#This Row],[Entregas]]</f>
        <v>1</v>
      </c>
      <c r="V162" s="19" t="str">
        <f>IF(Tabela32[[#This Row],[% Entrega]]&gt;=96%,"Atendeu a Meta","Não Atendeu a Meta")</f>
        <v>Atendeu a Meta</v>
      </c>
      <c r="W162" s="4" t="s">
        <v>40</v>
      </c>
      <c r="X162" s="4">
        <v>0</v>
      </c>
      <c r="Y162" s="5">
        <v>0</v>
      </c>
    </row>
    <row r="163" spans="1:25" x14ac:dyDescent="0.25">
      <c r="A163" s="8">
        <v>46259</v>
      </c>
      <c r="B163" s="16">
        <f>YEAR(Tabela32[[#This Row],[Data]])</f>
        <v>2026</v>
      </c>
      <c r="C163" s="16">
        <f>MONTH(Tabela32[[#This Row],[Data]])</f>
        <v>8</v>
      </c>
      <c r="D163" s="4" t="s">
        <v>24</v>
      </c>
      <c r="E163" s="4">
        <v>4</v>
      </c>
      <c r="F163" s="4" t="str">
        <f>IFERROR(VLOOKUP(Tabela32[[#This Row],[Placa]],Planilha2!$A$1:$B$12,2,0),"")</f>
        <v>Wesley</v>
      </c>
      <c r="G163" s="10">
        <v>3983.6</v>
      </c>
      <c r="H163" s="10">
        <v>71972.31</v>
      </c>
      <c r="I163" s="4">
        <v>412</v>
      </c>
      <c r="J163" s="17">
        <f>IFERROR(Tabela32[[#This Row],[Valor Frete]]/Tabela32[[#This Row],[Valor Mercadoria]],"")</f>
        <v>5.5349064105348296E-2</v>
      </c>
      <c r="K163" s="11">
        <v>0.29166666666666669</v>
      </c>
      <c r="L163" s="15">
        <v>0.71875</v>
      </c>
      <c r="M163" s="15">
        <f>Tabela32[[#This Row],[Hr Chegada]]-Tabela32[[#This Row],[Hr Saida]]</f>
        <v>0.42708333333333331</v>
      </c>
      <c r="N163" s="4">
        <v>124299</v>
      </c>
      <c r="O163" s="4">
        <v>124372</v>
      </c>
      <c r="P163" s="4">
        <f>Tabela32[[#This Row],[Km Chegada]]-Tabela32[[#This Row],[Km Saída]]</f>
        <v>73</v>
      </c>
      <c r="Q163" s="4">
        <v>91</v>
      </c>
      <c r="R163" s="4">
        <v>17</v>
      </c>
      <c r="S163" s="4">
        <v>17</v>
      </c>
      <c r="T163" s="12">
        <f>Tabela32[[#This Row],[Entregas]]-Tabela32[[#This Row],[Realizadas]]</f>
        <v>0</v>
      </c>
      <c r="U163" s="18">
        <f>Tabela32[[#This Row],[Realizadas]]/Tabela32[[#This Row],[Entregas]]</f>
        <v>1</v>
      </c>
      <c r="V163" s="19" t="str">
        <f>IF(Tabela32[[#This Row],[% Entrega]]&gt;=96%,"Atendeu a Meta","Não Atendeu a Meta")</f>
        <v>Atendeu a Meta</v>
      </c>
      <c r="W163" s="4" t="s">
        <v>40</v>
      </c>
      <c r="X163" s="4">
        <v>0</v>
      </c>
      <c r="Y163" s="5">
        <v>0</v>
      </c>
    </row>
    <row r="164" spans="1:25" x14ac:dyDescent="0.25">
      <c r="A164" s="8">
        <v>46259</v>
      </c>
      <c r="B164" s="16">
        <f>YEAR(Tabela32[[#This Row],[Data]])</f>
        <v>2026</v>
      </c>
      <c r="C164" s="16">
        <f>MONTH(Tabela32[[#This Row],[Data]])</f>
        <v>8</v>
      </c>
      <c r="D164" s="4" t="s">
        <v>34</v>
      </c>
      <c r="E164" s="4">
        <v>1</v>
      </c>
      <c r="F164" s="4" t="str">
        <f>IFERROR(VLOOKUP(Tabela32[[#This Row],[Placa]],Planilha2!$A$1:$B$12,2,0),"")</f>
        <v>Paulo</v>
      </c>
      <c r="G164" s="10">
        <v>1181</v>
      </c>
      <c r="H164" s="10">
        <v>11744.12</v>
      </c>
      <c r="I164" s="4">
        <v>103</v>
      </c>
      <c r="J164" s="17">
        <f>IFERROR(Tabela32[[#This Row],[Valor Frete]]/Tabela32[[#This Row],[Valor Mercadoria]],"")</f>
        <v>0.10056096157055615</v>
      </c>
      <c r="K164" s="11">
        <v>0.29166666666666669</v>
      </c>
      <c r="L164" s="15">
        <v>0.74861111111111112</v>
      </c>
      <c r="M164" s="15">
        <f>Tabela32[[#This Row],[Hr Chegada]]-Tabela32[[#This Row],[Hr Saida]]</f>
        <v>0.45694444444444443</v>
      </c>
      <c r="N164" s="4">
        <v>154398</v>
      </c>
      <c r="O164" s="4">
        <v>154444</v>
      </c>
      <c r="P164" s="4">
        <f>Tabela32[[#This Row],[Km Chegada]]-Tabela32[[#This Row],[Km Saída]]</f>
        <v>46</v>
      </c>
      <c r="Q164" s="4">
        <v>20</v>
      </c>
      <c r="R164" s="4">
        <v>2</v>
      </c>
      <c r="S164" s="4">
        <v>2</v>
      </c>
      <c r="T164" s="12">
        <f>Tabela32[[#This Row],[Entregas]]-Tabela32[[#This Row],[Realizadas]]</f>
        <v>0</v>
      </c>
      <c r="U164" s="18">
        <f>Tabela32[[#This Row],[Realizadas]]/Tabela32[[#This Row],[Entregas]]</f>
        <v>1</v>
      </c>
      <c r="V164" s="19" t="str">
        <f>IF(Tabela32[[#This Row],[% Entrega]]&gt;=96%,"Atendeu a Meta","Não Atendeu a Meta")</f>
        <v>Atendeu a Meta</v>
      </c>
      <c r="W164" s="4" t="s">
        <v>41</v>
      </c>
      <c r="X164" s="4">
        <v>0</v>
      </c>
      <c r="Y164" s="5">
        <v>0</v>
      </c>
    </row>
    <row r="165" spans="1:25" x14ac:dyDescent="0.25">
      <c r="A165" s="8">
        <v>46259</v>
      </c>
      <c r="B165" s="16">
        <f>YEAR(Tabela32[[#This Row],[Data]])</f>
        <v>2026</v>
      </c>
      <c r="C165" s="16">
        <f>MONTH(Tabela32[[#This Row],[Data]])</f>
        <v>8</v>
      </c>
      <c r="D165" s="4" t="s">
        <v>36</v>
      </c>
      <c r="E165" s="4">
        <v>1</v>
      </c>
      <c r="F165" s="4" t="str">
        <f>IFERROR(VLOOKUP(Tabela32[[#This Row],[Placa]],Planilha2!$A$1:$B$12,2,0),"")</f>
        <v>Osvaldo</v>
      </c>
      <c r="G165" s="10">
        <v>15587.3</v>
      </c>
      <c r="H165" s="10">
        <v>254038.19</v>
      </c>
      <c r="I165" s="4">
        <v>3476</v>
      </c>
      <c r="J165" s="17">
        <f>IFERROR(Tabela32[[#This Row],[Valor Frete]]/Tabela32[[#This Row],[Valor Mercadoria]],"")</f>
        <v>6.1358097378980694E-2</v>
      </c>
      <c r="K165" s="11">
        <v>0.29166666666666669</v>
      </c>
      <c r="L165" s="15">
        <v>0.73611111111111116</v>
      </c>
      <c r="M165" s="15">
        <f>Tabela32[[#This Row],[Hr Chegada]]-Tabela32[[#This Row],[Hr Saida]]</f>
        <v>0.44444444444444448</v>
      </c>
      <c r="N165" s="4">
        <v>141946</v>
      </c>
      <c r="O165" s="4">
        <v>142125</v>
      </c>
      <c r="P165" s="4">
        <f>Tabela32[[#This Row],[Km Chegada]]-Tabela32[[#This Row],[Km Saída]]</f>
        <v>179</v>
      </c>
      <c r="Q165" s="4">
        <v>286</v>
      </c>
      <c r="R165" s="4">
        <v>18</v>
      </c>
      <c r="S165" s="4">
        <v>18</v>
      </c>
      <c r="T165" s="12">
        <f>Tabela32[[#This Row],[Entregas]]-Tabela32[[#This Row],[Realizadas]]</f>
        <v>0</v>
      </c>
      <c r="U165" s="18">
        <f>Tabela32[[#This Row],[Realizadas]]/Tabela32[[#This Row],[Entregas]]</f>
        <v>1</v>
      </c>
      <c r="V165" s="19" t="str">
        <f>IF(Tabela32[[#This Row],[% Entrega]]&gt;=96%,"Atendeu a Meta","Não Atendeu a Meta")</f>
        <v>Atendeu a Meta</v>
      </c>
      <c r="W165" s="4" t="s">
        <v>45</v>
      </c>
      <c r="X165" s="4">
        <v>0</v>
      </c>
      <c r="Y165" s="5">
        <v>0</v>
      </c>
    </row>
    <row r="166" spans="1:25" x14ac:dyDescent="0.25">
      <c r="A166" s="8">
        <v>46259</v>
      </c>
      <c r="B166" s="16">
        <f>YEAR(Tabela32[[#This Row],[Data]])</f>
        <v>2026</v>
      </c>
      <c r="C166" s="16">
        <f>MONTH(Tabela32[[#This Row],[Data]])</f>
        <v>8</v>
      </c>
      <c r="D166" s="4" t="s">
        <v>29</v>
      </c>
      <c r="E166" s="4">
        <v>11</v>
      </c>
      <c r="F166" s="4" t="str">
        <f>IFERROR(VLOOKUP(Tabela32[[#This Row],[Placa]],Planilha2!$A$1:$B$12,2,0),"")</f>
        <v>Edilson</v>
      </c>
      <c r="G166" s="10">
        <v>26282.29</v>
      </c>
      <c r="H166" s="10">
        <v>449177.83</v>
      </c>
      <c r="I166" s="4">
        <v>4351</v>
      </c>
      <c r="J166" s="17">
        <f>IFERROR(Tabela32[[#This Row],[Valor Frete]]/Tabela32[[#This Row],[Valor Mercadoria]],"")</f>
        <v>5.8511992900451032E-2</v>
      </c>
      <c r="K166" s="11">
        <v>0.27083333333333331</v>
      </c>
      <c r="L166" s="15">
        <v>0.74652777777777779</v>
      </c>
      <c r="M166" s="15">
        <f>Tabela32[[#This Row],[Hr Chegada]]-Tabela32[[#This Row],[Hr Saida]]</f>
        <v>0.47569444444444448</v>
      </c>
      <c r="N166" s="4">
        <v>104135</v>
      </c>
      <c r="O166" s="4">
        <v>104265</v>
      </c>
      <c r="P166" s="4">
        <f>Tabela32[[#This Row],[Km Chegada]]-Tabela32[[#This Row],[Km Saída]]</f>
        <v>130</v>
      </c>
      <c r="Q166" s="4">
        <v>683</v>
      </c>
      <c r="R166" s="4">
        <v>44</v>
      </c>
      <c r="S166" s="4">
        <v>44</v>
      </c>
      <c r="T166" s="12">
        <f>Tabela32[[#This Row],[Entregas]]-Tabela32[[#This Row],[Realizadas]]</f>
        <v>0</v>
      </c>
      <c r="U166" s="18">
        <f>Tabela32[[#This Row],[Realizadas]]/Tabela32[[#This Row],[Entregas]]</f>
        <v>1</v>
      </c>
      <c r="V166" s="19" t="str">
        <f>IF(Tabela32[[#This Row],[% Entrega]]&gt;=96%,"Atendeu a Meta","Não Atendeu a Meta")</f>
        <v>Atendeu a Meta</v>
      </c>
      <c r="W166" s="4" t="s">
        <v>42</v>
      </c>
      <c r="X166" s="4">
        <v>0</v>
      </c>
      <c r="Y166" s="5">
        <v>38.380000000000003</v>
      </c>
    </row>
    <row r="167" spans="1:25" x14ac:dyDescent="0.25">
      <c r="A167" s="8">
        <v>46259</v>
      </c>
      <c r="B167" s="16">
        <f>YEAR(Tabela32[[#This Row],[Data]])</f>
        <v>2026</v>
      </c>
      <c r="C167" s="16">
        <f>MONTH(Tabela32[[#This Row],[Data]])</f>
        <v>8</v>
      </c>
      <c r="D167" s="4" t="s">
        <v>28</v>
      </c>
      <c r="E167" s="4">
        <v>1</v>
      </c>
      <c r="F167" s="4" t="str">
        <f>IFERROR(VLOOKUP(Tabela32[[#This Row],[Placa]],Planilha2!$A$1:$B$12,2,0),"")</f>
        <v>Rosinaldo</v>
      </c>
      <c r="G167" s="10">
        <v>5299.47</v>
      </c>
      <c r="H167" s="10">
        <v>135367.03</v>
      </c>
      <c r="I167" s="4">
        <v>540</v>
      </c>
      <c r="J167" s="17">
        <f>IFERROR(Tabela32[[#This Row],[Valor Frete]]/Tabela32[[#This Row],[Valor Mercadoria]],"")</f>
        <v>3.9148897630390506E-2</v>
      </c>
      <c r="K167" s="11">
        <v>0.29166666666666669</v>
      </c>
      <c r="L167" s="15">
        <v>0.73611111111111116</v>
      </c>
      <c r="M167" s="15">
        <f>Tabela32[[#This Row],[Hr Chegada]]-Tabela32[[#This Row],[Hr Saida]]</f>
        <v>0.44444444444444448</v>
      </c>
      <c r="N167" s="4">
        <v>290557</v>
      </c>
      <c r="O167" s="4">
        <v>290615</v>
      </c>
      <c r="P167" s="4">
        <f>Tabela32[[#This Row],[Km Chegada]]-Tabela32[[#This Row],[Km Saída]]</f>
        <v>58</v>
      </c>
      <c r="Q167" s="4">
        <v>105</v>
      </c>
      <c r="R167" s="4">
        <v>7</v>
      </c>
      <c r="S167" s="4">
        <v>7</v>
      </c>
      <c r="T167" s="12">
        <f>Tabela32[[#This Row],[Entregas]]-Tabela32[[#This Row],[Realizadas]]</f>
        <v>0</v>
      </c>
      <c r="U167" s="18">
        <f>Tabela32[[#This Row],[Realizadas]]/Tabela32[[#This Row],[Entregas]]</f>
        <v>1</v>
      </c>
      <c r="V167" s="19" t="str">
        <f>IF(Tabela32[[#This Row],[% Entrega]]&gt;=96%,"Atendeu a Meta","Não Atendeu a Meta")</f>
        <v>Atendeu a Meta</v>
      </c>
      <c r="W167" s="4" t="s">
        <v>45</v>
      </c>
      <c r="X167" s="4">
        <v>0</v>
      </c>
      <c r="Y167" s="5">
        <v>38.380000000000003</v>
      </c>
    </row>
    <row r="168" spans="1:25" x14ac:dyDescent="0.25">
      <c r="A168" s="8">
        <v>46259</v>
      </c>
      <c r="B168" s="16">
        <f>YEAR(Tabela32[[#This Row],[Data]])</f>
        <v>2026</v>
      </c>
      <c r="C168" s="16">
        <f>MONTH(Tabela32[[#This Row],[Data]])</f>
        <v>8</v>
      </c>
      <c r="D168" s="4" t="s">
        <v>30</v>
      </c>
      <c r="E168" s="4">
        <v>1</v>
      </c>
      <c r="F168" s="4" t="str">
        <f>IFERROR(VLOOKUP(Tabela32[[#This Row],[Placa]],Planilha2!$A$1:$B$12,2,0),"")</f>
        <v>Sandro</v>
      </c>
      <c r="G168" s="10">
        <v>4376.83</v>
      </c>
      <c r="H168" s="10">
        <v>105895.2</v>
      </c>
      <c r="I168" s="4">
        <v>391</v>
      </c>
      <c r="J168" s="17">
        <f>IFERROR(Tabela32[[#This Row],[Valor Frete]]/Tabela32[[#This Row],[Valor Mercadoria]],"")</f>
        <v>4.1331712863283701E-2</v>
      </c>
      <c r="K168" s="11">
        <v>0.27083333333333331</v>
      </c>
      <c r="L168" s="15">
        <v>0.74861111111111112</v>
      </c>
      <c r="M168" s="15">
        <f>Tabela32[[#This Row],[Hr Chegada]]-Tabela32[[#This Row],[Hr Saida]]</f>
        <v>0.4777777777777778</v>
      </c>
      <c r="N168" s="4">
        <v>274901</v>
      </c>
      <c r="O168" s="4">
        <v>274963</v>
      </c>
      <c r="P168" s="4">
        <f>Tabela32[[#This Row],[Km Chegada]]-Tabela32[[#This Row],[Km Saída]]</f>
        <v>62</v>
      </c>
      <c r="Q168" s="4">
        <v>114</v>
      </c>
      <c r="R168" s="4">
        <v>5</v>
      </c>
      <c r="S168" s="4">
        <v>5</v>
      </c>
      <c r="T168" s="12">
        <f>Tabela32[[#This Row],[Entregas]]-Tabela32[[#This Row],[Realizadas]]</f>
        <v>0</v>
      </c>
      <c r="U168" s="18">
        <f>Tabela32[[#This Row],[Realizadas]]/Tabela32[[#This Row],[Entregas]]</f>
        <v>1</v>
      </c>
      <c r="V168" s="19" t="str">
        <f>IF(Tabela32[[#This Row],[% Entrega]]&gt;=96%,"Atendeu a Meta","Não Atendeu a Meta")</f>
        <v>Atendeu a Meta</v>
      </c>
      <c r="W168" s="4" t="s">
        <v>41</v>
      </c>
      <c r="X168" s="4">
        <v>0</v>
      </c>
      <c r="Y168" s="5">
        <v>0</v>
      </c>
    </row>
    <row r="169" spans="1:25" x14ac:dyDescent="0.25">
      <c r="A169" s="8">
        <v>46260</v>
      </c>
      <c r="B169" s="16">
        <f>YEAR(Tabela32[[#This Row],[Data]])</f>
        <v>2026</v>
      </c>
      <c r="C169" s="16">
        <f>MONTH(Tabela32[[#This Row],[Data]])</f>
        <v>8</v>
      </c>
      <c r="D169" s="4" t="s">
        <v>30</v>
      </c>
      <c r="E169" s="4">
        <v>1</v>
      </c>
      <c r="F169" s="4" t="str">
        <f>IFERROR(VLOOKUP(Tabela32[[#This Row],[Placa]],Planilha2!$A$1:$B$12,2,0),"")</f>
        <v>Sandro</v>
      </c>
      <c r="G169" s="10">
        <v>12218.41</v>
      </c>
      <c r="H169" s="10">
        <v>181548.94</v>
      </c>
      <c r="I169" s="4">
        <v>2195</v>
      </c>
      <c r="J169" s="17">
        <f>IFERROR(Tabela32[[#This Row],[Valor Frete]]/Tabela32[[#This Row],[Valor Mercadoria]],"")</f>
        <v>6.7300916215759787E-2</v>
      </c>
      <c r="K169" s="11">
        <v>0.29166666666666669</v>
      </c>
      <c r="L169" s="15">
        <v>0.77083333333333337</v>
      </c>
      <c r="M169" s="15">
        <f>Tabela32[[#This Row],[Hr Chegada]]-Tabela32[[#This Row],[Hr Saida]]</f>
        <v>0.47916666666666669</v>
      </c>
      <c r="N169" s="4">
        <v>274963</v>
      </c>
      <c r="O169" s="4">
        <v>275086</v>
      </c>
      <c r="P169" s="4">
        <f>Tabela32[[#This Row],[Km Chegada]]-Tabela32[[#This Row],[Km Saída]]</f>
        <v>123</v>
      </c>
      <c r="Q169" s="4">
        <v>245</v>
      </c>
      <c r="R169" s="4">
        <v>27</v>
      </c>
      <c r="S169" s="4">
        <v>27</v>
      </c>
      <c r="T169" s="12">
        <f>Tabela32[[#This Row],[Entregas]]-Tabela32[[#This Row],[Realizadas]]</f>
        <v>0</v>
      </c>
      <c r="U169" s="18">
        <f>Tabela32[[#This Row],[Realizadas]]/Tabela32[[#This Row],[Entregas]]</f>
        <v>1</v>
      </c>
      <c r="V169" s="19" t="str">
        <f>IF(Tabela32[[#This Row],[% Entrega]]&gt;=96%,"Atendeu a Meta","Não Atendeu a Meta")</f>
        <v>Atendeu a Meta</v>
      </c>
      <c r="W169" s="4" t="s">
        <v>45</v>
      </c>
      <c r="X169" s="4">
        <v>0</v>
      </c>
      <c r="Y169" s="5">
        <v>0</v>
      </c>
    </row>
    <row r="170" spans="1:25" x14ac:dyDescent="0.25">
      <c r="A170" s="8">
        <v>46260</v>
      </c>
      <c r="B170" s="16">
        <f>YEAR(Tabela32[[#This Row],[Data]])</f>
        <v>2026</v>
      </c>
      <c r="C170" s="16">
        <f>MONTH(Tabela32[[#This Row],[Data]])</f>
        <v>8</v>
      </c>
      <c r="D170" s="4" t="s">
        <v>55</v>
      </c>
      <c r="E170" s="4">
        <v>3</v>
      </c>
      <c r="F170" s="4" t="str">
        <f>IFERROR(VLOOKUP(Tabela32[[#This Row],[Placa]],Planilha2!$A$1:$B$12,2,0),"")</f>
        <v>Arnaldo</v>
      </c>
      <c r="G170" s="10">
        <v>13755.4</v>
      </c>
      <c r="H170" s="10">
        <v>327486.59999999998</v>
      </c>
      <c r="I170" s="4">
        <v>3734</v>
      </c>
      <c r="J170" s="17">
        <f>IFERROR(Tabela32[[#This Row],[Valor Frete]]/Tabela32[[#This Row],[Valor Mercadoria]],"")</f>
        <v>4.200293996762005E-2</v>
      </c>
      <c r="K170" s="11">
        <v>0.29166666666666669</v>
      </c>
      <c r="L170" s="15">
        <v>0.77083333333333337</v>
      </c>
      <c r="M170" s="15">
        <f>Tabela32[[#This Row],[Hr Chegada]]-Tabela32[[#This Row],[Hr Saida]]</f>
        <v>0.47916666666666669</v>
      </c>
      <c r="N170" s="4">
        <v>12649</v>
      </c>
      <c r="O170" s="4">
        <v>12703</v>
      </c>
      <c r="P170" s="4">
        <f>Tabela32[[#This Row],[Km Chegada]]-Tabela32[[#This Row],[Km Saída]]</f>
        <v>54</v>
      </c>
      <c r="Q170" s="4">
        <v>232</v>
      </c>
      <c r="R170" s="4">
        <v>15</v>
      </c>
      <c r="S170" s="4">
        <v>11</v>
      </c>
      <c r="T170" s="12">
        <f>Tabela32[[#This Row],[Entregas]]-Tabela32[[#This Row],[Realizadas]]</f>
        <v>4</v>
      </c>
      <c r="U170" s="18">
        <f>Tabela32[[#This Row],[Realizadas]]/Tabela32[[#This Row],[Entregas]]</f>
        <v>0.73333333333333328</v>
      </c>
      <c r="V170" s="19" t="str">
        <f>IF(Tabela32[[#This Row],[% Entrega]]&gt;=96%,"Atendeu a Meta","Não Atendeu a Meta")</f>
        <v>Não Atendeu a Meta</v>
      </c>
      <c r="W170" s="4" t="s">
        <v>40</v>
      </c>
      <c r="X170" s="4">
        <v>4</v>
      </c>
      <c r="Y170" s="5" t="s">
        <v>73</v>
      </c>
    </row>
    <row r="171" spans="1:25" x14ac:dyDescent="0.25">
      <c r="A171" s="8">
        <v>46260</v>
      </c>
      <c r="B171" s="16">
        <f>YEAR(Tabela32[[#This Row],[Data]])</f>
        <v>2026</v>
      </c>
      <c r="C171" s="16">
        <f>MONTH(Tabela32[[#This Row],[Data]])</f>
        <v>8</v>
      </c>
      <c r="D171" s="4" t="s">
        <v>28</v>
      </c>
      <c r="E171" s="4">
        <v>5</v>
      </c>
      <c r="F171" s="4" t="str">
        <f>IFERROR(VLOOKUP(Tabela32[[#This Row],[Placa]],Planilha2!$A$1:$B$12,2,0),"")</f>
        <v>Rosinaldo</v>
      </c>
      <c r="G171" s="10">
        <v>5154.3100000000004</v>
      </c>
      <c r="H171" s="10">
        <v>162580.38</v>
      </c>
      <c r="I171" s="4">
        <v>1284</v>
      </c>
      <c r="J171" s="17">
        <f>IFERROR(Tabela32[[#This Row],[Valor Frete]]/Tabela32[[#This Row],[Valor Mercadoria]],"")</f>
        <v>3.1703148928548454E-2</v>
      </c>
      <c r="K171" s="11">
        <v>0.29166666666666669</v>
      </c>
      <c r="L171" s="15">
        <v>0.77083333333333337</v>
      </c>
      <c r="M171" s="15">
        <f>Tabela32[[#This Row],[Hr Chegada]]-Tabela32[[#This Row],[Hr Saida]]</f>
        <v>0.47916666666666669</v>
      </c>
      <c r="N171" s="4">
        <v>290615</v>
      </c>
      <c r="O171" s="4">
        <v>290711</v>
      </c>
      <c r="P171" s="4">
        <f>Tabela32[[#This Row],[Km Chegada]]-Tabela32[[#This Row],[Km Saída]]</f>
        <v>96</v>
      </c>
      <c r="Q171" s="4">
        <v>599</v>
      </c>
      <c r="R171" s="4">
        <v>19</v>
      </c>
      <c r="S171" s="4">
        <v>18</v>
      </c>
      <c r="T171" s="12">
        <f>Tabela32[[#This Row],[Entregas]]-Tabela32[[#This Row],[Realizadas]]</f>
        <v>1</v>
      </c>
      <c r="U171" s="18">
        <f>Tabela32[[#This Row],[Realizadas]]/Tabela32[[#This Row],[Entregas]]</f>
        <v>0.94736842105263153</v>
      </c>
      <c r="V171" s="19" t="str">
        <f>IF(Tabela32[[#This Row],[% Entrega]]&gt;=96%,"Atendeu a Meta","Não Atendeu a Meta")</f>
        <v>Não Atendeu a Meta</v>
      </c>
      <c r="W171" s="4" t="s">
        <v>40</v>
      </c>
      <c r="X171" s="4">
        <v>1</v>
      </c>
      <c r="Y171" s="5">
        <v>13</v>
      </c>
    </row>
    <row r="172" spans="1:25" x14ac:dyDescent="0.25">
      <c r="A172" s="8">
        <v>46260</v>
      </c>
      <c r="B172" s="16">
        <f>YEAR(Tabela32[[#This Row],[Data]])</f>
        <v>2026</v>
      </c>
      <c r="C172" s="16">
        <f>MONTH(Tabela32[[#This Row],[Data]])</f>
        <v>8</v>
      </c>
      <c r="D172" s="4" t="s">
        <v>26</v>
      </c>
      <c r="E172" s="4">
        <v>11</v>
      </c>
      <c r="F172" s="4" t="str">
        <f>IFERROR(VLOOKUP(Tabela32[[#This Row],[Placa]],Planilha2!$A$1:$B$12,2,0),"")</f>
        <v>Gilberto</v>
      </c>
      <c r="G172" s="10">
        <v>13592.33</v>
      </c>
      <c r="H172" s="10">
        <v>467084.96</v>
      </c>
      <c r="I172" s="4">
        <v>1915</v>
      </c>
      <c r="J172" s="17">
        <f>IFERROR(Tabela32[[#This Row],[Valor Frete]]/Tabela32[[#This Row],[Valor Mercadoria]],"")</f>
        <v>2.9100337548869051E-2</v>
      </c>
      <c r="K172" s="11">
        <v>0.27083333333333331</v>
      </c>
      <c r="L172" s="15">
        <v>0.70138888888888884</v>
      </c>
      <c r="M172" s="15">
        <f>Tabela32[[#This Row],[Hr Chegada]]-Tabela32[[#This Row],[Hr Saida]]</f>
        <v>0.43055555555555552</v>
      </c>
      <c r="N172" s="4">
        <v>118662</v>
      </c>
      <c r="O172" s="4">
        <v>118807</v>
      </c>
      <c r="P172" s="4">
        <f>Tabela32[[#This Row],[Km Chegada]]-Tabela32[[#This Row],[Km Saída]]</f>
        <v>145</v>
      </c>
      <c r="Q172" s="4">
        <v>103</v>
      </c>
      <c r="R172" s="4">
        <v>27</v>
      </c>
      <c r="S172" s="4">
        <v>27</v>
      </c>
      <c r="T172" s="12">
        <f>Tabela32[[#This Row],[Entregas]]-Tabela32[[#This Row],[Realizadas]]</f>
        <v>0</v>
      </c>
      <c r="U172" s="18">
        <f>Tabela32[[#This Row],[Realizadas]]/Tabela32[[#This Row],[Entregas]]</f>
        <v>1</v>
      </c>
      <c r="V172" s="19" t="str">
        <f>IF(Tabela32[[#This Row],[% Entrega]]&gt;=96%,"Atendeu a Meta","Não Atendeu a Meta")</f>
        <v>Atendeu a Meta</v>
      </c>
      <c r="W172" s="4" t="s">
        <v>42</v>
      </c>
      <c r="X172" s="4">
        <v>1</v>
      </c>
      <c r="Y172" s="5">
        <v>10</v>
      </c>
    </row>
    <row r="173" spans="1:25" x14ac:dyDescent="0.25">
      <c r="A173" s="8">
        <v>46260</v>
      </c>
      <c r="B173" s="16">
        <f>YEAR(Tabela32[[#This Row],[Data]])</f>
        <v>2026</v>
      </c>
      <c r="C173" s="16">
        <f>MONTH(Tabela32[[#This Row],[Data]])</f>
        <v>8</v>
      </c>
      <c r="D173" s="4" t="s">
        <v>24</v>
      </c>
      <c r="E173" s="4">
        <v>2</v>
      </c>
      <c r="F173" s="4" t="str">
        <f>IFERROR(VLOOKUP(Tabela32[[#This Row],[Placa]],Planilha2!$A$1:$B$12,2,0),"")</f>
        <v>Wesley</v>
      </c>
      <c r="G173" s="10">
        <v>11164.34</v>
      </c>
      <c r="H173" s="10">
        <v>223093.9</v>
      </c>
      <c r="I173" s="4">
        <v>2536</v>
      </c>
      <c r="J173" s="17">
        <f>IFERROR(Tabela32[[#This Row],[Valor Frete]]/Tabela32[[#This Row],[Valor Mercadoria]],"")</f>
        <v>5.004323291672251E-2</v>
      </c>
      <c r="K173" s="11">
        <v>0.29166666666666669</v>
      </c>
      <c r="L173" s="15">
        <v>0.79861111111111116</v>
      </c>
      <c r="M173" s="15">
        <f>Tabela32[[#This Row],[Hr Chegada]]-Tabela32[[#This Row],[Hr Saida]]</f>
        <v>0.50694444444444442</v>
      </c>
      <c r="N173" s="4">
        <v>124372</v>
      </c>
      <c r="O173" s="4">
        <v>124456</v>
      </c>
      <c r="P173" s="4">
        <f>Tabela32[[#This Row],[Km Chegada]]-Tabela32[[#This Row],[Km Saída]]</f>
        <v>84</v>
      </c>
      <c r="Q173" s="4">
        <v>397</v>
      </c>
      <c r="R173" s="4">
        <v>38</v>
      </c>
      <c r="S173" s="4">
        <v>38</v>
      </c>
      <c r="T173" s="12">
        <f>Tabela32[[#This Row],[Entregas]]-Tabela32[[#This Row],[Realizadas]]</f>
        <v>0</v>
      </c>
      <c r="U173" s="18">
        <f>Tabela32[[#This Row],[Realizadas]]/Tabela32[[#This Row],[Entregas]]</f>
        <v>1</v>
      </c>
      <c r="V173" s="19" t="str">
        <f>IF(Tabela32[[#This Row],[% Entrega]]&gt;=96%,"Atendeu a Meta","Não Atendeu a Meta")</f>
        <v>Atendeu a Meta</v>
      </c>
      <c r="W173" s="4" t="s">
        <v>40</v>
      </c>
      <c r="X173" s="4">
        <v>0</v>
      </c>
      <c r="Y173" s="5">
        <v>0</v>
      </c>
    </row>
    <row r="174" spans="1:25" x14ac:dyDescent="0.25">
      <c r="A174" s="8">
        <v>46260</v>
      </c>
      <c r="B174" s="16">
        <f>YEAR(Tabela32[[#This Row],[Data]])</f>
        <v>2026</v>
      </c>
      <c r="C174" s="16">
        <f>MONTH(Tabela32[[#This Row],[Data]])</f>
        <v>8</v>
      </c>
      <c r="D174" s="4" t="s">
        <v>22</v>
      </c>
      <c r="E174" s="4">
        <v>2</v>
      </c>
      <c r="F174" s="4" t="str">
        <f>IFERROR(VLOOKUP(Tabela32[[#This Row],[Placa]],Planilha2!$A$1:$B$12,2,0),"")</f>
        <v>Juscelino</v>
      </c>
      <c r="G174" s="10">
        <v>5030.4399999999996</v>
      </c>
      <c r="H174" s="10">
        <v>68379.62</v>
      </c>
      <c r="I174" s="4">
        <v>903</v>
      </c>
      <c r="J174" s="17">
        <f>IFERROR(Tabela32[[#This Row],[Valor Frete]]/Tabela32[[#This Row],[Valor Mercadoria]],"")</f>
        <v>7.3566363779149407E-2</v>
      </c>
      <c r="K174" s="11">
        <v>0.29166666666666669</v>
      </c>
      <c r="L174" s="15">
        <v>0.68958333333333333</v>
      </c>
      <c r="M174" s="15">
        <f>Tabela32[[#This Row],[Hr Chegada]]-Tabela32[[#This Row],[Hr Saida]]</f>
        <v>0.39791666666666664</v>
      </c>
      <c r="N174" s="4">
        <v>303490</v>
      </c>
      <c r="O174" s="4">
        <v>303549</v>
      </c>
      <c r="P174" s="4">
        <f>Tabela32[[#This Row],[Km Chegada]]-Tabela32[[#This Row],[Km Saída]]</f>
        <v>59</v>
      </c>
      <c r="Q174" s="4">
        <v>167</v>
      </c>
      <c r="R174" s="4">
        <v>25</v>
      </c>
      <c r="S174" s="4">
        <v>25</v>
      </c>
      <c r="T174" s="12">
        <f>Tabela32[[#This Row],[Entregas]]-Tabela32[[#This Row],[Realizadas]]</f>
        <v>0</v>
      </c>
      <c r="U174" s="18">
        <f>Tabela32[[#This Row],[Realizadas]]/Tabela32[[#This Row],[Entregas]]</f>
        <v>1</v>
      </c>
      <c r="V174" s="19" t="str">
        <f>IF(Tabela32[[#This Row],[% Entrega]]&gt;=96%,"Atendeu a Meta","Não Atendeu a Meta")</f>
        <v>Atendeu a Meta</v>
      </c>
      <c r="W174" s="4" t="s">
        <v>40</v>
      </c>
      <c r="X174" s="4">
        <v>0</v>
      </c>
      <c r="Y174" s="5">
        <v>0</v>
      </c>
    </row>
    <row r="175" spans="1:25" x14ac:dyDescent="0.25">
      <c r="A175" s="8">
        <v>46260</v>
      </c>
      <c r="B175" s="16">
        <f>YEAR(Tabela32[[#This Row],[Data]])</f>
        <v>2026</v>
      </c>
      <c r="C175" s="16">
        <f>MONTH(Tabela32[[#This Row],[Data]])</f>
        <v>8</v>
      </c>
      <c r="D175" s="4" t="s">
        <v>29</v>
      </c>
      <c r="E175" s="4">
        <v>1</v>
      </c>
      <c r="F175" s="4" t="str">
        <f>IFERROR(VLOOKUP(Tabela32[[#This Row],[Placa]],Planilha2!$A$1:$B$12,2,0),"")</f>
        <v>Edilson</v>
      </c>
      <c r="G175" s="10">
        <v>19932</v>
      </c>
      <c r="H175" s="10">
        <v>485572.38</v>
      </c>
      <c r="I175" s="4">
        <v>3236</v>
      </c>
      <c r="J175" s="17">
        <f>IFERROR(Tabela32[[#This Row],[Valor Frete]]/Tabela32[[#This Row],[Valor Mercadoria]],"")</f>
        <v>4.1048463258968722E-2</v>
      </c>
      <c r="K175" s="11">
        <v>0.29166666666666669</v>
      </c>
      <c r="L175" s="15">
        <v>0.68055555555555558</v>
      </c>
      <c r="M175" s="15">
        <f>Tabela32[[#This Row],[Hr Chegada]]-Tabela32[[#This Row],[Hr Saida]]</f>
        <v>0.3888888888888889</v>
      </c>
      <c r="N175" s="4">
        <v>104265</v>
      </c>
      <c r="O175" s="4">
        <v>104296</v>
      </c>
      <c r="P175" s="4">
        <f>Tabela32[[#This Row],[Km Chegada]]-Tabela32[[#This Row],[Km Saída]]</f>
        <v>31</v>
      </c>
      <c r="Q175" s="4">
        <v>380</v>
      </c>
      <c r="R175" s="4">
        <v>9</v>
      </c>
      <c r="S175" s="4">
        <v>9</v>
      </c>
      <c r="T175" s="12">
        <f>Tabela32[[#This Row],[Entregas]]-Tabela32[[#This Row],[Realizadas]]</f>
        <v>0</v>
      </c>
      <c r="U175" s="18">
        <f>Tabela32[[#This Row],[Realizadas]]/Tabela32[[#This Row],[Entregas]]</f>
        <v>1</v>
      </c>
      <c r="V175" s="19" t="str">
        <f>IF(Tabela32[[#This Row],[% Entrega]]&gt;=96%,"Atendeu a Meta","Não Atendeu a Meta")</f>
        <v>Atendeu a Meta</v>
      </c>
      <c r="W175" s="4" t="s">
        <v>40</v>
      </c>
      <c r="X175" s="4">
        <v>0</v>
      </c>
      <c r="Y175" s="5">
        <v>0</v>
      </c>
    </row>
    <row r="176" spans="1:25" x14ac:dyDescent="0.25">
      <c r="A176" s="8">
        <v>46260</v>
      </c>
      <c r="B176" s="16">
        <f>YEAR(Tabela32[[#This Row],[Data]])</f>
        <v>2026</v>
      </c>
      <c r="C176" s="16">
        <f>MONTH(Tabela32[[#This Row],[Data]])</f>
        <v>8</v>
      </c>
      <c r="D176" s="4" t="s">
        <v>32</v>
      </c>
      <c r="E176" s="4">
        <v>2</v>
      </c>
      <c r="F176" s="4" t="str">
        <f>IFERROR(VLOOKUP(Tabela32[[#This Row],[Placa]],Planilha2!$A$1:$B$12,2,0),"")</f>
        <v>Jerson</v>
      </c>
      <c r="G176" s="10">
        <v>6734.86</v>
      </c>
      <c r="H176" s="10">
        <v>128238.08</v>
      </c>
      <c r="I176" s="4">
        <v>1226</v>
      </c>
      <c r="J176" s="17">
        <f>IFERROR(Tabela32[[#This Row],[Valor Frete]]/Tabela32[[#This Row],[Valor Mercadoria]],"")</f>
        <v>5.2518409508314531E-2</v>
      </c>
      <c r="K176" s="11">
        <v>0.29166666666666669</v>
      </c>
      <c r="L176" s="15">
        <v>0.66736111111111107</v>
      </c>
      <c r="M176" s="15">
        <f>Tabela32[[#This Row],[Hr Chegada]]-Tabela32[[#This Row],[Hr Saida]]</f>
        <v>0.37569444444444439</v>
      </c>
      <c r="N176" s="4">
        <v>279682</v>
      </c>
      <c r="O176" s="4">
        <v>279735</v>
      </c>
      <c r="P176" s="4">
        <f>Tabela32[[#This Row],[Km Chegada]]-Tabela32[[#This Row],[Km Saída]]</f>
        <v>53</v>
      </c>
      <c r="Q176" s="4">
        <v>156</v>
      </c>
      <c r="R176" s="4">
        <v>26</v>
      </c>
      <c r="S176" s="4">
        <v>26</v>
      </c>
      <c r="T176" s="12">
        <f>Tabela32[[#This Row],[Entregas]]-Tabela32[[#This Row],[Realizadas]]</f>
        <v>0</v>
      </c>
      <c r="U176" s="18">
        <f>Tabela32[[#This Row],[Realizadas]]/Tabela32[[#This Row],[Entregas]]</f>
        <v>1</v>
      </c>
      <c r="V176" s="19" t="str">
        <f>IF(Tabela32[[#This Row],[% Entrega]]&gt;=96%,"Atendeu a Meta","Não Atendeu a Meta")</f>
        <v>Atendeu a Meta</v>
      </c>
      <c r="W176" s="4" t="s">
        <v>40</v>
      </c>
      <c r="X176" s="4">
        <v>0</v>
      </c>
      <c r="Y176" s="5">
        <v>0</v>
      </c>
    </row>
    <row r="177" spans="1:25" x14ac:dyDescent="0.25">
      <c r="A177" s="8">
        <v>46260</v>
      </c>
      <c r="B177" s="16">
        <f>YEAR(Tabela32[[#This Row],[Data]])</f>
        <v>2026</v>
      </c>
      <c r="C177" s="16">
        <f>MONTH(Tabela32[[#This Row],[Data]])</f>
        <v>8</v>
      </c>
      <c r="D177" s="4" t="s">
        <v>36</v>
      </c>
      <c r="E177" s="4">
        <v>1</v>
      </c>
      <c r="F177" s="4" t="str">
        <f>IFERROR(VLOOKUP(Tabela32[[#This Row],[Placa]],Planilha2!$A$1:$B$12,2,0),"")</f>
        <v>Osvaldo</v>
      </c>
      <c r="G177" s="10">
        <v>7878.56</v>
      </c>
      <c r="H177" s="10">
        <v>163243.06</v>
      </c>
      <c r="I177" s="4">
        <v>1365</v>
      </c>
      <c r="J177" s="17">
        <f>IFERROR(Tabela32[[#This Row],[Valor Frete]]/Tabela32[[#This Row],[Valor Mercadoria]],"")</f>
        <v>4.8262756162497818E-2</v>
      </c>
      <c r="K177" s="11">
        <v>0.29166666666666669</v>
      </c>
      <c r="L177" s="15">
        <v>0.73750000000000004</v>
      </c>
      <c r="M177" s="15">
        <f>Tabela32[[#This Row],[Hr Chegada]]-Tabela32[[#This Row],[Hr Saida]]</f>
        <v>0.44583333333333336</v>
      </c>
      <c r="N177" s="4">
        <v>142126</v>
      </c>
      <c r="O177" s="4">
        <v>142194</v>
      </c>
      <c r="P177" s="4">
        <f>Tabela32[[#This Row],[Km Chegada]]-Tabela32[[#This Row],[Km Saída]]</f>
        <v>68</v>
      </c>
      <c r="Q177" s="4">
        <v>153</v>
      </c>
      <c r="R177" s="4">
        <v>35</v>
      </c>
      <c r="S177" s="4">
        <v>35</v>
      </c>
      <c r="T177" s="12">
        <v>0</v>
      </c>
      <c r="U177" s="18">
        <f>Tabela32[[#This Row],[Realizadas]]/Tabela32[[#This Row],[Entregas]]</f>
        <v>1</v>
      </c>
      <c r="V177" s="19" t="str">
        <f>IF(Tabela32[[#This Row],[% Entrega]]&gt;=96%,"Atendeu a Meta","Não Atendeu a Meta")</f>
        <v>Atendeu a Meta</v>
      </c>
      <c r="W177" s="4" t="s">
        <v>45</v>
      </c>
      <c r="X177" s="4">
        <v>0</v>
      </c>
      <c r="Y177" s="5">
        <v>0</v>
      </c>
    </row>
    <row r="178" spans="1:25" x14ac:dyDescent="0.25">
      <c r="A178" s="8">
        <v>46260</v>
      </c>
      <c r="B178" s="16">
        <f>YEAR(Tabela32[[#This Row],[Data]])</f>
        <v>2026</v>
      </c>
      <c r="C178" s="16">
        <f>MONTH(Tabela32[[#This Row],[Data]])</f>
        <v>8</v>
      </c>
      <c r="D178" s="4" t="s">
        <v>34</v>
      </c>
      <c r="E178" s="4">
        <v>1</v>
      </c>
      <c r="F178" s="4" t="str">
        <f>IFERROR(VLOOKUP(Tabela32[[#This Row],[Placa]],Planilha2!$A$1:$B$12,2,0),"")</f>
        <v>Paulo</v>
      </c>
      <c r="G178" s="10">
        <v>4013.21</v>
      </c>
      <c r="H178" s="10">
        <v>93726.55</v>
      </c>
      <c r="I178" s="4">
        <v>619</v>
      </c>
      <c r="J178" s="17">
        <f>IFERROR(Tabela32[[#This Row],[Valor Frete]]/Tabela32[[#This Row],[Valor Mercadoria]],"")</f>
        <v>4.2818283613341147E-2</v>
      </c>
      <c r="K178" s="11">
        <v>0.29166666666666669</v>
      </c>
      <c r="L178" s="15">
        <v>0.71805555555555556</v>
      </c>
      <c r="M178" s="15">
        <f>Tabela32[[#This Row],[Hr Chegada]]-Tabela32[[#This Row],[Hr Saida]]</f>
        <v>0.42638888888888887</v>
      </c>
      <c r="N178" s="4">
        <v>154444</v>
      </c>
      <c r="O178" s="4">
        <v>154519</v>
      </c>
      <c r="P178" s="4">
        <f>Tabela32[[#This Row],[Km Chegada]]-Tabela32[[#This Row],[Km Saída]]</f>
        <v>75</v>
      </c>
      <c r="Q178" s="4">
        <v>96</v>
      </c>
      <c r="R178" s="4">
        <v>16</v>
      </c>
      <c r="S178" s="4">
        <v>16</v>
      </c>
      <c r="T178" s="12">
        <f>Tabela32[[#This Row],[Entregas]]-Tabela32[[#This Row],[Realizadas]]</f>
        <v>0</v>
      </c>
      <c r="U178" s="18">
        <f>Tabela32[[#This Row],[Realizadas]]/Tabela32[[#This Row],[Entregas]]</f>
        <v>1</v>
      </c>
      <c r="V178" s="19" t="str">
        <f>IF(Tabela32[[#This Row],[% Entrega]]&gt;=96%,"Atendeu a Meta","Não Atendeu a Meta")</f>
        <v>Atendeu a Meta</v>
      </c>
      <c r="W178" s="4" t="s">
        <v>45</v>
      </c>
      <c r="X178" s="4">
        <v>1</v>
      </c>
      <c r="Y178" s="5">
        <v>38</v>
      </c>
    </row>
    <row r="179" spans="1:25" x14ac:dyDescent="0.25">
      <c r="A179" s="8">
        <v>46261</v>
      </c>
      <c r="B179" s="16">
        <f>YEAR(Tabela32[[#This Row],[Data]])</f>
        <v>2026</v>
      </c>
      <c r="C179" s="16">
        <f>MONTH(Tabela32[[#This Row],[Data]])</f>
        <v>8</v>
      </c>
      <c r="D179" s="4" t="s">
        <v>55</v>
      </c>
      <c r="E179" s="4">
        <v>3</v>
      </c>
      <c r="F179" s="4" t="str">
        <f>IFERROR(VLOOKUP(Tabela32[[#This Row],[Placa]],Planilha2!$A$1:$B$12,2,0),"")</f>
        <v>Arnaldo</v>
      </c>
      <c r="G179" s="10">
        <v>13574.29</v>
      </c>
      <c r="H179" s="10">
        <v>255882.02</v>
      </c>
      <c r="I179" s="4">
        <v>3406</v>
      </c>
      <c r="J179" s="17">
        <f>IFERROR(Tabela32[[#This Row],[Valor Frete]]/Tabela32[[#This Row],[Valor Mercadoria]],"")</f>
        <v>5.3049018449987231E-2</v>
      </c>
      <c r="K179" s="11">
        <v>0.29166666666666669</v>
      </c>
      <c r="L179" s="15">
        <v>0.80555555555555558</v>
      </c>
      <c r="M179" s="15">
        <f>Tabela32[[#This Row],[Hr Chegada]]-Tabela32[[#This Row],[Hr Saida]]</f>
        <v>0.51388888888888884</v>
      </c>
      <c r="N179" s="4">
        <v>12703</v>
      </c>
      <c r="O179" s="4">
        <v>12748</v>
      </c>
      <c r="P179" s="4">
        <f>Tabela32[[#This Row],[Km Chegada]]-Tabela32[[#This Row],[Km Saída]]</f>
        <v>45</v>
      </c>
      <c r="Q179" s="4">
        <v>225</v>
      </c>
      <c r="R179" s="4">
        <v>11</v>
      </c>
      <c r="S179" s="4">
        <v>10</v>
      </c>
      <c r="T179" s="12">
        <f>Tabela32[[#This Row],[Entregas]]-Tabela32[[#This Row],[Realizadas]]</f>
        <v>1</v>
      </c>
      <c r="U179" s="18">
        <f>Tabela32[[#This Row],[Realizadas]]/Tabela32[[#This Row],[Entregas]]</f>
        <v>0.90909090909090906</v>
      </c>
      <c r="V179" s="19" t="str">
        <f>IF(Tabela32[[#This Row],[% Entrega]]&gt;=96%,"Atendeu a Meta","Não Atendeu a Meta")</f>
        <v>Não Atendeu a Meta</v>
      </c>
      <c r="W179" s="4" t="s">
        <v>40</v>
      </c>
      <c r="X179" s="4">
        <v>1</v>
      </c>
      <c r="Y179" s="5">
        <v>13</v>
      </c>
    </row>
    <row r="180" spans="1:25" x14ac:dyDescent="0.25">
      <c r="A180" s="8">
        <v>46261</v>
      </c>
      <c r="B180" s="16">
        <f>YEAR(Tabela32[[#This Row],[Data]])</f>
        <v>2026</v>
      </c>
      <c r="C180" s="16">
        <f>MONTH(Tabela32[[#This Row],[Data]])</f>
        <v>8</v>
      </c>
      <c r="D180" s="4" t="s">
        <v>29</v>
      </c>
      <c r="E180" s="4">
        <v>11</v>
      </c>
      <c r="F180" s="4" t="str">
        <f>IFERROR(VLOOKUP(Tabela32[[#This Row],[Placa]],Planilha2!$A$1:$B$12,2,0),"")</f>
        <v>Edilson</v>
      </c>
      <c r="G180" s="10">
        <v>10379.049999999999</v>
      </c>
      <c r="H180" s="10">
        <v>142041.26999999999</v>
      </c>
      <c r="I180" s="4">
        <v>2375</v>
      </c>
      <c r="J180" s="17">
        <f>IFERROR(Tabela32[[#This Row],[Valor Frete]]/Tabela32[[#This Row],[Valor Mercadoria]],"")</f>
        <v>7.3070664603322677E-2</v>
      </c>
      <c r="K180" s="11">
        <v>0.27083333333333331</v>
      </c>
      <c r="L180" s="15">
        <v>0.74652777777777779</v>
      </c>
      <c r="M180" s="15">
        <f>Tabela32[[#This Row],[Hr Chegada]]-Tabela32[[#This Row],[Hr Saida]]</f>
        <v>0.47569444444444448</v>
      </c>
      <c r="N180" s="4">
        <v>104296</v>
      </c>
      <c r="O180" s="4">
        <v>104428</v>
      </c>
      <c r="P180" s="4">
        <f>Tabela32[[#This Row],[Km Chegada]]-Tabela32[[#This Row],[Km Saída]]</f>
        <v>132</v>
      </c>
      <c r="Q180" s="4">
        <v>311</v>
      </c>
      <c r="R180" s="4">
        <v>23</v>
      </c>
      <c r="S180" s="4">
        <v>23</v>
      </c>
      <c r="T180" s="12">
        <f>Tabela32[[#This Row],[Entregas]]-Tabela32[[#This Row],[Realizadas]]</f>
        <v>0</v>
      </c>
      <c r="U180" s="18">
        <f>Tabela32[[#This Row],[Realizadas]]/Tabela32[[#This Row],[Entregas]]</f>
        <v>1</v>
      </c>
      <c r="V180" s="19" t="str">
        <f>IF(Tabela32[[#This Row],[% Entrega]]&gt;=96%,"Atendeu a Meta","Não Atendeu a Meta")</f>
        <v>Atendeu a Meta</v>
      </c>
      <c r="W180" s="4" t="s">
        <v>42</v>
      </c>
      <c r="X180" s="4">
        <v>0</v>
      </c>
      <c r="Y180" s="5">
        <v>0</v>
      </c>
    </row>
    <row r="181" spans="1:25" x14ac:dyDescent="0.25">
      <c r="A181" s="8">
        <v>46261</v>
      </c>
      <c r="B181" s="16">
        <f>YEAR(Tabela32[[#This Row],[Data]])</f>
        <v>2026</v>
      </c>
      <c r="C181" s="16">
        <f>MONTH(Tabela32[[#This Row],[Data]])</f>
        <v>8</v>
      </c>
      <c r="D181" s="4" t="s">
        <v>34</v>
      </c>
      <c r="E181" s="4">
        <v>1</v>
      </c>
      <c r="F181" s="4" t="str">
        <f>IFERROR(VLOOKUP(Tabela32[[#This Row],[Placa]],Planilha2!$A$1:$B$12,2,0),"")</f>
        <v>Paulo</v>
      </c>
      <c r="G181" s="10">
        <v>2983.9</v>
      </c>
      <c r="H181" s="10">
        <v>61363.38</v>
      </c>
      <c r="I181" s="4">
        <v>328</v>
      </c>
      <c r="J181" s="17">
        <f>IFERROR(Tabela32[[#This Row],[Valor Frete]]/Tabela32[[#This Row],[Valor Mercadoria]],"")</f>
        <v>4.862672167015572E-2</v>
      </c>
      <c r="K181" s="11">
        <v>0.29375000000000001</v>
      </c>
      <c r="L181" s="15">
        <v>0.69513888888888886</v>
      </c>
      <c r="M181" s="15">
        <f>Tabela32[[#This Row],[Hr Chegada]]-Tabela32[[#This Row],[Hr Saida]]</f>
        <v>0.40138888888888885</v>
      </c>
      <c r="N181" s="4">
        <v>154519</v>
      </c>
      <c r="O181" s="4">
        <v>154573</v>
      </c>
      <c r="P181" s="4">
        <f>Tabela32[[#This Row],[Km Chegada]]-Tabela32[[#This Row],[Km Saída]]</f>
        <v>54</v>
      </c>
      <c r="Q181" s="4">
        <v>27</v>
      </c>
      <c r="R181" s="4">
        <v>4</v>
      </c>
      <c r="S181" s="4">
        <v>4</v>
      </c>
      <c r="T181" s="12">
        <f>Tabela32[[#This Row],[Entregas]]-Tabela32[[#This Row],[Realizadas]]</f>
        <v>0</v>
      </c>
      <c r="U181" s="18">
        <f>Tabela32[[#This Row],[Realizadas]]/Tabela32[[#This Row],[Entregas]]</f>
        <v>1</v>
      </c>
      <c r="V181" s="19" t="str">
        <f>IF(Tabela32[[#This Row],[% Entrega]]&gt;=96%,"Atendeu a Meta","Não Atendeu a Meta")</f>
        <v>Atendeu a Meta</v>
      </c>
      <c r="W181" s="4" t="s">
        <v>45</v>
      </c>
      <c r="X181" s="4">
        <v>1</v>
      </c>
      <c r="Y181" s="5">
        <v>38</v>
      </c>
    </row>
    <row r="182" spans="1:25" x14ac:dyDescent="0.25">
      <c r="A182" s="8">
        <v>46261</v>
      </c>
      <c r="B182" s="16">
        <f>YEAR(Tabela32[[#This Row],[Data]])</f>
        <v>2026</v>
      </c>
      <c r="C182" s="16">
        <f>MONTH(Tabela32[[#This Row],[Data]])</f>
        <v>8</v>
      </c>
      <c r="D182" s="4" t="s">
        <v>36</v>
      </c>
      <c r="E182" s="4">
        <v>1</v>
      </c>
      <c r="F182" s="4" t="str">
        <f>IFERROR(VLOOKUP(Tabela32[[#This Row],[Placa]],Planilha2!$A$1:$B$12,2,0),"")</f>
        <v>Osvaldo</v>
      </c>
      <c r="G182" s="10">
        <v>4640.72</v>
      </c>
      <c r="H182" s="10">
        <v>48679.42</v>
      </c>
      <c r="I182" s="4">
        <v>658</v>
      </c>
      <c r="J182" s="17">
        <f>IFERROR(Tabela32[[#This Row],[Valor Frete]]/Tabela32[[#This Row],[Valor Mercadoria]],"")</f>
        <v>9.5332277993451855E-2</v>
      </c>
      <c r="K182" s="11">
        <v>0.29166666666666669</v>
      </c>
      <c r="L182" s="15">
        <v>0.7055555555555556</v>
      </c>
      <c r="M182" s="15">
        <f>Tabela32[[#This Row],[Hr Chegada]]-Tabela32[[#This Row],[Hr Saida]]</f>
        <v>0.41388888888888892</v>
      </c>
      <c r="N182" s="4">
        <v>142194</v>
      </c>
      <c r="O182" s="4">
        <v>142266</v>
      </c>
      <c r="P182" s="4">
        <f>Tabela32[[#This Row],[Km Chegada]]-Tabela32[[#This Row],[Km Saída]]</f>
        <v>72</v>
      </c>
      <c r="Q182" s="4">
        <v>73</v>
      </c>
      <c r="R182" s="4">
        <v>14</v>
      </c>
      <c r="S182" s="4">
        <v>14</v>
      </c>
      <c r="T182" s="12">
        <f>Tabela32[[#This Row],[Entregas]]-Tabela32[[#This Row],[Realizadas]]</f>
        <v>0</v>
      </c>
      <c r="U182" s="18">
        <f>Tabela32[[#This Row],[Realizadas]]/Tabela32[[#This Row],[Entregas]]</f>
        <v>1</v>
      </c>
      <c r="V182" s="19" t="str">
        <f>IF(Tabela32[[#This Row],[% Entrega]]&gt;=96%,"Atendeu a Meta","Não Atendeu a Meta")</f>
        <v>Atendeu a Meta</v>
      </c>
      <c r="W182" s="4" t="s">
        <v>45</v>
      </c>
      <c r="X182" s="4">
        <v>1</v>
      </c>
      <c r="Y182" s="5">
        <v>9</v>
      </c>
    </row>
    <row r="183" spans="1:25" x14ac:dyDescent="0.25">
      <c r="A183" s="8">
        <v>46261</v>
      </c>
      <c r="B183" s="16">
        <f>YEAR(Tabela32[[#This Row],[Data]])</f>
        <v>2026</v>
      </c>
      <c r="C183" s="16">
        <f>MONTH(Tabela32[[#This Row],[Data]])</f>
        <v>8</v>
      </c>
      <c r="D183" s="4" t="s">
        <v>28</v>
      </c>
      <c r="E183" s="4">
        <v>1</v>
      </c>
      <c r="F183" s="4" t="str">
        <f>IFERROR(VLOOKUP(Tabela32[[#This Row],[Placa]],Planilha2!$A$1:$B$12,2,0),"")</f>
        <v>Rosinaldo</v>
      </c>
      <c r="G183" s="10">
        <v>5647.33</v>
      </c>
      <c r="H183" s="10">
        <v>196173.22</v>
      </c>
      <c r="I183" s="4">
        <v>1142</v>
      </c>
      <c r="J183" s="17">
        <f>IFERROR(Tabela32[[#This Row],[Valor Frete]]/Tabela32[[#This Row],[Valor Mercadoria]],"")</f>
        <v>2.8787466505367041E-2</v>
      </c>
      <c r="K183" s="11">
        <v>0.30555555555555558</v>
      </c>
      <c r="L183" s="15">
        <v>0.71527777777777779</v>
      </c>
      <c r="M183" s="15">
        <f>Tabela32[[#This Row],[Hr Chegada]]-Tabela32[[#This Row],[Hr Saida]]</f>
        <v>0.40972222222222221</v>
      </c>
      <c r="N183" s="4">
        <v>290711</v>
      </c>
      <c r="O183" s="4">
        <v>290754</v>
      </c>
      <c r="P183" s="4">
        <f>Tabela32[[#This Row],[Km Chegada]]-Tabela32[[#This Row],[Km Saída]]</f>
        <v>43</v>
      </c>
      <c r="Q183" s="4">
        <v>8</v>
      </c>
      <c r="R183" s="4">
        <v>2</v>
      </c>
      <c r="S183" s="4">
        <v>2</v>
      </c>
      <c r="T183" s="12">
        <f>Tabela32[[#This Row],[Entregas]]-Tabela32[[#This Row],[Realizadas]]</f>
        <v>0</v>
      </c>
      <c r="U183" s="18">
        <f>Tabela32[[#This Row],[Realizadas]]/Tabela32[[#This Row],[Entregas]]</f>
        <v>1</v>
      </c>
      <c r="V183" s="19" t="str">
        <f>IF(Tabela32[[#This Row],[% Entrega]]&gt;=96%,"Atendeu a Meta","Não Atendeu a Meta")</f>
        <v>Atendeu a Meta</v>
      </c>
      <c r="W183" s="4" t="s">
        <v>41</v>
      </c>
      <c r="X183" s="4">
        <v>0</v>
      </c>
      <c r="Y183" s="5">
        <v>0</v>
      </c>
    </row>
    <row r="184" spans="1:25" x14ac:dyDescent="0.25">
      <c r="A184" s="8">
        <v>46261</v>
      </c>
      <c r="B184" s="16">
        <f>YEAR(Tabela32[[#This Row],[Data]])</f>
        <v>2026</v>
      </c>
      <c r="C184" s="16">
        <f>MONTH(Tabela32[[#This Row],[Data]])</f>
        <v>8</v>
      </c>
      <c r="D184" s="4" t="s">
        <v>22</v>
      </c>
      <c r="E184" s="4">
        <v>5</v>
      </c>
      <c r="F184" s="4" t="str">
        <f>IFERROR(VLOOKUP(Tabela32[[#This Row],[Placa]],Planilha2!$A$1:$B$12,2,0),"")</f>
        <v>Juscelino</v>
      </c>
      <c r="G184" s="10">
        <v>4475.83</v>
      </c>
      <c r="H184" s="10">
        <v>93265.65</v>
      </c>
      <c r="I184" s="4">
        <v>811</v>
      </c>
      <c r="J184" s="17">
        <f>IFERROR(Tabela32[[#This Row],[Valor Frete]]/Tabela32[[#This Row],[Valor Mercadoria]],"")</f>
        <v>4.7990122837293259E-2</v>
      </c>
      <c r="K184" s="11">
        <v>0.3125</v>
      </c>
      <c r="L184" s="15">
        <v>0.78472222222222221</v>
      </c>
      <c r="M184" s="15">
        <f>Tabela32[[#This Row],[Hr Chegada]]-Tabela32[[#This Row],[Hr Saida]]</f>
        <v>0.47222222222222221</v>
      </c>
      <c r="N184" s="4">
        <v>303545</v>
      </c>
      <c r="O184" s="4">
        <v>303614</v>
      </c>
      <c r="P184" s="4">
        <f>Tabela32[[#This Row],[Km Chegada]]-Tabela32[[#This Row],[Km Saída]]</f>
        <v>69</v>
      </c>
      <c r="Q184" s="4">
        <v>15</v>
      </c>
      <c r="R184" s="4">
        <v>17</v>
      </c>
      <c r="S184" s="4">
        <v>17</v>
      </c>
      <c r="T184" s="12">
        <f>Tabela32[[#This Row],[Entregas]]-Tabela32[[#This Row],[Realizadas]]</f>
        <v>0</v>
      </c>
      <c r="U184" s="18">
        <f>Tabela32[[#This Row],[Realizadas]]/Tabela32[[#This Row],[Entregas]]</f>
        <v>1</v>
      </c>
      <c r="V184" s="19" t="str">
        <f>IF(Tabela32[[#This Row],[% Entrega]]&gt;=96%,"Atendeu a Meta","Não Atendeu a Meta")</f>
        <v>Atendeu a Meta</v>
      </c>
      <c r="W184" s="4" t="s">
        <v>40</v>
      </c>
      <c r="X184" s="4">
        <v>0</v>
      </c>
      <c r="Y184" s="5">
        <v>0</v>
      </c>
    </row>
    <row r="185" spans="1:25" x14ac:dyDescent="0.25">
      <c r="A185" s="8">
        <v>46261</v>
      </c>
      <c r="B185" s="16">
        <f>YEAR(Tabela32[[#This Row],[Data]])</f>
        <v>2026</v>
      </c>
      <c r="C185" s="16">
        <f>MONTH(Tabela32[[#This Row],[Data]])</f>
        <v>8</v>
      </c>
      <c r="D185" s="4" t="s">
        <v>24</v>
      </c>
      <c r="E185" s="4">
        <v>0</v>
      </c>
      <c r="F185" s="4" t="str">
        <f>IFERROR(VLOOKUP(Tabela32[[#This Row],[Placa]],Planilha2!$A$1:$B$12,2,0),"")</f>
        <v>Wesley</v>
      </c>
      <c r="G185" s="10">
        <v>13667.92</v>
      </c>
      <c r="H185" s="10">
        <v>774683.57</v>
      </c>
      <c r="I185" s="4">
        <v>1644</v>
      </c>
      <c r="J185" s="17">
        <f>IFERROR(Tabela32[[#This Row],[Valor Frete]]/Tabela32[[#This Row],[Valor Mercadoria]],"")</f>
        <v>1.764322948013471E-2</v>
      </c>
      <c r="K185" s="11">
        <v>0.29166666666666669</v>
      </c>
      <c r="L185" s="15">
        <v>0.81319444444444444</v>
      </c>
      <c r="M185" s="15">
        <f>Tabela32[[#This Row],[Hr Chegada]]-Tabela32[[#This Row],[Hr Saida]]</f>
        <v>0.52152777777777781</v>
      </c>
      <c r="N185" s="4">
        <v>124456</v>
      </c>
      <c r="O185" s="4">
        <v>124533</v>
      </c>
      <c r="P185" s="4">
        <f>Tabela32[[#This Row],[Km Chegada]]-Tabela32[[#This Row],[Km Saída]]</f>
        <v>77</v>
      </c>
      <c r="Q185" s="4">
        <v>339</v>
      </c>
      <c r="R185" s="4">
        <v>19</v>
      </c>
      <c r="S185" s="4">
        <v>19</v>
      </c>
      <c r="T185" s="12">
        <f>Tabela32[[#This Row],[Entregas]]-Tabela32[[#This Row],[Realizadas]]</f>
        <v>0</v>
      </c>
      <c r="U185" s="18">
        <f>Tabela32[[#This Row],[Realizadas]]/Tabela32[[#This Row],[Entregas]]</f>
        <v>1</v>
      </c>
      <c r="V185" s="19" t="str">
        <f>IF(Tabela32[[#This Row],[% Entrega]]&gt;=96%,"Atendeu a Meta","Não Atendeu a Meta")</f>
        <v>Atendeu a Meta</v>
      </c>
      <c r="W185" s="4" t="s">
        <v>40</v>
      </c>
      <c r="X185" s="4">
        <v>0</v>
      </c>
      <c r="Y185" s="5">
        <v>0</v>
      </c>
    </row>
    <row r="186" spans="1:25" x14ac:dyDescent="0.25">
      <c r="A186" s="8">
        <v>46261</v>
      </c>
      <c r="B186" s="16">
        <f>YEAR(Tabela32[[#This Row],[Data]])</f>
        <v>2026</v>
      </c>
      <c r="C186" s="16">
        <f>MONTH(Tabela32[[#This Row],[Data]])</f>
        <v>8</v>
      </c>
      <c r="D186" s="4" t="s">
        <v>30</v>
      </c>
      <c r="E186" s="4">
        <v>1</v>
      </c>
      <c r="F186" s="4" t="str">
        <f>IFERROR(VLOOKUP(Tabela32[[#This Row],[Placa]],Planilha2!$A$1:$B$12,2,0),"")</f>
        <v>Sandro</v>
      </c>
      <c r="G186" s="10">
        <v>17143.009999999998</v>
      </c>
      <c r="H186" s="10">
        <v>562507.4</v>
      </c>
      <c r="I186" s="4">
        <v>3400</v>
      </c>
      <c r="J186" s="17">
        <f>IFERROR(Tabela32[[#This Row],[Valor Frete]]/Tabela32[[#This Row],[Valor Mercadoria]],"")</f>
        <v>3.0476061292704769E-2</v>
      </c>
      <c r="K186" s="11">
        <v>0.29166666666666669</v>
      </c>
      <c r="L186" s="15">
        <v>0.80833333333333335</v>
      </c>
      <c r="M186" s="15">
        <f>Tabela32[[#This Row],[Hr Chegada]]-Tabela32[[#This Row],[Hr Saida]]</f>
        <v>0.51666666666666661</v>
      </c>
      <c r="N186" s="4">
        <v>275086</v>
      </c>
      <c r="O186" s="4">
        <v>275128</v>
      </c>
      <c r="P186" s="4">
        <f>Tabela32[[#This Row],[Km Chegada]]-Tabela32[[#This Row],[Km Saída]]</f>
        <v>42</v>
      </c>
      <c r="Q186" s="4">
        <v>29</v>
      </c>
      <c r="R186" s="4">
        <v>2</v>
      </c>
      <c r="S186" s="4">
        <v>2</v>
      </c>
      <c r="T186" s="12">
        <f>Tabela32[[#This Row],[Entregas]]-Tabela32[[#This Row],[Realizadas]]</f>
        <v>0</v>
      </c>
      <c r="U186" s="18">
        <f>Tabela32[[#This Row],[Realizadas]]/Tabela32[[#This Row],[Entregas]]</f>
        <v>1</v>
      </c>
      <c r="V186" s="19" t="str">
        <f>IF(Tabela32[[#This Row],[% Entrega]]&gt;=96%,"Atendeu a Meta","Não Atendeu a Meta")</f>
        <v>Atendeu a Meta</v>
      </c>
      <c r="W186" s="4" t="s">
        <v>41</v>
      </c>
      <c r="X186" s="4">
        <v>0</v>
      </c>
      <c r="Y186" s="5">
        <v>0</v>
      </c>
    </row>
    <row r="187" spans="1:25" x14ac:dyDescent="0.25">
      <c r="A187" s="8">
        <v>46261</v>
      </c>
      <c r="B187" s="16">
        <f>YEAR(Tabela32[[#This Row],[Data]])</f>
        <v>2026</v>
      </c>
      <c r="C187" s="16">
        <f>MONTH(Tabela32[[#This Row],[Data]])</f>
        <v>8</v>
      </c>
      <c r="D187" s="4" t="s">
        <v>32</v>
      </c>
      <c r="E187" s="4">
        <v>2</v>
      </c>
      <c r="F187" s="4" t="str">
        <f>IFERROR(VLOOKUP(Tabela32[[#This Row],[Placa]],Planilha2!$A$1:$B$12,2,0),"")</f>
        <v>Jerson</v>
      </c>
      <c r="G187" s="10">
        <v>6777.03</v>
      </c>
      <c r="H187" s="10">
        <v>122575.76</v>
      </c>
      <c r="I187" s="4">
        <v>2780</v>
      </c>
      <c r="J187" s="17">
        <f>IFERROR(Tabela32[[#This Row],[Valor Frete]]/Tabela32[[#This Row],[Valor Mercadoria]],"")</f>
        <v>5.5288500760672418E-2</v>
      </c>
      <c r="K187" s="11">
        <v>0.27083333333333331</v>
      </c>
      <c r="L187" s="15">
        <v>0.54027777777777775</v>
      </c>
      <c r="M187" s="15">
        <f>Tabela32[[#This Row],[Hr Chegada]]-Tabela32[[#This Row],[Hr Saida]]</f>
        <v>0.26944444444444443</v>
      </c>
      <c r="N187" s="4">
        <v>279735</v>
      </c>
      <c r="O187" s="4">
        <v>279789</v>
      </c>
      <c r="P187" s="4">
        <f>Tabela32[[#This Row],[Km Chegada]]-Tabela32[[#This Row],[Km Saída]]</f>
        <v>54</v>
      </c>
      <c r="Q187" s="4">
        <v>862</v>
      </c>
      <c r="R187" s="4">
        <v>10</v>
      </c>
      <c r="S187" s="4">
        <v>10</v>
      </c>
      <c r="T187" s="12">
        <f>Tabela32[[#This Row],[Entregas]]-Tabela32[[#This Row],[Realizadas]]</f>
        <v>0</v>
      </c>
      <c r="U187" s="18">
        <f>Tabela32[[#This Row],[Realizadas]]/Tabela32[[#This Row],[Entregas]]</f>
        <v>1</v>
      </c>
      <c r="V187" s="19" t="str">
        <f>IF(Tabela32[[#This Row],[% Entrega]]&gt;=96%,"Atendeu a Meta","Não Atendeu a Meta")</f>
        <v>Atendeu a Meta</v>
      </c>
      <c r="W187" s="4" t="s">
        <v>40</v>
      </c>
      <c r="X187" s="4">
        <v>0</v>
      </c>
      <c r="Y187" s="5">
        <v>0</v>
      </c>
    </row>
    <row r="188" spans="1:25" x14ac:dyDescent="0.25">
      <c r="A188" s="8">
        <v>46261</v>
      </c>
      <c r="B188" s="16">
        <f>YEAR(Tabela32[[#This Row],[Data]])</f>
        <v>2026</v>
      </c>
      <c r="C188" s="16">
        <f>MONTH(Tabela32[[#This Row],[Data]])</f>
        <v>8</v>
      </c>
      <c r="D188" s="4" t="s">
        <v>32</v>
      </c>
      <c r="E188" s="4">
        <v>5</v>
      </c>
      <c r="F188" s="4" t="str">
        <f>IFERROR(VLOOKUP(Tabela32[[#This Row],[Placa]],Planilha2!$A$1:$B$12,2,0),"")</f>
        <v>Jerson</v>
      </c>
      <c r="G188" s="10">
        <v>1369.54</v>
      </c>
      <c r="H188" s="10">
        <v>66487.78</v>
      </c>
      <c r="I188" s="4">
        <v>534</v>
      </c>
      <c r="J188" s="17">
        <f>IFERROR(Tabela32[[#This Row],[Valor Frete]]/Tabela32[[#This Row],[Valor Mercadoria]],"")</f>
        <v>2.0598371610542569E-2</v>
      </c>
      <c r="K188" s="11">
        <v>0.5756944444444444</v>
      </c>
      <c r="L188" s="15">
        <v>0.71388888888888891</v>
      </c>
      <c r="M188" s="15">
        <f>Tabela32[[#This Row],[Hr Chegada]]-Tabela32[[#This Row],[Hr Saida]]</f>
        <v>0.13819444444444451</v>
      </c>
      <c r="N188" s="4">
        <v>279789</v>
      </c>
      <c r="O188" s="4">
        <v>279821</v>
      </c>
      <c r="P188" s="4">
        <f>Tabela32[[#This Row],[Km Chegada]]-Tabela32[[#This Row],[Km Saída]]</f>
        <v>32</v>
      </c>
      <c r="Q188" s="4">
        <v>13</v>
      </c>
      <c r="R188" s="4">
        <v>3</v>
      </c>
      <c r="S188" s="4">
        <v>3</v>
      </c>
      <c r="T188" s="12">
        <f>Tabela32[[#This Row],[Entregas]]-Tabela32[[#This Row],[Realizadas]]</f>
        <v>0</v>
      </c>
      <c r="U188" s="18">
        <f>Tabela32[[#This Row],[Realizadas]]/Tabela32[[#This Row],[Entregas]]</f>
        <v>1</v>
      </c>
      <c r="V188" s="19" t="str">
        <f>IF(Tabela32[[#This Row],[% Entrega]]&gt;=96%,"Atendeu a Meta","Não Atendeu a Meta")</f>
        <v>Atendeu a Meta</v>
      </c>
      <c r="W188" s="4" t="s">
        <v>40</v>
      </c>
      <c r="X188" s="4">
        <v>0</v>
      </c>
      <c r="Y188" s="5">
        <v>0</v>
      </c>
    </row>
    <row r="189" spans="1:25" x14ac:dyDescent="0.25">
      <c r="A189" s="8">
        <v>46261</v>
      </c>
      <c r="B189" s="16">
        <f>YEAR(Tabela32[[#This Row],[Data]])</f>
        <v>2026</v>
      </c>
      <c r="C189" s="16">
        <f>MONTH(Tabela32[[#This Row],[Data]])</f>
        <v>8</v>
      </c>
      <c r="D189" s="4" t="s">
        <v>26</v>
      </c>
      <c r="E189" s="4">
        <v>4</v>
      </c>
      <c r="F189" s="4" t="str">
        <f>IFERROR(VLOOKUP(Tabela32[[#This Row],[Placa]],Planilha2!$A$1:$B$12,2,0),"")</f>
        <v>Gilberto</v>
      </c>
      <c r="G189" s="10">
        <v>8498.7800000000007</v>
      </c>
      <c r="H189" s="10">
        <v>82910.05</v>
      </c>
      <c r="I189" s="4">
        <v>1499</v>
      </c>
      <c r="J189" s="17">
        <f>IFERROR(Tabela32[[#This Row],[Valor Frete]]/Tabela32[[#This Row],[Valor Mercadoria]],"")</f>
        <v>0.10250602912433415</v>
      </c>
      <c r="K189" s="11">
        <v>0.3125</v>
      </c>
      <c r="L189" s="15">
        <v>0.73055555555555551</v>
      </c>
      <c r="M189" s="15">
        <f>Tabela32[[#This Row],[Hr Chegada]]-Tabela32[[#This Row],[Hr Saida]]</f>
        <v>0.41805555555555551</v>
      </c>
      <c r="N189" s="4">
        <v>118807</v>
      </c>
      <c r="O189" s="4">
        <v>118863</v>
      </c>
      <c r="P189" s="4">
        <f>Tabela32[[#This Row],[Km Chegada]]-Tabela32[[#This Row],[Km Saída]]</f>
        <v>56</v>
      </c>
      <c r="Q189" s="4">
        <v>199</v>
      </c>
      <c r="R189" s="4">
        <v>17</v>
      </c>
      <c r="S189" s="4">
        <v>17</v>
      </c>
      <c r="T189" s="12">
        <f>Tabela32[[#This Row],[Entregas]]-Tabela32[[#This Row],[Realizadas]]</f>
        <v>0</v>
      </c>
      <c r="U189" s="18">
        <f>Tabela32[[#This Row],[Realizadas]]/Tabela32[[#This Row],[Entregas]]</f>
        <v>1</v>
      </c>
      <c r="V189" s="19" t="str">
        <f>IF(Tabela32[[#This Row],[% Entrega]]&gt;=96%,"Atendeu a Meta","Não Atendeu a Meta")</f>
        <v>Atendeu a Meta</v>
      </c>
      <c r="W189" s="4" t="s">
        <v>45</v>
      </c>
      <c r="X189" s="4">
        <v>0</v>
      </c>
      <c r="Y189" s="5">
        <v>0</v>
      </c>
    </row>
    <row r="190" spans="1:25" x14ac:dyDescent="0.25">
      <c r="A190" s="8">
        <v>46262</v>
      </c>
      <c r="B190" s="16">
        <f>YEAR(Tabela32[[#This Row],[Data]])</f>
        <v>2026</v>
      </c>
      <c r="C190" s="16">
        <f>MONTH(Tabela32[[#This Row],[Data]])</f>
        <v>8</v>
      </c>
      <c r="D190" s="4" t="s">
        <v>22</v>
      </c>
      <c r="E190" s="4">
        <v>5</v>
      </c>
      <c r="F190" s="4" t="str">
        <f>IFERROR(VLOOKUP(Tabela32[[#This Row],[Placa]],Planilha2!$A$1:$B$12,2,0),"")</f>
        <v>Juscelino</v>
      </c>
      <c r="G190" s="10">
        <v>5645.21</v>
      </c>
      <c r="H190" s="10">
        <v>103589.13</v>
      </c>
      <c r="I190" s="4">
        <v>851</v>
      </c>
      <c r="J190" s="17">
        <f>IFERROR(Tabela32[[#This Row],[Valor Frete]]/Tabela32[[#This Row],[Valor Mercadoria]],"")</f>
        <v>5.4496161904246131E-2</v>
      </c>
      <c r="K190" s="11">
        <v>0.3125</v>
      </c>
      <c r="L190" s="15">
        <v>0.80972222222222223</v>
      </c>
      <c r="M190" s="15">
        <f>Tabela32[[#This Row],[Hr Chegada]]-Tabela32[[#This Row],[Hr Saida]]</f>
        <v>0.49722222222222223</v>
      </c>
      <c r="N190" s="4">
        <v>303614</v>
      </c>
      <c r="O190" s="4">
        <v>303693</v>
      </c>
      <c r="P190" s="4">
        <f>Tabela32[[#This Row],[Km Chegada]]-Tabela32[[#This Row],[Km Saída]]</f>
        <v>79</v>
      </c>
      <c r="Q190" s="4">
        <v>199</v>
      </c>
      <c r="R190" s="4">
        <v>18</v>
      </c>
      <c r="S190" s="4">
        <v>18</v>
      </c>
      <c r="T190" s="12">
        <f>Tabela32[[#This Row],[Entregas]]-Tabela32[[#This Row],[Realizadas]]</f>
        <v>0</v>
      </c>
      <c r="U190" s="18">
        <f>Tabela32[[#This Row],[Realizadas]]/Tabela32[[#This Row],[Entregas]]</f>
        <v>1</v>
      </c>
      <c r="V190" s="19" t="str">
        <f>IF(Tabela32[[#This Row],[% Entrega]]&gt;=96%,"Atendeu a Meta","Não Atendeu a Meta")</f>
        <v>Atendeu a Meta</v>
      </c>
      <c r="W190" s="4" t="s">
        <v>40</v>
      </c>
      <c r="X190" s="4">
        <v>0</v>
      </c>
      <c r="Y190" s="5">
        <v>0</v>
      </c>
    </row>
    <row r="191" spans="1:25" x14ac:dyDescent="0.25">
      <c r="A191" s="8">
        <v>46262</v>
      </c>
      <c r="B191" s="16">
        <f>YEAR(Tabela32[[#This Row],[Data]])</f>
        <v>2026</v>
      </c>
      <c r="C191" s="16">
        <f>MONTH(Tabela32[[#This Row],[Data]])</f>
        <v>8</v>
      </c>
      <c r="D191" s="4" t="s">
        <v>29</v>
      </c>
      <c r="E191" s="4">
        <v>11</v>
      </c>
      <c r="F191" s="4" t="str">
        <f>IFERROR(VLOOKUP(Tabela32[[#This Row],[Placa]],Planilha2!$A$1:$B$12,2,0),"")</f>
        <v>Edilson</v>
      </c>
      <c r="G191" s="10">
        <v>17517.86</v>
      </c>
      <c r="H191" s="10">
        <v>415120.14</v>
      </c>
      <c r="I191" s="4">
        <v>95</v>
      </c>
      <c r="J191" s="17">
        <f>IFERROR(Tabela32[[#This Row],[Valor Frete]]/Tabela32[[#This Row],[Valor Mercadoria]],"")</f>
        <v>4.2199494343974735E-2</v>
      </c>
      <c r="K191" s="11">
        <v>0.27083333333333331</v>
      </c>
      <c r="L191" s="15">
        <v>0.69930555555555551</v>
      </c>
      <c r="M191" s="15">
        <f>Tabela32[[#This Row],[Hr Chegada]]-Tabela32[[#This Row],[Hr Saida]]</f>
        <v>0.4284722222222222</v>
      </c>
      <c r="N191" s="4">
        <v>104425</v>
      </c>
      <c r="O191" s="4">
        <v>104557</v>
      </c>
      <c r="P191" s="4">
        <f>Tabela32[[#This Row],[Km Chegada]]-Tabela32[[#This Row],[Km Saída]]</f>
        <v>132</v>
      </c>
      <c r="Q191" s="4">
        <v>95</v>
      </c>
      <c r="R191" s="4">
        <v>18</v>
      </c>
      <c r="S191" s="4">
        <v>18</v>
      </c>
      <c r="T191" s="12">
        <f>Tabela32[[#This Row],[Entregas]]-Tabela32[[#This Row],[Realizadas]]</f>
        <v>0</v>
      </c>
      <c r="U191" s="18">
        <f>Tabela32[[#This Row],[Realizadas]]/Tabela32[[#This Row],[Entregas]]</f>
        <v>1</v>
      </c>
      <c r="V191" s="19" t="str">
        <f>IF(Tabela32[[#This Row],[% Entrega]]&gt;=96%,"Atendeu a Meta","Não Atendeu a Meta")</f>
        <v>Atendeu a Meta</v>
      </c>
      <c r="W191" s="4" t="s">
        <v>42</v>
      </c>
      <c r="X191" s="4">
        <v>2</v>
      </c>
      <c r="Y191" s="5">
        <v>38.380000000000003</v>
      </c>
    </row>
    <row r="192" spans="1:25" x14ac:dyDescent="0.25">
      <c r="A192" s="8">
        <v>46262</v>
      </c>
      <c r="B192" s="16">
        <f>YEAR(Tabela32[[#This Row],[Data]])</f>
        <v>2026</v>
      </c>
      <c r="C192" s="16">
        <f>MONTH(Tabela32[[#This Row],[Data]])</f>
        <v>8</v>
      </c>
      <c r="D192" s="4" t="s">
        <v>30</v>
      </c>
      <c r="E192" s="4">
        <v>1</v>
      </c>
      <c r="F192" s="4" t="str">
        <f>IFERROR(VLOOKUP(Tabela32[[#This Row],[Placa]],Planilha2!$A$1:$B$12,2,0),"")</f>
        <v>Sandro</v>
      </c>
      <c r="G192" s="10">
        <v>6881.98</v>
      </c>
      <c r="H192" s="10">
        <v>61042.18</v>
      </c>
      <c r="I192" s="4">
        <v>704</v>
      </c>
      <c r="J192" s="17">
        <f>IFERROR(Tabela32[[#This Row],[Valor Frete]]/Tabela32[[#This Row],[Valor Mercadoria]],"")</f>
        <v>0.1127413863659522</v>
      </c>
      <c r="K192" s="11">
        <v>0.29166666666666669</v>
      </c>
      <c r="L192" s="15">
        <v>0.74375000000000002</v>
      </c>
      <c r="M192" s="15">
        <f>Tabela32[[#This Row],[Hr Chegada]]-Tabela32[[#This Row],[Hr Saida]]</f>
        <v>0.45208333333333334</v>
      </c>
      <c r="N192" s="4">
        <v>275128</v>
      </c>
      <c r="O192" s="4">
        <v>275155</v>
      </c>
      <c r="P192" s="4">
        <f>Tabela32[[#This Row],[Km Chegada]]-Tabela32[[#This Row],[Km Saída]]</f>
        <v>27</v>
      </c>
      <c r="Q192" s="4">
        <v>206</v>
      </c>
      <c r="R192" s="4">
        <v>10</v>
      </c>
      <c r="S192" s="4">
        <v>10</v>
      </c>
      <c r="T192" s="12">
        <f>Tabela32[[#This Row],[Entregas]]-Tabela32[[#This Row],[Realizadas]]</f>
        <v>0</v>
      </c>
      <c r="U192" s="18">
        <f>Tabela32[[#This Row],[Realizadas]]/Tabela32[[#This Row],[Entregas]]</f>
        <v>1</v>
      </c>
      <c r="V192" s="19" t="str">
        <f>IF(Tabela32[[#This Row],[% Entrega]]&gt;=96%,"Atendeu a Meta","Não Atendeu a Meta")</f>
        <v>Atendeu a Meta</v>
      </c>
      <c r="W192" s="4" t="s">
        <v>45</v>
      </c>
      <c r="X192" s="4">
        <v>1</v>
      </c>
      <c r="Y192" s="5">
        <v>38</v>
      </c>
    </row>
    <row r="193" spans="1:25" x14ac:dyDescent="0.25">
      <c r="A193" s="8">
        <v>46262</v>
      </c>
      <c r="B193" s="16">
        <f>YEAR(Tabela32[[#This Row],[Data]])</f>
        <v>2026</v>
      </c>
      <c r="C193" s="16">
        <f>MONTH(Tabela32[[#This Row],[Data]])</f>
        <v>8</v>
      </c>
      <c r="D193" s="4" t="s">
        <v>34</v>
      </c>
      <c r="E193" s="4">
        <v>1</v>
      </c>
      <c r="F193" s="4" t="str">
        <f>IFERROR(VLOOKUP(Tabela32[[#This Row],[Placa]],Planilha2!$A$1:$B$12,2,0),"")</f>
        <v>Paulo</v>
      </c>
      <c r="G193" s="10">
        <v>1513.17</v>
      </c>
      <c r="H193" s="10">
        <v>76194</v>
      </c>
      <c r="I193" s="4">
        <v>132</v>
      </c>
      <c r="J193" s="17">
        <f>IFERROR(Tabela32[[#This Row],[Valor Frete]]/Tabela32[[#This Row],[Valor Mercadoria]],"")</f>
        <v>1.9859437751004017E-2</v>
      </c>
      <c r="K193" s="11">
        <v>0.29166666666666669</v>
      </c>
      <c r="L193" s="15">
        <v>0.62638888888888888</v>
      </c>
      <c r="M193" s="15">
        <f>Tabela32[[#This Row],[Hr Chegada]]-Tabela32[[#This Row],[Hr Saida]]</f>
        <v>0.3347222222222222</v>
      </c>
      <c r="N193" s="4">
        <v>154573</v>
      </c>
      <c r="O193" s="4">
        <v>154633</v>
      </c>
      <c r="P193" s="4">
        <f>Tabela32[[#This Row],[Km Chegada]]-Tabela32[[#This Row],[Km Saída]]</f>
        <v>60</v>
      </c>
      <c r="Q193" s="4">
        <v>2</v>
      </c>
      <c r="R193" s="4">
        <v>1</v>
      </c>
      <c r="S193" s="4">
        <v>1</v>
      </c>
      <c r="T193" s="12">
        <f>Tabela32[[#This Row],[Entregas]]-Tabela32[[#This Row],[Realizadas]]</f>
        <v>0</v>
      </c>
      <c r="U193" s="18">
        <f>Tabela32[[#This Row],[Realizadas]]/Tabela32[[#This Row],[Entregas]]</f>
        <v>1</v>
      </c>
      <c r="V193" s="19" t="str">
        <f>IF(Tabela32[[#This Row],[% Entrega]]&gt;=96%,"Atendeu a Meta","Não Atendeu a Meta")</f>
        <v>Atendeu a Meta</v>
      </c>
      <c r="W193" s="4" t="s">
        <v>41</v>
      </c>
      <c r="X193" s="4">
        <v>0</v>
      </c>
      <c r="Y193" s="5">
        <v>0</v>
      </c>
    </row>
    <row r="194" spans="1:25" x14ac:dyDescent="0.25">
      <c r="A194" s="8">
        <v>46262</v>
      </c>
      <c r="B194" s="16">
        <f>YEAR(Tabela32[[#This Row],[Data]])</f>
        <v>2026</v>
      </c>
      <c r="C194" s="16">
        <f>MONTH(Tabela32[[#This Row],[Data]])</f>
        <v>8</v>
      </c>
      <c r="D194" s="4" t="s">
        <v>28</v>
      </c>
      <c r="E194" s="4">
        <v>1</v>
      </c>
      <c r="F194" s="4" t="str">
        <f>IFERROR(VLOOKUP(Tabela32[[#This Row],[Placa]],Planilha2!$A$1:$B$12,2,0),"")</f>
        <v>Rosinaldo</v>
      </c>
      <c r="G194" s="10">
        <v>11698.62</v>
      </c>
      <c r="H194" s="10">
        <v>195730.85</v>
      </c>
      <c r="I194" s="4">
        <v>133</v>
      </c>
      <c r="J194" s="17">
        <f>IFERROR(Tabela32[[#This Row],[Valor Frete]]/Tabela32[[#This Row],[Valor Mercadoria]],"")</f>
        <v>5.9768912258849338E-2</v>
      </c>
      <c r="K194" s="11">
        <v>0.3125</v>
      </c>
      <c r="L194" s="15">
        <v>0.74305555555555558</v>
      </c>
      <c r="M194" s="15">
        <f>Tabela32[[#This Row],[Hr Chegada]]-Tabela32[[#This Row],[Hr Saida]]</f>
        <v>0.43055555555555558</v>
      </c>
      <c r="N194" s="4">
        <v>290754</v>
      </c>
      <c r="O194" s="4">
        <v>290910</v>
      </c>
      <c r="P194" s="4">
        <f>Tabela32[[#This Row],[Km Chegada]]-Tabela32[[#This Row],[Km Saída]]</f>
        <v>156</v>
      </c>
      <c r="Q194" s="4">
        <v>133</v>
      </c>
      <c r="R194" s="4">
        <v>12</v>
      </c>
      <c r="S194" s="4">
        <v>12</v>
      </c>
      <c r="T194" s="12">
        <f>Tabela32[[#This Row],[Entregas]]-Tabela32[[#This Row],[Realizadas]]</f>
        <v>0</v>
      </c>
      <c r="U194" s="18">
        <f>Tabela32[[#This Row],[Realizadas]]/Tabela32[[#This Row],[Entregas]]</f>
        <v>1</v>
      </c>
      <c r="V194" s="19" t="str">
        <f>IF(Tabela32[[#This Row],[% Entrega]]&gt;=96%,"Atendeu a Meta","Não Atendeu a Meta")</f>
        <v>Atendeu a Meta</v>
      </c>
      <c r="W194" s="4" t="s">
        <v>45</v>
      </c>
      <c r="X194" s="4">
        <v>1</v>
      </c>
      <c r="Y194" s="5">
        <v>38</v>
      </c>
    </row>
    <row r="195" spans="1:25" x14ac:dyDescent="0.25">
      <c r="A195" s="8">
        <v>46262</v>
      </c>
      <c r="B195" s="16">
        <f>YEAR(Tabela32[[#This Row],[Data]])</f>
        <v>2026</v>
      </c>
      <c r="C195" s="16">
        <f>MONTH(Tabela32[[#This Row],[Data]])</f>
        <v>8</v>
      </c>
      <c r="D195" s="4" t="s">
        <v>24</v>
      </c>
      <c r="E195" s="4">
        <v>4</v>
      </c>
      <c r="F195" s="4" t="str">
        <f>IFERROR(VLOOKUP(Tabela32[[#This Row],[Placa]],Planilha2!$A$1:$B$12,2,0),"")</f>
        <v>Wesley</v>
      </c>
      <c r="G195" s="10">
        <v>6956.26</v>
      </c>
      <c r="H195" s="10">
        <v>135818.84</v>
      </c>
      <c r="I195" s="4">
        <v>1302</v>
      </c>
      <c r="J195" s="17">
        <f>IFERROR(Tabela32[[#This Row],[Valor Frete]]/Tabela32[[#This Row],[Valor Mercadoria]],"")</f>
        <v>5.1217194904624425E-2</v>
      </c>
      <c r="K195" s="11">
        <v>0.3125</v>
      </c>
      <c r="L195" s="15">
        <v>0.73611111111111116</v>
      </c>
      <c r="M195" s="15">
        <f>Tabela32[[#This Row],[Hr Chegada]]-Tabela32[[#This Row],[Hr Saida]]</f>
        <v>0.42361111111111116</v>
      </c>
      <c r="N195" s="4">
        <v>124533</v>
      </c>
      <c r="O195" s="4">
        <v>124600</v>
      </c>
      <c r="P195" s="4">
        <f>Tabela32[[#This Row],[Km Chegada]]-Tabela32[[#This Row],[Km Saída]]</f>
        <v>67</v>
      </c>
      <c r="Q195" s="4">
        <v>225</v>
      </c>
      <c r="R195" s="4">
        <v>18</v>
      </c>
      <c r="S195" s="4">
        <v>18</v>
      </c>
      <c r="T195" s="12">
        <f>Tabela32[[#This Row],[Entregas]]-Tabela32[[#This Row],[Realizadas]]</f>
        <v>0</v>
      </c>
      <c r="U195" s="18">
        <f>Tabela32[[#This Row],[Realizadas]]/Tabela32[[#This Row],[Entregas]]</f>
        <v>1</v>
      </c>
      <c r="V195" s="19" t="str">
        <f>IF(Tabela32[[#This Row],[% Entrega]]&gt;=96%,"Atendeu a Meta","Não Atendeu a Meta")</f>
        <v>Atendeu a Meta</v>
      </c>
      <c r="W195" s="4" t="s">
        <v>40</v>
      </c>
      <c r="X195" s="4">
        <v>0</v>
      </c>
      <c r="Y195" s="5">
        <v>0</v>
      </c>
    </row>
    <row r="196" spans="1:25" x14ac:dyDescent="0.25">
      <c r="A196" s="8">
        <v>46262</v>
      </c>
      <c r="B196" s="16">
        <f>YEAR(Tabela32[[#This Row],[Data]])</f>
        <v>2026</v>
      </c>
      <c r="C196" s="16">
        <f>MONTH(Tabela32[[#This Row],[Data]])</f>
        <v>8</v>
      </c>
      <c r="D196" s="4" t="s">
        <v>32</v>
      </c>
      <c r="E196" s="4">
        <v>2</v>
      </c>
      <c r="F196" s="4" t="str">
        <f>IFERROR(VLOOKUP(Tabela32[[#This Row],[Placa]],Planilha2!$A$1:$B$12,2,0),"")</f>
        <v>Jerson</v>
      </c>
      <c r="G196" s="10">
        <v>10088.56</v>
      </c>
      <c r="H196" s="10">
        <v>153429.60999999999</v>
      </c>
      <c r="I196" s="4">
        <v>1820</v>
      </c>
      <c r="J196" s="17">
        <f>IFERROR(Tabela32[[#This Row],[Valor Frete]]/Tabela32[[#This Row],[Valor Mercadoria]],"")</f>
        <v>6.5753670363888697E-2</v>
      </c>
      <c r="K196" s="11">
        <v>0.27083333333333331</v>
      </c>
      <c r="L196" s="15">
        <v>0.77361111111111114</v>
      </c>
      <c r="M196" s="15">
        <f>Tabela32[[#This Row],[Hr Chegada]]-Tabela32[[#This Row],[Hr Saida]]</f>
        <v>0.50277777777777777</v>
      </c>
      <c r="N196" s="4">
        <v>279821</v>
      </c>
      <c r="O196" s="4">
        <v>279874</v>
      </c>
      <c r="P196" s="4">
        <f>Tabela32[[#This Row],[Km Chegada]]-Tabela32[[#This Row],[Km Saída]]</f>
        <v>53</v>
      </c>
      <c r="Q196" s="4">
        <v>259</v>
      </c>
      <c r="R196" s="4">
        <v>22</v>
      </c>
      <c r="S196" s="4">
        <v>22</v>
      </c>
      <c r="T196" s="12">
        <f>Tabela32[[#This Row],[Entregas]]-Tabela32[[#This Row],[Realizadas]]</f>
        <v>0</v>
      </c>
      <c r="U196" s="18">
        <f>Tabela32[[#This Row],[Realizadas]]/Tabela32[[#This Row],[Entregas]]</f>
        <v>1</v>
      </c>
      <c r="V196" s="19" t="str">
        <f>IF(Tabela32[[#This Row],[% Entrega]]&gt;=96%,"Atendeu a Meta","Não Atendeu a Meta")</f>
        <v>Atendeu a Meta</v>
      </c>
      <c r="W196" s="4" t="s">
        <v>40</v>
      </c>
      <c r="X196" s="4">
        <v>1</v>
      </c>
      <c r="Y196" s="5">
        <v>38</v>
      </c>
    </row>
    <row r="197" spans="1:25" x14ac:dyDescent="0.25">
      <c r="A197" s="8">
        <v>46262</v>
      </c>
      <c r="B197" s="16">
        <f>YEAR(Tabela32[[#This Row],[Data]])</f>
        <v>2026</v>
      </c>
      <c r="C197" s="16">
        <f>MONTH(Tabela32[[#This Row],[Data]])</f>
        <v>8</v>
      </c>
      <c r="D197" s="4" t="s">
        <v>55</v>
      </c>
      <c r="E197" s="4">
        <v>3</v>
      </c>
      <c r="F197" s="4" t="str">
        <f>IFERROR(VLOOKUP(Tabela32[[#This Row],[Placa]],Planilha2!$A$1:$B$12,2,0),"")</f>
        <v>Arnaldo</v>
      </c>
      <c r="G197" s="10">
        <v>15330.37</v>
      </c>
      <c r="H197" s="10">
        <v>125063.67</v>
      </c>
      <c r="I197" s="4">
        <v>2172</v>
      </c>
      <c r="J197" s="17">
        <f>IFERROR(Tabela32[[#This Row],[Valor Frete]]/Tabela32[[#This Row],[Valor Mercadoria]],"")</f>
        <v>0.12258052238511792</v>
      </c>
      <c r="K197" s="11">
        <v>0.29166666666666669</v>
      </c>
      <c r="L197" s="15">
        <v>0.77083333333333337</v>
      </c>
      <c r="M197" s="15">
        <f>Tabela32[[#This Row],[Hr Chegada]]-Tabela32[[#This Row],[Hr Saida]]</f>
        <v>0.47916666666666669</v>
      </c>
      <c r="N197" s="4">
        <v>12748</v>
      </c>
      <c r="O197" s="4">
        <v>12802</v>
      </c>
      <c r="P197" s="4">
        <f>Tabela32[[#This Row],[Km Chegada]]-Tabela32[[#This Row],[Km Saída]]</f>
        <v>54</v>
      </c>
      <c r="Q197" s="4">
        <v>250</v>
      </c>
      <c r="R197" s="4">
        <v>23</v>
      </c>
      <c r="S197" s="4">
        <v>23</v>
      </c>
      <c r="T197" s="12">
        <f>Tabela32[[#This Row],[Entregas]]-Tabela32[[#This Row],[Realizadas]]</f>
        <v>0</v>
      </c>
      <c r="U197" s="18">
        <f>Tabela32[[#This Row],[Realizadas]]/Tabela32[[#This Row],[Entregas]]</f>
        <v>1</v>
      </c>
      <c r="V197" s="19" t="str">
        <f>IF(Tabela32[[#This Row],[% Entrega]]&gt;=96%,"Atendeu a Meta","Não Atendeu a Meta")</f>
        <v>Atendeu a Meta</v>
      </c>
      <c r="W197" s="4" t="s">
        <v>40</v>
      </c>
      <c r="X197" s="4">
        <v>0</v>
      </c>
      <c r="Y197" s="5">
        <v>0</v>
      </c>
    </row>
    <row r="198" spans="1:25" x14ac:dyDescent="0.25">
      <c r="A198" s="8">
        <v>46262</v>
      </c>
      <c r="B198" s="16">
        <f>YEAR(Tabela32[[#This Row],[Data]])</f>
        <v>2026</v>
      </c>
      <c r="C198" s="16">
        <f>MONTH(Tabela32[[#This Row],[Data]])</f>
        <v>8</v>
      </c>
      <c r="D198" s="4" t="s">
        <v>26</v>
      </c>
      <c r="E198" s="4">
        <v>1</v>
      </c>
      <c r="F198" s="4" t="str">
        <f>IFERROR(VLOOKUP(Tabela32[[#This Row],[Placa]],Planilha2!$A$1:$B$12,2,0),"")</f>
        <v>Gilberto</v>
      </c>
      <c r="G198" s="10">
        <v>15749.94</v>
      </c>
      <c r="H198" s="10">
        <v>104499.02</v>
      </c>
      <c r="I198" s="4">
        <v>2536</v>
      </c>
      <c r="J198" s="17">
        <f>IFERROR(Tabela32[[#This Row],[Valor Frete]]/Tabela32[[#This Row],[Valor Mercadoria]],"")</f>
        <v>0.15071854262365331</v>
      </c>
      <c r="K198" s="11">
        <v>0.33333333333333331</v>
      </c>
      <c r="L198" s="15">
        <v>0.75</v>
      </c>
      <c r="M198" s="15">
        <f>Tabela32[[#This Row],[Hr Chegada]]-Tabela32[[#This Row],[Hr Saida]]</f>
        <v>0.41666666666666669</v>
      </c>
      <c r="N198" s="4">
        <v>118863</v>
      </c>
      <c r="O198" s="4">
        <v>118901</v>
      </c>
      <c r="P198" s="4">
        <f>Tabela32[[#This Row],[Km Chegada]]-Tabela32[[#This Row],[Km Saída]]</f>
        <v>38</v>
      </c>
      <c r="Q198" s="4">
        <v>500</v>
      </c>
      <c r="R198" s="4">
        <v>11</v>
      </c>
      <c r="S198" s="4">
        <v>11</v>
      </c>
      <c r="T198" s="12">
        <f>Tabela32[[#This Row],[Entregas]]-Tabela32[[#This Row],[Realizadas]]</f>
        <v>0</v>
      </c>
      <c r="U198" s="18">
        <f>Tabela32[[#This Row],[Realizadas]]/Tabela32[[#This Row],[Entregas]]</f>
        <v>1</v>
      </c>
      <c r="V198" s="19" t="str">
        <f>IF(Tabela32[[#This Row],[% Entrega]]&gt;=96%,"Atendeu a Meta","Não Atendeu a Meta")</f>
        <v>Atendeu a Meta</v>
      </c>
      <c r="W198" s="4" t="s">
        <v>45</v>
      </c>
      <c r="X198" s="4">
        <v>0</v>
      </c>
      <c r="Y198" s="5">
        <v>0</v>
      </c>
    </row>
    <row r="199" spans="1:25" x14ac:dyDescent="0.25">
      <c r="A199" s="8">
        <v>46262</v>
      </c>
      <c r="B199" s="16">
        <f>YEAR(Tabela32[[#This Row],[Data]])</f>
        <v>2026</v>
      </c>
      <c r="C199" s="16">
        <f>MONTH(Tabela32[[#This Row],[Data]])</f>
        <v>8</v>
      </c>
      <c r="D199" s="4" t="s">
        <v>36</v>
      </c>
      <c r="E199" s="4">
        <v>1</v>
      </c>
      <c r="F199" s="4" t="str">
        <f>IFERROR(VLOOKUP(Tabela32[[#This Row],[Placa]],Planilha2!$A$1:$B$12,2,0),"")</f>
        <v>Osvaldo</v>
      </c>
      <c r="G199" s="10">
        <v>3684.39</v>
      </c>
      <c r="H199" s="10">
        <v>69696.740000000005</v>
      </c>
      <c r="I199" s="4">
        <v>879</v>
      </c>
      <c r="J199" s="17">
        <f>IFERROR(Tabela32[[#This Row],[Valor Frete]]/Tabela32[[#This Row],[Valor Mercadoria]],"")</f>
        <v>5.2863161175113783E-2</v>
      </c>
      <c r="K199" s="11">
        <v>0.3125</v>
      </c>
      <c r="L199" s="15">
        <v>0.7680555555555556</v>
      </c>
      <c r="M199" s="15">
        <f>Tabela32[[#This Row],[Hr Chegada]]-Tabela32[[#This Row],[Hr Saida]]</f>
        <v>0.4555555555555556</v>
      </c>
      <c r="N199" s="4">
        <v>142266</v>
      </c>
      <c r="O199" s="4">
        <v>142290</v>
      </c>
      <c r="P199" s="4">
        <f>Tabela32[[#This Row],[Km Chegada]]-Tabela32[[#This Row],[Km Saída]]</f>
        <v>24</v>
      </c>
      <c r="Q199" s="4">
        <v>174</v>
      </c>
      <c r="R199" s="4">
        <v>14</v>
      </c>
      <c r="S199" s="4">
        <v>0</v>
      </c>
      <c r="T199" s="12">
        <f>Tabela32[[#This Row],[Entregas]]-Tabela32[[#This Row],[Realizadas]]</f>
        <v>14</v>
      </c>
      <c r="U199" s="18">
        <f>Tabela32[[#This Row],[Realizadas]]/Tabela32[[#This Row],[Entregas]]</f>
        <v>0</v>
      </c>
      <c r="V199" s="19" t="str">
        <f>IF(Tabela32[[#This Row],[% Entrega]]&gt;=96%,"Atendeu a Meta","Não Atendeu a Meta")</f>
        <v>Não Atendeu a Meta</v>
      </c>
      <c r="W199" s="4" t="s">
        <v>45</v>
      </c>
      <c r="X199" s="4">
        <v>14</v>
      </c>
      <c r="Y199" s="5" t="s">
        <v>74</v>
      </c>
    </row>
    <row r="200" spans="1:25" x14ac:dyDescent="0.25">
      <c r="A200" s="8">
        <v>46263</v>
      </c>
      <c r="B200" s="16">
        <f>YEAR(Tabela32[[#This Row],[Data]])</f>
        <v>2026</v>
      </c>
      <c r="C200" s="16">
        <f>MONTH(Tabela32[[#This Row],[Data]])</f>
        <v>8</v>
      </c>
      <c r="D200" s="4" t="s">
        <v>30</v>
      </c>
      <c r="E200" s="4">
        <v>5</v>
      </c>
      <c r="F200" s="4" t="str">
        <f>IFERROR(VLOOKUP(Tabela32[[#This Row],[Placa]],Planilha2!$A$1:$B$12,2,0),"")</f>
        <v>Sandro</v>
      </c>
      <c r="G200" s="10">
        <v>2779.1</v>
      </c>
      <c r="H200" s="10">
        <v>114743.1</v>
      </c>
      <c r="I200" s="4">
        <v>412</v>
      </c>
      <c r="J200" s="17">
        <f>IFERROR(Tabela32[[#This Row],[Valor Frete]]/Tabela32[[#This Row],[Valor Mercadoria]],"")</f>
        <v>2.4220192761046196E-2</v>
      </c>
      <c r="K200" s="11">
        <v>0.3125</v>
      </c>
      <c r="L200" s="15">
        <v>0.45833333333333331</v>
      </c>
      <c r="M200" s="15">
        <f>Tabela32[[#This Row],[Hr Chegada]]-Tabela32[[#This Row],[Hr Saida]]</f>
        <v>0.14583333333333331</v>
      </c>
      <c r="N200" s="4">
        <v>275155</v>
      </c>
      <c r="O200" s="4">
        <v>275192</v>
      </c>
      <c r="P200" s="4">
        <f>Tabela32[[#This Row],[Km Chegada]]-Tabela32[[#This Row],[Km Saída]]</f>
        <v>37</v>
      </c>
      <c r="Q200" s="4">
        <v>123</v>
      </c>
      <c r="R200" s="4">
        <v>9</v>
      </c>
      <c r="S200" s="4">
        <v>9</v>
      </c>
      <c r="T200" s="12">
        <f>Tabela32[[#This Row],[Entregas]]-Tabela32[[#This Row],[Realizadas]]</f>
        <v>0</v>
      </c>
      <c r="U200" s="18">
        <f>Tabela32[[#This Row],[Realizadas]]/Tabela32[[#This Row],[Entregas]]</f>
        <v>1</v>
      </c>
      <c r="V200" s="19" t="str">
        <f>IF(Tabela32[[#This Row],[% Entrega]]&gt;=96%,"Atendeu a Meta","Não Atendeu a Meta")</f>
        <v>Atendeu a Meta</v>
      </c>
      <c r="W200" s="4" t="s">
        <v>40</v>
      </c>
      <c r="X200" s="4">
        <v>0</v>
      </c>
      <c r="Y200" s="5">
        <v>0</v>
      </c>
    </row>
    <row r="201" spans="1:25" x14ac:dyDescent="0.25">
      <c r="A201" s="8">
        <v>46263</v>
      </c>
      <c r="B201" s="16">
        <f>YEAR(Tabela32[[#This Row],[Data]])</f>
        <v>2026</v>
      </c>
      <c r="C201" s="16">
        <f>MONTH(Tabela32[[#This Row],[Data]])</f>
        <v>8</v>
      </c>
      <c r="D201" s="4" t="s">
        <v>34</v>
      </c>
      <c r="E201" s="4">
        <v>1</v>
      </c>
      <c r="F201" s="4" t="str">
        <f>IFERROR(VLOOKUP(Tabela32[[#This Row],[Placa]],Planilha2!$A$1:$B$12,2,0),"")</f>
        <v>Paulo</v>
      </c>
      <c r="G201" s="10">
        <v>1798.27</v>
      </c>
      <c r="H201" s="10">
        <v>21119.42</v>
      </c>
      <c r="I201" s="4">
        <v>588</v>
      </c>
      <c r="J201" s="17">
        <f>IFERROR(Tabela32[[#This Row],[Valor Frete]]/Tabela32[[#This Row],[Valor Mercadoria]],"")</f>
        <v>8.5147698184893345E-2</v>
      </c>
      <c r="K201" s="11">
        <v>0.3125</v>
      </c>
      <c r="L201" s="15">
        <v>0.47916666666666669</v>
      </c>
      <c r="M201" s="15">
        <f>Tabela32[[#This Row],[Hr Chegada]]-Tabela32[[#This Row],[Hr Saida]]</f>
        <v>0.16666666666666669</v>
      </c>
      <c r="N201" s="4">
        <v>154634</v>
      </c>
      <c r="O201" s="4">
        <v>154765</v>
      </c>
      <c r="P201" s="4">
        <f>Tabela32[[#This Row],[Km Chegada]]-Tabela32[[#This Row],[Km Saída]]</f>
        <v>131</v>
      </c>
      <c r="Q201" s="4">
        <v>36</v>
      </c>
      <c r="R201" s="4">
        <v>7</v>
      </c>
      <c r="S201" s="4">
        <v>7</v>
      </c>
      <c r="T201" s="12">
        <f>Tabela32[[#This Row],[Entregas]]-Tabela32[[#This Row],[Realizadas]]</f>
        <v>0</v>
      </c>
      <c r="U201" s="18">
        <f>Tabela32[[#This Row],[Realizadas]]/Tabela32[[#This Row],[Entregas]]</f>
        <v>1</v>
      </c>
      <c r="V201" s="19" t="str">
        <f>IF(Tabela32[[#This Row],[% Entrega]]&gt;=96%,"Atendeu a Meta","Não Atendeu a Meta")</f>
        <v>Atendeu a Meta</v>
      </c>
      <c r="W201" s="4" t="s">
        <v>40</v>
      </c>
      <c r="X201" s="4">
        <v>0</v>
      </c>
      <c r="Y201" s="5">
        <v>0</v>
      </c>
    </row>
    <row r="202" spans="1:25" x14ac:dyDescent="0.25">
      <c r="A202" s="8">
        <v>46263</v>
      </c>
      <c r="B202" s="16">
        <f>YEAR(Tabela32[[#This Row],[Data]])</f>
        <v>2026</v>
      </c>
      <c r="C202" s="16">
        <f>MONTH(Tabela32[[#This Row],[Data]])</f>
        <v>8</v>
      </c>
      <c r="D202" s="4" t="s">
        <v>26</v>
      </c>
      <c r="E202" s="4">
        <v>1</v>
      </c>
      <c r="F202" s="4" t="str">
        <f>IFERROR(VLOOKUP(Tabela32[[#This Row],[Placa]],Planilha2!$A$1:$B$12,2,0),"")</f>
        <v>Gilberto</v>
      </c>
      <c r="G202" s="10">
        <v>5891.7979999999998</v>
      </c>
      <c r="H202" s="10">
        <v>71421.240000000005</v>
      </c>
      <c r="I202" s="4">
        <v>603</v>
      </c>
      <c r="J202" s="17">
        <f>IFERROR(Tabela32[[#This Row],[Valor Frete]]/Tabela32[[#This Row],[Valor Mercadoria]],"")</f>
        <v>8.2493639147122058E-2</v>
      </c>
      <c r="K202" s="11">
        <v>0.29166666666666669</v>
      </c>
      <c r="L202" s="15">
        <v>0.53472222222222221</v>
      </c>
      <c r="M202" s="15">
        <f>Tabela32[[#This Row],[Hr Chegada]]-Tabela32[[#This Row],[Hr Saida]]</f>
        <v>0.24305555555555552</v>
      </c>
      <c r="N202" s="4">
        <v>118901</v>
      </c>
      <c r="O202" s="4">
        <v>119035</v>
      </c>
      <c r="P202" s="4">
        <f>Tabela32[[#This Row],[Km Chegada]]-Tabela32[[#This Row],[Km Saída]]</f>
        <v>134</v>
      </c>
      <c r="Q202" s="4">
        <v>97</v>
      </c>
      <c r="R202" s="4">
        <v>20</v>
      </c>
      <c r="S202" s="4">
        <v>20</v>
      </c>
      <c r="T202" s="12">
        <f>Tabela32[[#This Row],[Entregas]]-Tabela32[[#This Row],[Realizadas]]</f>
        <v>0</v>
      </c>
      <c r="U202" s="18">
        <f>Tabela32[[#This Row],[Realizadas]]/Tabela32[[#This Row],[Entregas]]</f>
        <v>1</v>
      </c>
      <c r="V202" s="19" t="str">
        <f>IF(Tabela32[[#This Row],[% Entrega]]&gt;=96%,"Atendeu a Meta","Não Atendeu a Meta")</f>
        <v>Atendeu a Meta</v>
      </c>
      <c r="W202" s="4" t="s">
        <v>42</v>
      </c>
      <c r="X202" s="4">
        <v>0</v>
      </c>
      <c r="Y202" s="5">
        <v>0</v>
      </c>
    </row>
    <row r="203" spans="1:25" x14ac:dyDescent="0.25">
      <c r="A203" s="8">
        <v>46265</v>
      </c>
      <c r="B203" s="16">
        <f>YEAR(Tabela32[[#This Row],[Data]])</f>
        <v>2026</v>
      </c>
      <c r="C203" s="16">
        <f>MONTH(Tabela32[[#This Row],[Data]])</f>
        <v>8</v>
      </c>
      <c r="D203" s="4" t="s">
        <v>26</v>
      </c>
      <c r="E203" s="4">
        <v>4</v>
      </c>
      <c r="F203" s="4" t="str">
        <f>IFERROR(VLOOKUP(Tabela32[[#This Row],[Placa]],Planilha2!$A$1:$B$12,2,0),"")</f>
        <v>Gilberto</v>
      </c>
      <c r="G203" s="10">
        <v>6554.17</v>
      </c>
      <c r="H203" s="10">
        <v>152572.85</v>
      </c>
      <c r="I203" s="4">
        <v>2600</v>
      </c>
      <c r="J203" s="17">
        <f>IFERROR(Tabela32[[#This Row],[Valor Frete]]/Tabela32[[#This Row],[Valor Mercadoria]],"")</f>
        <v>4.2957642857166266E-2</v>
      </c>
      <c r="K203" s="11">
        <v>0.28472222222222221</v>
      </c>
      <c r="L203" s="15">
        <v>0.70277777777777772</v>
      </c>
      <c r="M203" s="15">
        <f>Tabela32[[#This Row],[Hr Chegada]]-Tabela32[[#This Row],[Hr Saida]]</f>
        <v>0.41805555555555551</v>
      </c>
      <c r="N203" s="4">
        <v>119035</v>
      </c>
      <c r="O203" s="4">
        <v>119102</v>
      </c>
      <c r="P203" s="4">
        <f>Tabela32[[#This Row],[Km Chegada]]-Tabela32[[#This Row],[Km Saída]]</f>
        <v>67</v>
      </c>
      <c r="Q203" s="4">
        <v>99</v>
      </c>
      <c r="R203" s="4">
        <v>12</v>
      </c>
      <c r="S203" s="4">
        <v>12</v>
      </c>
      <c r="T203" s="12">
        <f>Tabela32[[#This Row],[Entregas]]-Tabela32[[#This Row],[Realizadas]]</f>
        <v>0</v>
      </c>
      <c r="U203" s="18">
        <f>Tabela32[[#This Row],[Realizadas]]/Tabela32[[#This Row],[Entregas]]</f>
        <v>1</v>
      </c>
      <c r="V203" s="19" t="str">
        <f>IF(Tabela32[[#This Row],[% Entrega]]&gt;=96%,"Atendeu a Meta","Não Atendeu a Meta")</f>
        <v>Atendeu a Meta</v>
      </c>
      <c r="W203" s="4" t="s">
        <v>40</v>
      </c>
      <c r="X203" s="4">
        <v>0</v>
      </c>
      <c r="Y203" s="5">
        <v>0</v>
      </c>
    </row>
    <row r="204" spans="1:25" x14ac:dyDescent="0.25">
      <c r="A204" s="8">
        <v>46265</v>
      </c>
      <c r="B204" s="16">
        <f>YEAR(Tabela32[[#This Row],[Data]])</f>
        <v>2026</v>
      </c>
      <c r="C204" s="16">
        <f>MONTH(Tabela32[[#This Row],[Data]])</f>
        <v>8</v>
      </c>
      <c r="D204" s="4" t="s">
        <v>36</v>
      </c>
      <c r="E204" s="4">
        <v>5</v>
      </c>
      <c r="F204" s="4" t="str">
        <f>IFERROR(VLOOKUP(Tabela32[[#This Row],[Placa]],Planilha2!$A$1:$B$12,2,0),"")</f>
        <v>Osvaldo</v>
      </c>
      <c r="G204" s="10">
        <v>6755.44</v>
      </c>
      <c r="H204" s="10">
        <v>89700.37</v>
      </c>
      <c r="I204" s="4">
        <v>647</v>
      </c>
      <c r="J204" s="17">
        <f>IFERROR(Tabela32[[#This Row],[Valor Frete]]/Tabela32[[#This Row],[Valor Mercadoria]],"")</f>
        <v>7.5311172072088442E-2</v>
      </c>
      <c r="K204" s="11">
        <v>0.33333333333333331</v>
      </c>
      <c r="L204" s="15">
        <v>0.75</v>
      </c>
      <c r="M204" s="15">
        <f>Tabela32[[#This Row],[Hr Chegada]]-Tabela32[[#This Row],[Hr Saida]]</f>
        <v>0.41666666666666669</v>
      </c>
      <c r="N204" s="4">
        <v>142290</v>
      </c>
      <c r="O204" s="4">
        <v>142370</v>
      </c>
      <c r="P204" s="4">
        <f>Tabela32[[#This Row],[Km Chegada]]-Tabela32[[#This Row],[Km Saída]]</f>
        <v>80</v>
      </c>
      <c r="Q204" s="4">
        <v>107</v>
      </c>
      <c r="R204" s="4">
        <v>11</v>
      </c>
      <c r="S204" s="4">
        <v>11</v>
      </c>
      <c r="T204" s="12">
        <f>Tabela32[[#This Row],[Entregas]]-Tabela32[[#This Row],[Realizadas]]</f>
        <v>0</v>
      </c>
      <c r="U204" s="18">
        <f>Tabela32[[#This Row],[Realizadas]]/Tabela32[[#This Row],[Entregas]]</f>
        <v>1</v>
      </c>
      <c r="V204" s="19" t="str">
        <f>IF(Tabela32[[#This Row],[% Entrega]]&gt;=96%,"Atendeu a Meta","Não Atendeu a Meta")</f>
        <v>Atendeu a Meta</v>
      </c>
      <c r="W204" s="4" t="s">
        <v>40</v>
      </c>
      <c r="X204" s="4">
        <v>0</v>
      </c>
      <c r="Y204" s="5">
        <v>0</v>
      </c>
    </row>
    <row r="205" spans="1:25" x14ac:dyDescent="0.25">
      <c r="A205" s="8">
        <v>46265</v>
      </c>
      <c r="B205" s="16">
        <f>YEAR(Tabela32[[#This Row],[Data]])</f>
        <v>2026</v>
      </c>
      <c r="C205" s="16">
        <f>MONTH(Tabela32[[#This Row],[Data]])</f>
        <v>8</v>
      </c>
      <c r="D205" s="4" t="s">
        <v>29</v>
      </c>
      <c r="E205" s="4">
        <v>11</v>
      </c>
      <c r="F205" s="4" t="str">
        <f>IFERROR(VLOOKUP(Tabela32[[#This Row],[Placa]],Planilha2!$A$1:$B$12,2,0),"")</f>
        <v>Edilson</v>
      </c>
      <c r="G205" s="10">
        <v>9866.33</v>
      </c>
      <c r="H205" s="10">
        <v>147461.76000000001</v>
      </c>
      <c r="I205" s="4">
        <v>1447</v>
      </c>
      <c r="J205" s="17">
        <f>IFERROR(Tabela32[[#This Row],[Valor Frete]]/Tabela32[[#This Row],[Valor Mercadoria]],"")</f>
        <v>6.6907718991011625E-2</v>
      </c>
      <c r="K205" s="11">
        <v>0.27083333333333331</v>
      </c>
      <c r="L205" s="15">
        <v>0.74305555555555558</v>
      </c>
      <c r="M205" s="15">
        <f>Tabela32[[#This Row],[Hr Chegada]]-Tabela32[[#This Row],[Hr Saida]]</f>
        <v>0.47222222222222227</v>
      </c>
      <c r="N205" s="4">
        <v>104557</v>
      </c>
      <c r="O205" s="4">
        <v>104697</v>
      </c>
      <c r="P205" s="4">
        <f>Tabela32[[#This Row],[Km Chegada]]-Tabela32[[#This Row],[Km Saída]]</f>
        <v>140</v>
      </c>
      <c r="Q205" s="4">
        <v>196</v>
      </c>
      <c r="R205" s="4">
        <v>23</v>
      </c>
      <c r="S205" s="4">
        <v>23</v>
      </c>
      <c r="T205" s="12">
        <f>Tabela32[[#This Row],[Entregas]]-Tabela32[[#This Row],[Realizadas]]</f>
        <v>0</v>
      </c>
      <c r="U205" s="18">
        <f>Tabela32[[#This Row],[Realizadas]]/Tabela32[[#This Row],[Entregas]]</f>
        <v>1</v>
      </c>
      <c r="V205" s="19" t="str">
        <f>IF(Tabela32[[#This Row],[% Entrega]]&gt;=96%,"Atendeu a Meta","Não Atendeu a Meta")</f>
        <v>Atendeu a Meta</v>
      </c>
      <c r="W205" s="4" t="s">
        <v>42</v>
      </c>
      <c r="X205" s="4">
        <v>0</v>
      </c>
      <c r="Y205" s="5">
        <v>0</v>
      </c>
    </row>
    <row r="206" spans="1:25" x14ac:dyDescent="0.25">
      <c r="A206" s="8">
        <v>46265</v>
      </c>
      <c r="B206" s="16">
        <f>YEAR(Tabela32[[#This Row],[Data]])</f>
        <v>2026</v>
      </c>
      <c r="C206" s="16">
        <f>MONTH(Tabela32[[#This Row],[Data]])</f>
        <v>8</v>
      </c>
      <c r="D206" s="4" t="s">
        <v>22</v>
      </c>
      <c r="E206" s="4">
        <v>1</v>
      </c>
      <c r="F206" s="4" t="str">
        <f>IFERROR(VLOOKUP(Tabela32[[#This Row],[Placa]],Planilha2!$A$1:$B$12,2,0),"")</f>
        <v>Juscelino</v>
      </c>
      <c r="G206" s="10">
        <v>10576.51</v>
      </c>
      <c r="H206" s="10">
        <v>137277.46</v>
      </c>
      <c r="I206" s="4">
        <v>1875</v>
      </c>
      <c r="J206" s="17">
        <f>IFERROR(Tabela32[[#This Row],[Valor Frete]]/Tabela32[[#This Row],[Valor Mercadoria]],"")</f>
        <v>7.7044767582383891E-2</v>
      </c>
      <c r="K206" s="11">
        <v>0.29166666666666669</v>
      </c>
      <c r="L206" s="15">
        <v>0.76388888888888884</v>
      </c>
      <c r="M206" s="15">
        <f>Tabela32[[#This Row],[Hr Chegada]]-Tabela32[[#This Row],[Hr Saida]]</f>
        <v>0.47222222222222215</v>
      </c>
      <c r="N206" s="4">
        <v>303720</v>
      </c>
      <c r="O206" s="4">
        <v>303777</v>
      </c>
      <c r="P206" s="4">
        <f>Tabela32[[#This Row],[Km Chegada]]-Tabela32[[#This Row],[Km Saída]]</f>
        <v>57</v>
      </c>
      <c r="Q206" s="4">
        <v>248</v>
      </c>
      <c r="R206" s="4">
        <v>22</v>
      </c>
      <c r="S206" s="4">
        <v>22</v>
      </c>
      <c r="T206" s="12">
        <f>Tabela32[[#This Row],[Entregas]]-Tabela32[[#This Row],[Realizadas]]</f>
        <v>0</v>
      </c>
      <c r="U206" s="18">
        <f>Tabela32[[#This Row],[Realizadas]]/Tabela32[[#This Row],[Entregas]]</f>
        <v>1</v>
      </c>
      <c r="V206" s="19" t="str">
        <f>IF(Tabela32[[#This Row],[% Entrega]]&gt;=96%,"Atendeu a Meta","Não Atendeu a Meta")</f>
        <v>Atendeu a Meta</v>
      </c>
      <c r="W206" s="4" t="s">
        <v>45</v>
      </c>
      <c r="X206" s="4">
        <v>0</v>
      </c>
      <c r="Y206" s="5">
        <v>0</v>
      </c>
    </row>
    <row r="207" spans="1:25" x14ac:dyDescent="0.25">
      <c r="A207" s="8">
        <v>46265</v>
      </c>
      <c r="B207" s="16">
        <f>YEAR(Tabela32[[#This Row],[Data]])</f>
        <v>2026</v>
      </c>
      <c r="C207" s="16">
        <f>MONTH(Tabela32[[#This Row],[Data]])</f>
        <v>8</v>
      </c>
      <c r="D207" s="4" t="s">
        <v>30</v>
      </c>
      <c r="E207" s="4">
        <v>5</v>
      </c>
      <c r="F207" s="10" t="str">
        <f>IFERROR(VLOOKUP(Tabela32[[#This Row],[Placa]],Planilha2!$A$1:$B$12,2,0),"")</f>
        <v>Sandro</v>
      </c>
      <c r="G207" s="10">
        <v>1963.5</v>
      </c>
      <c r="H207" s="10">
        <v>46524.72</v>
      </c>
      <c r="I207" s="4">
        <v>109</v>
      </c>
      <c r="J207" s="17">
        <f>IFERROR(Tabela32[[#This Row],[Valor Frete]]/Tabela32[[#This Row],[Valor Mercadoria]],"")</f>
        <v>4.220337059524485E-2</v>
      </c>
      <c r="K207" s="11">
        <v>0.29166666666666669</v>
      </c>
      <c r="L207" s="15">
        <v>0.53125</v>
      </c>
      <c r="M207" s="15">
        <f>Tabela32[[#This Row],[Hr Chegada]]-Tabela32[[#This Row],[Hr Saida]]</f>
        <v>0.23958333333333331</v>
      </c>
      <c r="N207" s="4">
        <v>275192</v>
      </c>
      <c r="O207" s="4">
        <v>275225</v>
      </c>
      <c r="P207" s="4">
        <f>Tabela32[[#This Row],[Km Chegada]]-Tabela32[[#This Row],[Km Saída]]</f>
        <v>33</v>
      </c>
      <c r="Q207" s="4">
        <v>12</v>
      </c>
      <c r="R207" s="4">
        <v>3</v>
      </c>
      <c r="S207" s="4">
        <v>3</v>
      </c>
      <c r="T207" s="12">
        <f>Tabela32[[#This Row],[Entregas]]-Tabela32[[#This Row],[Realizadas]]</f>
        <v>0</v>
      </c>
      <c r="U207" s="18">
        <f>Tabela32[[#This Row],[Realizadas]]/Tabela32[[#This Row],[Entregas]]</f>
        <v>1</v>
      </c>
      <c r="V207" s="19" t="str">
        <f>IF(Tabela32[[#This Row],[% Entrega]]&gt;=96%,"Atendeu a Meta","Não Atendeu a Meta")</f>
        <v>Atendeu a Meta</v>
      </c>
      <c r="W207" s="4" t="s">
        <v>41</v>
      </c>
      <c r="X207" s="4">
        <v>0</v>
      </c>
      <c r="Y207" s="5">
        <v>0</v>
      </c>
    </row>
    <row r="208" spans="1:25" x14ac:dyDescent="0.25">
      <c r="A208" s="8">
        <v>46265</v>
      </c>
      <c r="B208" s="16">
        <f>YEAR(Tabela32[[#This Row],[Data]])</f>
        <v>2026</v>
      </c>
      <c r="C208" s="16">
        <f>MONTH(Tabela32[[#This Row],[Data]])</f>
        <v>8</v>
      </c>
      <c r="D208" s="4" t="s">
        <v>30</v>
      </c>
      <c r="E208" s="4">
        <v>5</v>
      </c>
      <c r="F208" s="4" t="str">
        <f>IFERROR(VLOOKUP(Tabela32[[#This Row],[Placa]],Planilha2!$A$1:$B$12,2,0),"")</f>
        <v>Sandro</v>
      </c>
      <c r="G208" s="10">
        <v>1657.74</v>
      </c>
      <c r="H208" s="10">
        <v>62424</v>
      </c>
      <c r="I208" s="4">
        <v>565</v>
      </c>
      <c r="J208" s="17">
        <f>IFERROR(Tabela32[[#This Row],[Valor Frete]]/Tabela32[[#This Row],[Valor Mercadoria]],"")</f>
        <v>2.6556132256824298E-2</v>
      </c>
      <c r="K208" s="11">
        <v>0.61458333333333337</v>
      </c>
      <c r="L208" s="15">
        <v>0.68541666666666667</v>
      </c>
      <c r="M208" s="15">
        <f>Tabela32[[#This Row],[Hr Chegada]]-Tabela32[[#This Row],[Hr Saida]]</f>
        <v>7.0833333333333304E-2</v>
      </c>
      <c r="N208" s="4">
        <v>275225</v>
      </c>
      <c r="O208" s="4">
        <v>275261</v>
      </c>
      <c r="P208" s="4">
        <f>Tabela32[[#This Row],[Km Chegada]]-Tabela32[[#This Row],[Km Saída]]</f>
        <v>36</v>
      </c>
      <c r="Q208" s="4">
        <v>92</v>
      </c>
      <c r="R208" s="4">
        <v>5</v>
      </c>
      <c r="S208" s="4">
        <v>5</v>
      </c>
      <c r="T208" s="12">
        <f>Tabela32[[#This Row],[Entregas]]-Tabela32[[#This Row],[Realizadas]]</f>
        <v>0</v>
      </c>
      <c r="U208" s="18">
        <f>Tabela32[[#This Row],[Realizadas]]/Tabela32[[#This Row],[Entregas]]</f>
        <v>1</v>
      </c>
      <c r="V208" s="19" t="str">
        <f>IF(Tabela32[[#This Row],[% Entrega]]&gt;=96%,"Atendeu a Meta","Não Atendeu a Meta")</f>
        <v>Atendeu a Meta</v>
      </c>
      <c r="W208" s="4" t="s">
        <v>40</v>
      </c>
      <c r="X208" s="4">
        <v>0</v>
      </c>
      <c r="Y208" s="5">
        <v>0</v>
      </c>
    </row>
    <row r="209" spans="1:25" x14ac:dyDescent="0.25">
      <c r="A209" s="8">
        <v>46265</v>
      </c>
      <c r="B209" s="16">
        <f>YEAR(Tabela32[[#This Row],[Data]])</f>
        <v>2026</v>
      </c>
      <c r="C209" s="16">
        <f>MONTH(Tabela32[[#This Row],[Data]])</f>
        <v>8</v>
      </c>
      <c r="D209" s="4" t="s">
        <v>32</v>
      </c>
      <c r="E209" s="4">
        <v>3</v>
      </c>
      <c r="F209" s="4" t="str">
        <f>IFERROR(VLOOKUP(Tabela32[[#This Row],[Placa]],Planilha2!$A$1:$B$12,2,0),"")</f>
        <v>Jerson</v>
      </c>
      <c r="G209" s="10">
        <v>6318.8</v>
      </c>
      <c r="H209" s="10">
        <v>107463.47</v>
      </c>
      <c r="I209" s="4">
        <v>1069</v>
      </c>
      <c r="J209" s="17">
        <f>IFERROR(Tabela32[[#This Row],[Valor Frete]]/Tabela32[[#This Row],[Valor Mercadoria]],"")</f>
        <v>5.8799515779641216E-2</v>
      </c>
      <c r="K209" s="11">
        <v>0.32291666666666669</v>
      </c>
      <c r="L209" s="15">
        <v>0.79305555555555551</v>
      </c>
      <c r="M209" s="15">
        <f>Tabela32[[#This Row],[Hr Chegada]]-Tabela32[[#This Row],[Hr Saida]]</f>
        <v>0.47013888888888883</v>
      </c>
      <c r="N209" s="4">
        <v>279886</v>
      </c>
      <c r="O209" s="4">
        <v>279962</v>
      </c>
      <c r="P209" s="4">
        <f>Tabela32[[#This Row],[Km Chegada]]-Tabela32[[#This Row],[Km Saída]]</f>
        <v>76</v>
      </c>
      <c r="Q209" s="4">
        <v>151</v>
      </c>
      <c r="R209" s="4">
        <v>18</v>
      </c>
      <c r="S209" s="4">
        <v>18</v>
      </c>
      <c r="T209" s="12">
        <f>Tabela32[[#This Row],[Entregas]]-Tabela32[[#This Row],[Realizadas]]</f>
        <v>0</v>
      </c>
      <c r="U209" s="18">
        <f>Tabela32[[#This Row],[Realizadas]]/Tabela32[[#This Row],[Entregas]]</f>
        <v>1</v>
      </c>
      <c r="V209" s="19" t="str">
        <f>IF(Tabela32[[#This Row],[% Entrega]]&gt;=96%,"Atendeu a Meta","Não Atendeu a Meta")</f>
        <v>Atendeu a Meta</v>
      </c>
      <c r="W209" s="4" t="s">
        <v>40</v>
      </c>
      <c r="X209" s="4">
        <v>1</v>
      </c>
      <c r="Y209" s="5">
        <v>38</v>
      </c>
    </row>
    <row r="210" spans="1:25" x14ac:dyDescent="0.25">
      <c r="A210" s="8">
        <v>46265</v>
      </c>
      <c r="B210" s="16">
        <f>YEAR(Tabela32[[#This Row],[Data]])</f>
        <v>2026</v>
      </c>
      <c r="C210" s="16">
        <f>MONTH(Tabela32[[#This Row],[Data]])</f>
        <v>8</v>
      </c>
      <c r="D210" s="4" t="s">
        <v>28</v>
      </c>
      <c r="E210" s="4">
        <v>1</v>
      </c>
      <c r="F210" s="4" t="str">
        <f>IFERROR(VLOOKUP(Tabela32[[#This Row],[Placa]],Planilha2!$A$1:$B$12,2,0),"")</f>
        <v>Rosinaldo</v>
      </c>
      <c r="G210" s="10">
        <v>10769.09</v>
      </c>
      <c r="H210" s="10">
        <v>179421.4</v>
      </c>
      <c r="I210" s="4">
        <v>1091</v>
      </c>
      <c r="J210" s="17">
        <f>IFERROR(Tabela32[[#This Row],[Valor Frete]]/Tabela32[[#This Row],[Valor Mercadoria]],"")</f>
        <v>6.002121263126918E-2</v>
      </c>
      <c r="K210" s="11">
        <v>0.29166666666666669</v>
      </c>
      <c r="L210" s="15">
        <v>0.69791666666666663</v>
      </c>
      <c r="M210" s="15">
        <f>Tabela32[[#This Row],[Hr Chegada]]-Tabela32[[#This Row],[Hr Saida]]</f>
        <v>0.40624999999999994</v>
      </c>
      <c r="N210" s="4">
        <v>290873</v>
      </c>
      <c r="O210" s="4">
        <v>290905</v>
      </c>
      <c r="P210" s="4">
        <f>Tabela32[[#This Row],[Km Chegada]]-Tabela32[[#This Row],[Km Saída]]</f>
        <v>32</v>
      </c>
      <c r="Q210" s="4">
        <v>253</v>
      </c>
      <c r="R210" s="4">
        <v>8</v>
      </c>
      <c r="S210" s="4">
        <v>8</v>
      </c>
      <c r="T210" s="12">
        <f>Tabela32[[#This Row],[Entregas]]-Tabela32[[#This Row],[Realizadas]]</f>
        <v>0</v>
      </c>
      <c r="U210" s="18">
        <f>Tabela32[[#This Row],[Realizadas]]/Tabela32[[#This Row],[Entregas]]</f>
        <v>1</v>
      </c>
      <c r="V210" s="19" t="str">
        <f>IF(Tabela32[[#This Row],[% Entrega]]&gt;=96%,"Atendeu a Meta","Não Atendeu a Meta")</f>
        <v>Atendeu a Meta</v>
      </c>
      <c r="W210" s="4" t="s">
        <v>41</v>
      </c>
      <c r="X210" s="4">
        <v>0</v>
      </c>
      <c r="Y210" s="5">
        <v>0</v>
      </c>
    </row>
    <row r="211" spans="1:25" x14ac:dyDescent="0.25">
      <c r="A211" s="8">
        <v>46265</v>
      </c>
      <c r="B211" s="16">
        <f>YEAR(Tabela32[[#This Row],[Data]])</f>
        <v>2026</v>
      </c>
      <c r="C211" s="16">
        <f>MONTH(Tabela32[[#This Row],[Data]])</f>
        <v>8</v>
      </c>
      <c r="D211" s="4" t="s">
        <v>24</v>
      </c>
      <c r="E211" s="4">
        <v>1</v>
      </c>
      <c r="F211" s="4" t="str">
        <f>IFERROR(VLOOKUP(Tabela32[[#This Row],[Placa]],Planilha2!$A$1:$B$12,2,0),"")</f>
        <v>Wesley</v>
      </c>
      <c r="G211" s="10">
        <v>4864.74</v>
      </c>
      <c r="H211" s="10">
        <v>38078</v>
      </c>
      <c r="I211" s="4">
        <v>518</v>
      </c>
      <c r="J211" s="17">
        <f>IFERROR(Tabela32[[#This Row],[Valor Frete]]/Tabela32[[#This Row],[Valor Mercadoria]],"")</f>
        <v>0.12775723514890489</v>
      </c>
      <c r="K211" s="11">
        <v>0.30555555555555558</v>
      </c>
      <c r="L211" s="15">
        <v>0.77083333333333337</v>
      </c>
      <c r="M211" s="15">
        <f>Tabela32[[#This Row],[Hr Chegada]]-Tabela32[[#This Row],[Hr Saida]]</f>
        <v>0.46527777777777779</v>
      </c>
      <c r="N211" s="4">
        <v>124600</v>
      </c>
      <c r="O211" s="4">
        <v>124648</v>
      </c>
      <c r="P211" s="4">
        <f>Tabela32[[#This Row],[Km Chegada]]-Tabela32[[#This Row],[Km Saída]]</f>
        <v>48</v>
      </c>
      <c r="Q211" s="4">
        <v>122</v>
      </c>
      <c r="R211" s="4">
        <v>7</v>
      </c>
      <c r="S211" s="4">
        <v>7</v>
      </c>
      <c r="T211" s="12">
        <f>Tabela32[[#This Row],[Entregas]]-Tabela32[[#This Row],[Realizadas]]</f>
        <v>0</v>
      </c>
      <c r="U211" s="18">
        <f>Tabela32[[#This Row],[Realizadas]]/Tabela32[[#This Row],[Entregas]]</f>
        <v>1</v>
      </c>
      <c r="V211" s="19" t="str">
        <f>IF(Tabela32[[#This Row],[% Entrega]]&gt;=96%,"Atendeu a Meta","Não Atendeu a Meta")</f>
        <v>Atendeu a Meta</v>
      </c>
      <c r="W211" s="4" t="s">
        <v>45</v>
      </c>
      <c r="X211" s="4">
        <v>0</v>
      </c>
      <c r="Y211" s="5">
        <v>0</v>
      </c>
    </row>
    <row r="212" spans="1:25" x14ac:dyDescent="0.25">
      <c r="A212" s="8">
        <v>46265</v>
      </c>
      <c r="B212" s="16">
        <f>YEAR(Tabela32[[#This Row],[Data]])</f>
        <v>2026</v>
      </c>
      <c r="C212" s="16">
        <f>MONTH(Tabela32[[#This Row],[Data]])</f>
        <v>8</v>
      </c>
      <c r="D212" s="4" t="s">
        <v>34</v>
      </c>
      <c r="E212" s="4">
        <v>1</v>
      </c>
      <c r="F212" s="4" t="str">
        <f>IFERROR(VLOOKUP(Tabela32[[#This Row],[Placa]],Planilha2!$A$1:$B$12,2,0),"")</f>
        <v>Paulo</v>
      </c>
      <c r="G212" s="10">
        <v>1692.59</v>
      </c>
      <c r="H212" s="10">
        <v>42377.94</v>
      </c>
      <c r="I212" s="4">
        <v>48</v>
      </c>
      <c r="J212" s="17">
        <f>IFERROR(Tabela32[[#This Row],[Valor Frete]]/Tabela32[[#This Row],[Valor Mercadoria]],"")</f>
        <v>3.9940355760567876E-2</v>
      </c>
      <c r="K212" s="11">
        <v>0.29305555555555557</v>
      </c>
      <c r="L212" s="15">
        <v>0.59166666666666667</v>
      </c>
      <c r="M212" s="15">
        <f>Tabela32[[#This Row],[Hr Chegada]]-Tabela32[[#This Row],[Hr Saida]]</f>
        <v>0.2986111111111111</v>
      </c>
      <c r="N212" s="4">
        <v>154765</v>
      </c>
      <c r="O212" s="4">
        <v>154807</v>
      </c>
      <c r="P212" s="4">
        <f>Tabela32[[#This Row],[Km Chegada]]-Tabela32[[#This Row],[Km Saída]]</f>
        <v>42</v>
      </c>
      <c r="Q212" s="4">
        <v>27</v>
      </c>
      <c r="R212" s="4">
        <v>3</v>
      </c>
      <c r="S212" s="4">
        <v>3</v>
      </c>
      <c r="T212" s="12">
        <f>Tabela32[[#This Row],[Entregas]]-Tabela32[[#This Row],[Realizadas]]</f>
        <v>0</v>
      </c>
      <c r="U212" s="18">
        <f>Tabela32[[#This Row],[Realizadas]]/Tabela32[[#This Row],[Entregas]]</f>
        <v>1</v>
      </c>
      <c r="V212" s="19" t="str">
        <f>IF(Tabela32[[#This Row],[% Entrega]]&gt;=96%,"Atendeu a Meta","Não Atendeu a Meta")</f>
        <v>Atendeu a Meta</v>
      </c>
      <c r="W212" s="4" t="s">
        <v>41</v>
      </c>
      <c r="X212" s="4">
        <v>0</v>
      </c>
      <c r="Y212" s="5">
        <v>0</v>
      </c>
    </row>
    <row r="213" spans="1:25" x14ac:dyDescent="0.25">
      <c r="A213" s="8">
        <v>46265</v>
      </c>
      <c r="B213" s="16">
        <f>YEAR(Tabela32[[#This Row],[Data]])</f>
        <v>2026</v>
      </c>
      <c r="C213" s="16">
        <f>MONTH(Tabela32[[#This Row],[Data]])</f>
        <v>8</v>
      </c>
      <c r="D213" s="4" t="s">
        <v>55</v>
      </c>
      <c r="E213" s="4">
        <v>1</v>
      </c>
      <c r="F213" s="4" t="str">
        <f>IFERROR(VLOOKUP(Tabela32[[#This Row],[Placa]],Planilha2!$A$1:$B$12,2,0),"")</f>
        <v>Arnaldo</v>
      </c>
      <c r="G213" s="10">
        <v>10862.98</v>
      </c>
      <c r="H213" s="10">
        <v>120436.68</v>
      </c>
      <c r="I213" s="4">
        <v>4594</v>
      </c>
      <c r="J213" s="17">
        <f>IFERROR(Tabela32[[#This Row],[Valor Frete]]/Tabela32[[#This Row],[Valor Mercadoria]],"")</f>
        <v>9.0196607877267951E-2</v>
      </c>
      <c r="K213" s="11">
        <v>0.30208333333333331</v>
      </c>
      <c r="L213" s="15">
        <v>0.71875</v>
      </c>
      <c r="M213" s="15">
        <f>Tabela32[[#This Row],[Hr Chegada]]-Tabela32[[#This Row],[Hr Saida]]</f>
        <v>0.41666666666666669</v>
      </c>
      <c r="N213" s="4">
        <v>12828</v>
      </c>
      <c r="O213" s="4">
        <v>12862</v>
      </c>
      <c r="P213" s="4">
        <f>Tabela32[[#This Row],[Km Chegada]]-Tabela32[[#This Row],[Km Saída]]</f>
        <v>34</v>
      </c>
      <c r="Q213" s="4">
        <v>9</v>
      </c>
      <c r="R213" s="4">
        <v>1</v>
      </c>
      <c r="S213" s="4">
        <v>1</v>
      </c>
      <c r="T213" s="12">
        <f>Tabela32[[#This Row],[Entregas]]-Tabela32[[#This Row],[Realizadas]]</f>
        <v>0</v>
      </c>
      <c r="U213" s="18">
        <f>Tabela32[[#This Row],[Realizadas]]/Tabela32[[#This Row],[Entregas]]</f>
        <v>1</v>
      </c>
      <c r="V213" s="19" t="str">
        <f>IF(Tabela32[[#This Row],[% Entrega]]&gt;=96%,"Atendeu a Meta","Não Atendeu a Meta")</f>
        <v>Atendeu a Meta</v>
      </c>
      <c r="W213" s="4" t="s">
        <v>41</v>
      </c>
      <c r="X213" s="4">
        <v>0</v>
      </c>
      <c r="Y213" s="5">
        <v>0</v>
      </c>
    </row>
    <row r="214" spans="1:25" x14ac:dyDescent="0.25">
      <c r="A214" s="8">
        <v>46266</v>
      </c>
      <c r="B214" s="16">
        <f>YEAR(Tabela32[[#This Row],[Data]])</f>
        <v>2026</v>
      </c>
      <c r="C214" s="16">
        <f>MONTH(Tabela32[[#This Row],[Data]])</f>
        <v>9</v>
      </c>
      <c r="D214" s="4" t="s">
        <v>36</v>
      </c>
      <c r="E214" s="4">
        <v>11</v>
      </c>
      <c r="F214" s="4" t="str">
        <f>IFERROR(VLOOKUP(Tabela32[[#This Row],[Placa]],Planilha2!$A$1:$B$12,2,0),"")</f>
        <v>Osvaldo</v>
      </c>
      <c r="G214" s="10">
        <v>6588.3</v>
      </c>
      <c r="H214" s="10">
        <v>166308.68</v>
      </c>
      <c r="I214" s="4">
        <v>1123</v>
      </c>
      <c r="J214" s="17">
        <f>IFERROR(Tabela32[[#This Row],[Valor Frete]]/Tabela32[[#This Row],[Valor Mercadoria]],"")</f>
        <v>3.9614889613699057E-2</v>
      </c>
      <c r="K214" s="11">
        <v>0.27083333333333331</v>
      </c>
      <c r="L214" s="15">
        <v>0.73472222222222228</v>
      </c>
      <c r="M214" s="15">
        <f>Tabela32[[#This Row],[Hr Chegada]]-Tabela32[[#This Row],[Hr Saida]]</f>
        <v>0.46388888888888896</v>
      </c>
      <c r="N214" s="4">
        <v>142371</v>
      </c>
      <c r="O214" s="4">
        <v>142526</v>
      </c>
      <c r="P214" s="4">
        <f>Tabela32[[#This Row],[Km Chegada]]-Tabela32[[#This Row],[Km Saída]]</f>
        <v>155</v>
      </c>
      <c r="Q214" s="4">
        <v>146</v>
      </c>
      <c r="R214" s="4">
        <v>16</v>
      </c>
      <c r="S214" s="4">
        <v>16</v>
      </c>
      <c r="T214" s="12">
        <f>Tabela32[[#This Row],[Entregas]]-Tabela32[[#This Row],[Realizadas]]</f>
        <v>0</v>
      </c>
      <c r="U214" s="18">
        <f>Tabela32[[#This Row],[Realizadas]]/Tabela32[[#This Row],[Entregas]]</f>
        <v>1</v>
      </c>
      <c r="V214" s="19" t="str">
        <f>IF(Tabela32[[#This Row],[% Entrega]]&gt;=96%,"Atendeu a Meta","Não Atendeu a Meta")</f>
        <v>Atendeu a Meta</v>
      </c>
      <c r="W214" s="4" t="s">
        <v>42</v>
      </c>
      <c r="X214" s="4">
        <v>0</v>
      </c>
      <c r="Y214" s="5">
        <v>0</v>
      </c>
    </row>
    <row r="215" spans="1:25" x14ac:dyDescent="0.25">
      <c r="A215" s="8">
        <v>46266</v>
      </c>
      <c r="B215" s="16">
        <f>YEAR(Tabela32[[#This Row],[Data]])</f>
        <v>2026</v>
      </c>
      <c r="C215" s="16">
        <f>MONTH(Tabela32[[#This Row],[Data]])</f>
        <v>9</v>
      </c>
      <c r="D215" s="4" t="s">
        <v>34</v>
      </c>
      <c r="E215" s="4">
        <v>1</v>
      </c>
      <c r="F215" s="4" t="str">
        <f>IFERROR(VLOOKUP(Tabela32[[#This Row],[Placa]],Planilha2!$A$1:$B$12,2,0),"")</f>
        <v>Paulo</v>
      </c>
      <c r="G215" s="10">
        <v>542.14</v>
      </c>
      <c r="H215" s="10">
        <v>6099.54</v>
      </c>
      <c r="I215" s="4">
        <v>57</v>
      </c>
      <c r="J215" s="17">
        <f>IFERROR(Tabela32[[#This Row],[Valor Frete]]/Tabela32[[#This Row],[Valor Mercadoria]],"")</f>
        <v>8.8882112421592441E-2</v>
      </c>
      <c r="K215" s="11">
        <v>0.2986111111111111</v>
      </c>
      <c r="L215" s="15">
        <v>0.72222222222222221</v>
      </c>
      <c r="M215" s="15">
        <f>Tabela32[[#This Row],[Hr Chegada]]-Tabela32[[#This Row],[Hr Saida]]</f>
        <v>0.4236111111111111</v>
      </c>
      <c r="N215" s="4">
        <v>154807</v>
      </c>
      <c r="O215" s="4">
        <v>154845</v>
      </c>
      <c r="P215" s="4">
        <f>Tabela32[[#This Row],[Km Chegada]]-Tabela32[[#This Row],[Km Saída]]</f>
        <v>38</v>
      </c>
      <c r="Q215" s="4">
        <v>10</v>
      </c>
      <c r="R215" s="4">
        <v>1</v>
      </c>
      <c r="S215" s="4">
        <v>1</v>
      </c>
      <c r="T215" s="12">
        <f>Tabela32[[#This Row],[Entregas]]-Tabela32[[#This Row],[Realizadas]]</f>
        <v>0</v>
      </c>
      <c r="U215" s="18">
        <f>Tabela32[[#This Row],[Realizadas]]/Tabela32[[#This Row],[Entregas]]</f>
        <v>1</v>
      </c>
      <c r="V215" s="19" t="str">
        <f>IF(Tabela32[[#This Row],[% Entrega]]&gt;=96%,"Atendeu a Meta","Não Atendeu a Meta")</f>
        <v>Atendeu a Meta</v>
      </c>
      <c r="W215" s="4" t="s">
        <v>41</v>
      </c>
      <c r="X215" s="4">
        <v>0</v>
      </c>
      <c r="Y215" s="5">
        <v>0</v>
      </c>
    </row>
    <row r="216" spans="1:25" x14ac:dyDescent="0.25">
      <c r="A216" s="8">
        <v>46266</v>
      </c>
      <c r="B216" s="16">
        <f>YEAR(Tabela32[[#This Row],[Data]])</f>
        <v>2026</v>
      </c>
      <c r="C216" s="16">
        <f>MONTH(Tabela32[[#This Row],[Data]])</f>
        <v>9</v>
      </c>
      <c r="D216" s="4" t="s">
        <v>55</v>
      </c>
      <c r="E216" s="4">
        <v>5</v>
      </c>
      <c r="F216" s="4" t="str">
        <f>IFERROR(VLOOKUP(Tabela32[[#This Row],[Placa]],Planilha2!$A$1:$B$12,2,0),"")</f>
        <v>Arnaldo</v>
      </c>
      <c r="G216" s="10">
        <v>6668.43</v>
      </c>
      <c r="H216" s="10">
        <v>110103.48</v>
      </c>
      <c r="I216" s="4">
        <v>205</v>
      </c>
      <c r="J216" s="17">
        <f>IFERROR(Tabela32[[#This Row],[Valor Frete]]/Tabela32[[#This Row],[Valor Mercadoria]],"")</f>
        <v>6.0565115653020238E-2</v>
      </c>
      <c r="K216" s="11">
        <v>0.3125</v>
      </c>
      <c r="L216" s="15">
        <v>0.81944444444444442</v>
      </c>
      <c r="M216" s="15">
        <f>Tabela32[[#This Row],[Hr Chegada]]-Tabela32[[#This Row],[Hr Saida]]</f>
        <v>0.50694444444444442</v>
      </c>
      <c r="N216" s="4">
        <v>12862</v>
      </c>
      <c r="O216" s="4">
        <v>12964</v>
      </c>
      <c r="P216" s="4">
        <f>Tabela32[[#This Row],[Km Chegada]]-Tabela32[[#This Row],[Km Saída]]</f>
        <v>102</v>
      </c>
      <c r="Q216" s="4">
        <v>205</v>
      </c>
      <c r="R216" s="4">
        <v>21</v>
      </c>
      <c r="S216" s="4">
        <v>21</v>
      </c>
      <c r="T216" s="12">
        <f>Tabela32[[#This Row],[Entregas]]-Tabela32[[#This Row],[Realizadas]]</f>
        <v>0</v>
      </c>
      <c r="U216" s="18">
        <f>Tabela32[[#This Row],[Realizadas]]/Tabela32[[#This Row],[Entregas]]</f>
        <v>1</v>
      </c>
      <c r="V216" s="19" t="str">
        <f>IF(Tabela32[[#This Row],[% Entrega]]&gt;=96%,"Atendeu a Meta","Não Atendeu a Meta")</f>
        <v>Atendeu a Meta</v>
      </c>
      <c r="W216" s="4" t="s">
        <v>40</v>
      </c>
      <c r="X216" s="4">
        <v>0</v>
      </c>
      <c r="Y216" s="5">
        <v>0</v>
      </c>
    </row>
    <row r="217" spans="1:25" x14ac:dyDescent="0.25">
      <c r="A217" s="8">
        <v>46266</v>
      </c>
      <c r="B217" s="16">
        <f>YEAR(Tabela32[[#This Row],[Data]])</f>
        <v>2026</v>
      </c>
      <c r="C217" s="16">
        <f>MONTH(Tabela32[[#This Row],[Data]])</f>
        <v>9</v>
      </c>
      <c r="D217" s="4" t="s">
        <v>29</v>
      </c>
      <c r="E217" s="4">
        <v>1</v>
      </c>
      <c r="F217" s="4" t="str">
        <f>IFERROR(VLOOKUP(Tabela32[[#This Row],[Placa]],Planilha2!$A$1:$B$12,2,0),"")</f>
        <v>Edilson</v>
      </c>
      <c r="G217" s="10">
        <v>23158.1</v>
      </c>
      <c r="H217" s="10">
        <v>477368.73</v>
      </c>
      <c r="I217" s="4">
        <v>2798</v>
      </c>
      <c r="J217" s="17">
        <f>IFERROR(Tabela32[[#This Row],[Valor Frete]]/Tabela32[[#This Row],[Valor Mercadoria]],"")</f>
        <v>4.8511975218820891E-2</v>
      </c>
      <c r="K217" s="11">
        <v>0.27430555555555558</v>
      </c>
      <c r="L217" s="15">
        <v>0.78472222222222221</v>
      </c>
      <c r="M217" s="15">
        <f>Tabela32[[#This Row],[Hr Chegada]]-Tabela32[[#This Row],[Hr Saida]]</f>
        <v>0.51041666666666663</v>
      </c>
      <c r="N217" s="4">
        <v>104697</v>
      </c>
      <c r="O217" s="4">
        <v>104737</v>
      </c>
      <c r="P217" s="4">
        <f>Tabela32[[#This Row],[Km Chegada]]-Tabela32[[#This Row],[Km Saída]]</f>
        <v>40</v>
      </c>
      <c r="Q217" s="4">
        <v>528</v>
      </c>
      <c r="R217" s="4">
        <v>23</v>
      </c>
      <c r="S217" s="4">
        <v>23</v>
      </c>
      <c r="T217" s="12">
        <f>Tabela32[[#This Row],[Entregas]]-Tabela32[[#This Row],[Realizadas]]</f>
        <v>0</v>
      </c>
      <c r="U217" s="18">
        <f>Tabela32[[#This Row],[Realizadas]]/Tabela32[[#This Row],[Entregas]]</f>
        <v>1</v>
      </c>
      <c r="V217" s="19" t="str">
        <f>IF(Tabela32[[#This Row],[% Entrega]]&gt;=96%,"Atendeu a Meta","Não Atendeu a Meta")</f>
        <v>Atendeu a Meta</v>
      </c>
      <c r="W217" s="4" t="s">
        <v>40</v>
      </c>
      <c r="X217" s="4">
        <v>0</v>
      </c>
      <c r="Y217" s="5">
        <v>0</v>
      </c>
    </row>
    <row r="218" spans="1:25" x14ac:dyDescent="0.25">
      <c r="A218" s="8">
        <v>46266</v>
      </c>
      <c r="B218" s="16">
        <f>YEAR(Tabela32[[#This Row],[Data]])</f>
        <v>2026</v>
      </c>
      <c r="C218" s="16">
        <f>MONTH(Tabela32[[#This Row],[Data]])</f>
        <v>9</v>
      </c>
      <c r="D218" s="4" t="s">
        <v>38</v>
      </c>
      <c r="E218" s="4">
        <v>1</v>
      </c>
      <c r="F218" s="4" t="str">
        <f>IFERROR(VLOOKUP(Tabela32[[#This Row],[Placa]],Planilha2!$A$1:$B$12,2,0),"")</f>
        <v>Manoel</v>
      </c>
      <c r="G218" s="10">
        <v>709.78</v>
      </c>
      <c r="H218" s="10">
        <v>16994.12</v>
      </c>
      <c r="I218" s="4">
        <v>226</v>
      </c>
      <c r="J218" s="17">
        <f>IFERROR(Tabela32[[#This Row],[Valor Frete]]/Tabela32[[#This Row],[Valor Mercadoria]],"")</f>
        <v>4.1766210901182294E-2</v>
      </c>
      <c r="K218" s="11">
        <v>0.60416666666666663</v>
      </c>
      <c r="L218" s="15">
        <v>0.66249999999999998</v>
      </c>
      <c r="M218" s="15">
        <f>Tabela32[[#This Row],[Hr Chegada]]-Tabela32[[#This Row],[Hr Saida]]</f>
        <v>5.8333333333333348E-2</v>
      </c>
      <c r="N218" s="4">
        <v>11749</v>
      </c>
      <c r="O218" s="4">
        <v>11758</v>
      </c>
      <c r="P218" s="4">
        <f>Tabela32[[#This Row],[Km Chegada]]-Tabela32[[#This Row],[Km Saída]]</f>
        <v>9</v>
      </c>
      <c r="Q218" s="4">
        <v>20</v>
      </c>
      <c r="R218" s="4">
        <v>1</v>
      </c>
      <c r="S218" s="4">
        <v>1</v>
      </c>
      <c r="T218" s="12">
        <f>Tabela32[[#This Row],[Entregas]]-Tabela32[[#This Row],[Realizadas]]</f>
        <v>0</v>
      </c>
      <c r="U218" s="18">
        <f>Tabela32[[#This Row],[Realizadas]]/Tabela32[[#This Row],[Entregas]]</f>
        <v>1</v>
      </c>
      <c r="V218" s="19" t="str">
        <f>IF(Tabela32[[#This Row],[% Entrega]]&gt;=96%,"Atendeu a Meta","Não Atendeu a Meta")</f>
        <v>Atendeu a Meta</v>
      </c>
      <c r="W218" s="4" t="s">
        <v>45</v>
      </c>
      <c r="X218" s="4">
        <v>0</v>
      </c>
      <c r="Y218" s="5">
        <v>0</v>
      </c>
    </row>
    <row r="219" spans="1:25" x14ac:dyDescent="0.25">
      <c r="A219" s="8">
        <v>46266</v>
      </c>
      <c r="B219" s="16">
        <f>YEAR(Tabela32[[#This Row],[Data]])</f>
        <v>2026</v>
      </c>
      <c r="C219" s="16">
        <f>MONTH(Tabela32[[#This Row],[Data]])</f>
        <v>9</v>
      </c>
      <c r="D219" s="4" t="s">
        <v>22</v>
      </c>
      <c r="E219" s="4">
        <v>1</v>
      </c>
      <c r="F219" s="4" t="str">
        <f>IFERROR(VLOOKUP(Tabela32[[#This Row],[Placa]],Planilha2!$A$1:$B$12,2,0),"")</f>
        <v>Juscelino</v>
      </c>
      <c r="G219" s="10">
        <v>10475.75</v>
      </c>
      <c r="H219" s="10">
        <v>260971.29</v>
      </c>
      <c r="I219" s="4">
        <v>1550</v>
      </c>
      <c r="J219" s="17">
        <f>IFERROR(Tabela32[[#This Row],[Valor Frete]]/Tabela32[[#This Row],[Valor Mercadoria]],"")</f>
        <v>4.0141388732837242E-2</v>
      </c>
      <c r="K219" s="11">
        <v>0.30208333333333331</v>
      </c>
      <c r="L219" s="15">
        <v>0.83819444444444446</v>
      </c>
      <c r="M219" s="15">
        <f>Tabela32[[#This Row],[Hr Chegada]]-Tabela32[[#This Row],[Hr Saida]]</f>
        <v>0.5361111111111112</v>
      </c>
      <c r="N219" s="4">
        <v>303777</v>
      </c>
      <c r="O219" s="4">
        <v>303898</v>
      </c>
      <c r="P219" s="4">
        <f>Tabela32[[#This Row],[Km Chegada]]-Tabela32[[#This Row],[Km Saída]]</f>
        <v>121</v>
      </c>
      <c r="Q219" s="4">
        <v>253</v>
      </c>
      <c r="R219" s="4">
        <v>25</v>
      </c>
      <c r="S219" s="4">
        <v>25</v>
      </c>
      <c r="T219" s="12">
        <f>Tabela32[[#This Row],[Entregas]]-Tabela32[[#This Row],[Realizadas]]</f>
        <v>0</v>
      </c>
      <c r="U219" s="18">
        <f>Tabela32[[#This Row],[Realizadas]]/Tabela32[[#This Row],[Entregas]]</f>
        <v>1</v>
      </c>
      <c r="V219" s="19" t="str">
        <f>IF(Tabela32[[#This Row],[% Entrega]]&gt;=96%,"Atendeu a Meta","Não Atendeu a Meta")</f>
        <v>Atendeu a Meta</v>
      </c>
      <c r="W219" s="4" t="s">
        <v>65</v>
      </c>
      <c r="X219" s="4">
        <v>0</v>
      </c>
      <c r="Y219" s="5">
        <v>0</v>
      </c>
    </row>
    <row r="220" spans="1:25" x14ac:dyDescent="0.25">
      <c r="A220" s="8">
        <v>46266</v>
      </c>
      <c r="B220" s="16">
        <f>YEAR(Tabela32[[#This Row],[Data]])</f>
        <v>2026</v>
      </c>
      <c r="C220" s="16">
        <f>MONTH(Tabela32[[#This Row],[Data]])</f>
        <v>9</v>
      </c>
      <c r="D220" s="4" t="s">
        <v>28</v>
      </c>
      <c r="E220" s="4">
        <v>1</v>
      </c>
      <c r="F220" s="4" t="str">
        <f>IFERROR(VLOOKUP(Tabela32[[#This Row],[Placa]],Planilha2!$A$1:$B$12,2,0),"")</f>
        <v>Rosinaldo</v>
      </c>
      <c r="G220" s="10">
        <v>8407.9599999999991</v>
      </c>
      <c r="H220" s="10">
        <v>267389.46000000002</v>
      </c>
      <c r="I220" s="4">
        <v>1071</v>
      </c>
      <c r="J220" s="17">
        <f>IFERROR(Tabela32[[#This Row],[Valor Frete]]/Tabela32[[#This Row],[Valor Mercadoria]],"")</f>
        <v>3.1444620143217306E-2</v>
      </c>
      <c r="K220" s="11">
        <v>0.29166666666666669</v>
      </c>
      <c r="L220" s="15">
        <v>0.74305555555555558</v>
      </c>
      <c r="M220" s="15">
        <f>Tabela32[[#This Row],[Hr Chegada]]-Tabela32[[#This Row],[Hr Saida]]</f>
        <v>0.4513888888888889</v>
      </c>
      <c r="N220" s="4">
        <v>290905</v>
      </c>
      <c r="O220" s="4">
        <v>290948</v>
      </c>
      <c r="P220" s="4">
        <f>Tabela32[[#This Row],[Km Chegada]]-Tabela32[[#This Row],[Km Saída]]</f>
        <v>43</v>
      </c>
      <c r="Q220" s="4">
        <v>21</v>
      </c>
      <c r="R220" s="4">
        <v>10</v>
      </c>
      <c r="S220" s="4">
        <v>10</v>
      </c>
      <c r="T220" s="12">
        <f>Tabela32[[#This Row],[Entregas]]-Tabela32[[#This Row],[Realizadas]]</f>
        <v>0</v>
      </c>
      <c r="U220" s="18">
        <f>Tabela32[[#This Row],[Realizadas]]/Tabela32[[#This Row],[Entregas]]</f>
        <v>1</v>
      </c>
      <c r="V220" s="19" t="str">
        <f>IF(Tabela32[[#This Row],[% Entrega]]&gt;=96%,"Atendeu a Meta","Não Atendeu a Meta")</f>
        <v>Atendeu a Meta</v>
      </c>
      <c r="W220" s="4" t="s">
        <v>41</v>
      </c>
      <c r="X220" s="4">
        <v>0</v>
      </c>
      <c r="Y220" s="5">
        <v>0</v>
      </c>
    </row>
    <row r="221" spans="1:25" x14ac:dyDescent="0.25">
      <c r="A221" s="8">
        <v>46266</v>
      </c>
      <c r="B221" s="16">
        <f>YEAR(Tabela32[[#This Row],[Data]])</f>
        <v>2026</v>
      </c>
      <c r="C221" s="16">
        <f>MONTH(Tabela32[[#This Row],[Data]])</f>
        <v>9</v>
      </c>
      <c r="D221" s="4" t="s">
        <v>32</v>
      </c>
      <c r="E221" s="4">
        <v>3</v>
      </c>
      <c r="F221" s="4" t="str">
        <f>IFERROR(VLOOKUP(Tabela32[[#This Row],[Placa]],Planilha2!$A$1:$B$12,2,0),"")</f>
        <v>Jerson</v>
      </c>
      <c r="G221" s="10">
        <v>5715.23</v>
      </c>
      <c r="H221" s="10">
        <v>88671.92</v>
      </c>
      <c r="I221" s="4">
        <v>544</v>
      </c>
      <c r="J221" s="17">
        <f>IFERROR(Tabela32[[#This Row],[Valor Frete]]/Tabela32[[#This Row],[Valor Mercadoria]],"")</f>
        <v>6.4453662444661164E-2</v>
      </c>
      <c r="K221" s="11">
        <v>0.31597222222222221</v>
      </c>
      <c r="L221" s="15">
        <v>0.70138888888888884</v>
      </c>
      <c r="M221" s="15">
        <f>Tabela32[[#This Row],[Hr Chegada]]-Tabela32[[#This Row],[Hr Saida]]</f>
        <v>0.38541666666666663</v>
      </c>
      <c r="N221" s="4">
        <v>279962</v>
      </c>
      <c r="O221" s="4">
        <v>280018</v>
      </c>
      <c r="P221" s="4">
        <f>Tabela32[[#This Row],[Km Chegada]]-Tabela32[[#This Row],[Km Saída]]</f>
        <v>56</v>
      </c>
      <c r="Q221" s="4">
        <v>114</v>
      </c>
      <c r="R221" s="4">
        <v>17</v>
      </c>
      <c r="S221" s="4">
        <v>17</v>
      </c>
      <c r="T221" s="12">
        <f>Tabela32[[#This Row],[Entregas]]-Tabela32[[#This Row],[Realizadas]]</f>
        <v>0</v>
      </c>
      <c r="U221" s="18">
        <f>Tabela32[[#This Row],[Realizadas]]/Tabela32[[#This Row],[Entregas]]</f>
        <v>1</v>
      </c>
      <c r="V221" s="19" t="str">
        <f>IF(Tabela32[[#This Row],[% Entrega]]&gt;=96%,"Atendeu a Meta","Não Atendeu a Meta")</f>
        <v>Atendeu a Meta</v>
      </c>
      <c r="W221" s="4" t="s">
        <v>40</v>
      </c>
      <c r="X221" s="4">
        <v>1</v>
      </c>
      <c r="Y221" s="5">
        <v>38</v>
      </c>
    </row>
    <row r="222" spans="1:25" x14ac:dyDescent="0.25">
      <c r="A222" s="8">
        <v>46266</v>
      </c>
      <c r="B222" s="16">
        <f>YEAR(Tabela32[[#This Row],[Data]])</f>
        <v>2026</v>
      </c>
      <c r="C222" s="16">
        <f>MONTH(Tabela32[[#This Row],[Data]])</f>
        <v>9</v>
      </c>
      <c r="D222" s="4" t="s">
        <v>30</v>
      </c>
      <c r="E222" s="4">
        <v>1</v>
      </c>
      <c r="F222" s="4" t="str">
        <f>IFERROR(VLOOKUP(Tabela32[[#This Row],[Placa]],Planilha2!$A$1:$B$12,2,0),"")</f>
        <v>Sandro</v>
      </c>
      <c r="G222" s="10">
        <v>5172.97</v>
      </c>
      <c r="H222" s="10">
        <v>73651.199999999997</v>
      </c>
      <c r="I222" s="4">
        <v>2364</v>
      </c>
      <c r="J222" s="17">
        <f>IFERROR(Tabela32[[#This Row],[Valor Frete]]/Tabela32[[#This Row],[Valor Mercadoria]],"")</f>
        <v>7.0236058611400767E-2</v>
      </c>
      <c r="K222" s="11">
        <v>0.2951388888888889</v>
      </c>
      <c r="L222" s="15">
        <v>0.71527777777777779</v>
      </c>
      <c r="M222" s="15">
        <f>Tabela32[[#This Row],[Hr Chegada]]-Tabela32[[#This Row],[Hr Saida]]</f>
        <v>0.4201388888888889</v>
      </c>
      <c r="N222" s="4">
        <v>275261</v>
      </c>
      <c r="O222" s="4">
        <v>275291</v>
      </c>
      <c r="P222" s="4">
        <f>Tabela32[[#This Row],[Km Chegada]]-Tabela32[[#This Row],[Km Saída]]</f>
        <v>30</v>
      </c>
      <c r="Q222" s="4">
        <v>548</v>
      </c>
      <c r="R222" s="4">
        <v>3</v>
      </c>
      <c r="S222" s="4">
        <v>3</v>
      </c>
      <c r="T222" s="12">
        <f>Tabela32[[#This Row],[Entregas]]-Tabela32[[#This Row],[Realizadas]]</f>
        <v>0</v>
      </c>
      <c r="U222" s="18">
        <f>Tabela32[[#This Row],[Realizadas]]/Tabela32[[#This Row],[Entregas]]</f>
        <v>1</v>
      </c>
      <c r="V222" s="19" t="str">
        <f>IF(Tabela32[[#This Row],[% Entrega]]&gt;=96%,"Atendeu a Meta","Não Atendeu a Meta")</f>
        <v>Atendeu a Meta</v>
      </c>
      <c r="W222" s="4" t="s">
        <v>41</v>
      </c>
      <c r="X222" s="4">
        <v>0</v>
      </c>
      <c r="Y222" s="5">
        <v>0</v>
      </c>
    </row>
    <row r="223" spans="1:25" x14ac:dyDescent="0.25">
      <c r="A223" s="8">
        <v>46266</v>
      </c>
      <c r="B223" s="16">
        <f>YEAR(Tabela32[[#This Row],[Data]])</f>
        <v>2026</v>
      </c>
      <c r="C223" s="16">
        <f>MONTH(Tabela32[[#This Row],[Data]])</f>
        <v>9</v>
      </c>
      <c r="D223" s="4" t="s">
        <v>26</v>
      </c>
      <c r="E223" s="4">
        <v>4</v>
      </c>
      <c r="F223" s="4" t="str">
        <f>IFERROR(VLOOKUP(Tabela32[[#This Row],[Placa]],Planilha2!$A$1:$B$12,2,0),"")</f>
        <v>Gilberto</v>
      </c>
      <c r="G223" s="10">
        <v>14619.28</v>
      </c>
      <c r="H223" s="10">
        <v>184569.31</v>
      </c>
      <c r="I223" s="4">
        <v>3034</v>
      </c>
      <c r="J223" s="17">
        <f>IFERROR(Tabela32[[#This Row],[Valor Frete]]/Tabela32[[#This Row],[Valor Mercadoria]],"")</f>
        <v>7.9207534557072357E-2</v>
      </c>
      <c r="K223" s="11">
        <v>0.29166666666666669</v>
      </c>
      <c r="L223" s="15">
        <v>0.70138888888888884</v>
      </c>
      <c r="M223" s="15">
        <f>Tabela32[[#This Row],[Hr Chegada]]-Tabela32[[#This Row],[Hr Saida]]</f>
        <v>0.40972222222222215</v>
      </c>
      <c r="N223" s="4">
        <v>119102</v>
      </c>
      <c r="O223" s="4">
        <v>119159</v>
      </c>
      <c r="P223" s="4">
        <f>Tabela32[[#This Row],[Km Chegada]]-Tabela32[[#This Row],[Km Saída]]</f>
        <v>57</v>
      </c>
      <c r="Q223" s="4">
        <v>280</v>
      </c>
      <c r="R223" s="4">
        <v>29</v>
      </c>
      <c r="S223" s="4">
        <v>29</v>
      </c>
      <c r="T223" s="12">
        <f>Tabela32[[#This Row],[Entregas]]-Tabela32[[#This Row],[Realizadas]]</f>
        <v>0</v>
      </c>
      <c r="U223" s="18">
        <f>Tabela32[[#This Row],[Realizadas]]/Tabela32[[#This Row],[Entregas]]</f>
        <v>1</v>
      </c>
      <c r="V223" s="19" t="str">
        <f>IF(Tabela32[[#This Row],[% Entrega]]&gt;=96%,"Atendeu a Meta","Não Atendeu a Meta")</f>
        <v>Atendeu a Meta</v>
      </c>
      <c r="W223" s="4" t="s">
        <v>40</v>
      </c>
      <c r="X223" s="4">
        <v>0</v>
      </c>
      <c r="Y223" s="5">
        <v>0</v>
      </c>
    </row>
    <row r="224" spans="1:25" x14ac:dyDescent="0.25">
      <c r="A224" s="8">
        <v>46267</v>
      </c>
      <c r="B224" s="16">
        <f>YEAR(Tabela32[[#This Row],[Data]])</f>
        <v>2026</v>
      </c>
      <c r="C224" s="16">
        <f>MONTH(Tabela32[[#This Row],[Data]])</f>
        <v>9</v>
      </c>
      <c r="D224" s="4" t="s">
        <v>26</v>
      </c>
      <c r="E224" s="4">
        <v>2</v>
      </c>
      <c r="F224" s="4" t="str">
        <f>IFERROR(VLOOKUP(Tabela32[[#This Row],[Placa]],Planilha2!$A$1:$B$12,2,0),"")</f>
        <v>Gilberto</v>
      </c>
      <c r="G224" s="10">
        <v>11956.81</v>
      </c>
      <c r="H224" s="10">
        <v>188606.24</v>
      </c>
      <c r="I224" s="4">
        <v>1857</v>
      </c>
      <c r="J224" s="17">
        <f>IFERROR(Tabela32[[#This Row],[Valor Frete]]/Tabela32[[#This Row],[Valor Mercadoria]],"")</f>
        <v>6.3395622541438712E-2</v>
      </c>
      <c r="K224" s="11">
        <v>0.2986111111111111</v>
      </c>
      <c r="L224" s="15">
        <v>0.72222222222222221</v>
      </c>
      <c r="M224" s="15">
        <f>Tabela32[[#This Row],[Hr Chegada]]-Tabela32[[#This Row],[Hr Saida]]</f>
        <v>0.4236111111111111</v>
      </c>
      <c r="N224" s="4">
        <v>119159</v>
      </c>
      <c r="O224" s="4">
        <v>119218</v>
      </c>
      <c r="P224" s="4">
        <f>Tabela32[[#This Row],[Km Chegada]]-Tabela32[[#This Row],[Km Saída]]</f>
        <v>59</v>
      </c>
      <c r="Q224" s="4">
        <v>293</v>
      </c>
      <c r="R224" s="4">
        <v>45</v>
      </c>
      <c r="S224" s="4">
        <v>45</v>
      </c>
      <c r="T224" s="12">
        <f>Tabela32[[#This Row],[Entregas]]-Tabela32[[#This Row],[Realizadas]]</f>
        <v>0</v>
      </c>
      <c r="U224" s="18">
        <f>Tabela32[[#This Row],[Realizadas]]/Tabela32[[#This Row],[Entregas]]</f>
        <v>1</v>
      </c>
      <c r="V224" s="19" t="str">
        <f>IF(Tabela32[[#This Row],[% Entrega]]&gt;=96%,"Atendeu a Meta","Não Atendeu a Meta")</f>
        <v>Atendeu a Meta</v>
      </c>
      <c r="W224" s="4" t="s">
        <v>40</v>
      </c>
      <c r="X224" s="4">
        <v>0</v>
      </c>
      <c r="Y224" s="5">
        <v>0</v>
      </c>
    </row>
    <row r="225" spans="1:25" x14ac:dyDescent="0.25">
      <c r="A225" s="8">
        <v>46267</v>
      </c>
      <c r="B225" s="16">
        <f>YEAR(Tabela32[[#This Row],[Data]])</f>
        <v>2026</v>
      </c>
      <c r="C225" s="16">
        <f>MONTH(Tabela32[[#This Row],[Data]])</f>
        <v>9</v>
      </c>
      <c r="D225" s="4" t="s">
        <v>36</v>
      </c>
      <c r="E225" s="4">
        <v>11</v>
      </c>
      <c r="F225" s="4" t="str">
        <f>IFERROR(VLOOKUP(Tabela32[[#This Row],[Placa]],Planilha2!$A$1:$B$12,2,0),"")</f>
        <v>Osvaldo</v>
      </c>
      <c r="G225" s="10">
        <v>12929.96</v>
      </c>
      <c r="H225" s="10">
        <v>196157.74</v>
      </c>
      <c r="I225" s="4">
        <v>2212</v>
      </c>
      <c r="J225" s="17">
        <f>IFERROR(Tabela32[[#This Row],[Valor Frete]]/Tabela32[[#This Row],[Valor Mercadoria]],"")</f>
        <v>6.5916134637358681E-2</v>
      </c>
      <c r="K225" s="11">
        <v>0.27083333333333331</v>
      </c>
      <c r="L225" s="15">
        <v>0.72222222222222221</v>
      </c>
      <c r="M225" s="15">
        <f>Tabela32[[#This Row],[Hr Chegada]]-Tabela32[[#This Row],[Hr Saida]]</f>
        <v>0.4513888888888889</v>
      </c>
      <c r="N225" s="4">
        <v>142526</v>
      </c>
      <c r="O225" s="4">
        <v>142664</v>
      </c>
      <c r="P225" s="4">
        <f>Tabela32[[#This Row],[Km Chegada]]-Tabela32[[#This Row],[Km Saída]]</f>
        <v>138</v>
      </c>
      <c r="Q225" s="4">
        <v>371</v>
      </c>
      <c r="R225" s="4">
        <v>29</v>
      </c>
      <c r="S225" s="4">
        <v>29</v>
      </c>
      <c r="T225" s="12">
        <f>Tabela32[[#This Row],[Entregas]]-Tabela32[[#This Row],[Realizadas]]</f>
        <v>0</v>
      </c>
      <c r="U225" s="18">
        <f>Tabela32[[#This Row],[Realizadas]]/Tabela32[[#This Row],[Entregas]]</f>
        <v>1</v>
      </c>
      <c r="V225" s="19" t="str">
        <f>IF(Tabela32[[#This Row],[% Entrega]]&gt;=96%,"Atendeu a Meta","Não Atendeu a Meta")</f>
        <v>Atendeu a Meta</v>
      </c>
      <c r="W225" s="4" t="s">
        <v>42</v>
      </c>
      <c r="X225" s="4">
        <v>0</v>
      </c>
      <c r="Y225" s="5">
        <v>0</v>
      </c>
    </row>
    <row r="226" spans="1:25" x14ac:dyDescent="0.25">
      <c r="A226" s="8">
        <v>46267</v>
      </c>
      <c r="B226" s="16">
        <f>YEAR(Tabela32[[#This Row],[Data]])</f>
        <v>2026</v>
      </c>
      <c r="C226" s="16">
        <f>MONTH(Tabela32[[#This Row],[Data]])</f>
        <v>9</v>
      </c>
      <c r="D226" s="4" t="s">
        <v>29</v>
      </c>
      <c r="E226" s="4">
        <v>5</v>
      </c>
      <c r="F226" s="4" t="str">
        <f>IFERROR(VLOOKUP(Tabela32[[#This Row],[Placa]],Planilha2!$A$1:$B$12,2,0),"")</f>
        <v>Edilson</v>
      </c>
      <c r="G226" s="10">
        <v>6644.17</v>
      </c>
      <c r="H226" s="10">
        <v>127234.81</v>
      </c>
      <c r="I226" s="4">
        <v>1206</v>
      </c>
      <c r="J226" s="17">
        <f>IFERROR(Tabela32[[#This Row],[Valor Frete]]/Tabela32[[#This Row],[Valor Mercadoria]],"")</f>
        <v>5.2219750239733922E-2</v>
      </c>
      <c r="K226" s="11">
        <v>0.27638888888888891</v>
      </c>
      <c r="L226" s="15">
        <v>0.71180555555555558</v>
      </c>
      <c r="M226" s="15">
        <f>Tabela32[[#This Row],[Hr Chegada]]-Tabela32[[#This Row],[Hr Saida]]</f>
        <v>0.43541666666666667</v>
      </c>
      <c r="N226" s="4">
        <v>104737</v>
      </c>
      <c r="O226" s="4">
        <v>104767</v>
      </c>
      <c r="P226" s="4">
        <f>Tabela32[[#This Row],[Km Chegada]]-Tabela32[[#This Row],[Km Saída]]</f>
        <v>30</v>
      </c>
      <c r="Q226" s="4">
        <v>258</v>
      </c>
      <c r="R226" s="4">
        <v>7</v>
      </c>
      <c r="S226" s="4">
        <v>7</v>
      </c>
      <c r="T226" s="12">
        <f>Tabela32[[#This Row],[Entregas]]-Tabela32[[#This Row],[Realizadas]]</f>
        <v>0</v>
      </c>
      <c r="U226" s="18">
        <f>Tabela32[[#This Row],[Realizadas]]/Tabela32[[#This Row],[Entregas]]</f>
        <v>1</v>
      </c>
      <c r="V226" s="19" t="str">
        <f>IF(Tabela32[[#This Row],[% Entrega]]&gt;=96%,"Atendeu a Meta","Não Atendeu a Meta")</f>
        <v>Atendeu a Meta</v>
      </c>
      <c r="W226" s="4" t="s">
        <v>40</v>
      </c>
      <c r="X226" s="4">
        <v>0</v>
      </c>
      <c r="Y226" s="5">
        <v>0</v>
      </c>
    </row>
    <row r="227" spans="1:25" x14ac:dyDescent="0.25">
      <c r="A227" s="8">
        <v>46267</v>
      </c>
      <c r="B227" s="16">
        <f>YEAR(Tabela32[[#This Row],[Data]])</f>
        <v>2026</v>
      </c>
      <c r="C227" s="16">
        <f>MONTH(Tabela32[[#This Row],[Data]])</f>
        <v>9</v>
      </c>
      <c r="D227" s="4" t="s">
        <v>34</v>
      </c>
      <c r="E227" s="4">
        <v>1</v>
      </c>
      <c r="F227" s="4" t="str">
        <f>IFERROR(VLOOKUP(Tabela32[[#This Row],[Placa]],Planilha2!$A$1:$B$12,2,0),"")</f>
        <v>Paulo</v>
      </c>
      <c r="G227" s="10">
        <v>842.93</v>
      </c>
      <c r="H227" s="10">
        <v>29652.35</v>
      </c>
      <c r="I227" s="4">
        <v>62</v>
      </c>
      <c r="J227" s="17">
        <f>IFERROR(Tabela32[[#This Row],[Valor Frete]]/Tabela32[[#This Row],[Valor Mercadoria]],"")</f>
        <v>2.8427089252622474E-2</v>
      </c>
      <c r="K227" s="11">
        <v>0.29305555555555557</v>
      </c>
      <c r="L227" s="15">
        <v>0.78611111111111109</v>
      </c>
      <c r="M227" s="15">
        <f>Tabela32[[#This Row],[Hr Chegada]]-Tabela32[[#This Row],[Hr Saida]]</f>
        <v>0.49305555555555552</v>
      </c>
      <c r="N227" s="4">
        <v>154854</v>
      </c>
      <c r="O227" s="4">
        <v>154891</v>
      </c>
      <c r="P227" s="4">
        <f>Tabela32[[#This Row],[Km Chegada]]-Tabela32[[#This Row],[Km Saída]]</f>
        <v>37</v>
      </c>
      <c r="Q227" s="4">
        <v>19</v>
      </c>
      <c r="R227" s="4">
        <v>1</v>
      </c>
      <c r="S227" s="4">
        <v>1</v>
      </c>
      <c r="T227" s="12">
        <f>Tabela32[[#This Row],[Entregas]]-Tabela32[[#This Row],[Realizadas]]</f>
        <v>0</v>
      </c>
      <c r="U227" s="18">
        <f>Tabela32[[#This Row],[Realizadas]]/Tabela32[[#This Row],[Entregas]]</f>
        <v>1</v>
      </c>
      <c r="V227" s="19" t="str">
        <f>IF(Tabela32[[#This Row],[% Entrega]]&gt;=96%,"Atendeu a Meta","Não Atendeu a Meta")</f>
        <v>Atendeu a Meta</v>
      </c>
      <c r="W227" s="4" t="s">
        <v>66</v>
      </c>
      <c r="X227" s="4">
        <v>0</v>
      </c>
      <c r="Y227" s="5">
        <v>0</v>
      </c>
    </row>
    <row r="228" spans="1:25" x14ac:dyDescent="0.25">
      <c r="A228" s="8">
        <v>46267</v>
      </c>
      <c r="B228" s="16">
        <f>YEAR(Tabela32[[#This Row],[Data]])</f>
        <v>2026</v>
      </c>
      <c r="C228" s="16">
        <f>MONTH(Tabela32[[#This Row],[Data]])</f>
        <v>9</v>
      </c>
      <c r="D228" s="4" t="s">
        <v>30</v>
      </c>
      <c r="E228" s="4">
        <v>1</v>
      </c>
      <c r="F228" s="4" t="str">
        <f>IFERROR(VLOOKUP(Tabela32[[#This Row],[Placa]],Planilha2!$A$1:$B$12,2,0),"")</f>
        <v>Sandro</v>
      </c>
      <c r="G228" s="10">
        <v>15120.59</v>
      </c>
      <c r="H228" s="10">
        <v>107062.53</v>
      </c>
      <c r="I228" s="4">
        <v>1351</v>
      </c>
      <c r="J228" s="17">
        <f>IFERROR(Tabela32[[#This Row],[Valor Frete]]/Tabela32[[#This Row],[Valor Mercadoria]],"")</f>
        <v>0.14123139066487594</v>
      </c>
      <c r="K228" s="11">
        <v>0.29166666666666669</v>
      </c>
      <c r="L228" s="15">
        <v>0.78402777777777777</v>
      </c>
      <c r="M228" s="15">
        <f>Tabela32[[#This Row],[Hr Chegada]]-Tabela32[[#This Row],[Hr Saida]]</f>
        <v>0.49236111111111108</v>
      </c>
      <c r="N228" s="4">
        <v>275291</v>
      </c>
      <c r="O228" s="4">
        <v>275378</v>
      </c>
      <c r="P228" s="4">
        <f>Tabela32[[#This Row],[Km Chegada]]-Tabela32[[#This Row],[Km Saída]]</f>
        <v>87</v>
      </c>
      <c r="Q228" s="4">
        <v>573</v>
      </c>
      <c r="R228" s="4">
        <v>2</v>
      </c>
      <c r="S228" s="4">
        <v>2</v>
      </c>
      <c r="T228" s="12">
        <f>Tabela32[[#This Row],[Entregas]]-Tabela32[[#This Row],[Realizadas]]</f>
        <v>0</v>
      </c>
      <c r="U228" s="18">
        <f>Tabela32[[#This Row],[Realizadas]]/Tabela32[[#This Row],[Entregas]]</f>
        <v>1</v>
      </c>
      <c r="V228" s="19" t="str">
        <f>IF(Tabela32[[#This Row],[% Entrega]]&gt;=96%,"Atendeu a Meta","Não Atendeu a Meta")</f>
        <v>Atendeu a Meta</v>
      </c>
      <c r="W228" s="4" t="s">
        <v>66</v>
      </c>
      <c r="X228" s="4">
        <v>0</v>
      </c>
      <c r="Y228" s="5">
        <v>0</v>
      </c>
    </row>
    <row r="229" spans="1:25" x14ac:dyDescent="0.25">
      <c r="A229" s="8">
        <v>46267</v>
      </c>
      <c r="B229" s="16">
        <f>YEAR(Tabela32[[#This Row],[Data]])</f>
        <v>2026</v>
      </c>
      <c r="C229" s="16">
        <f>MONTH(Tabela32[[#This Row],[Data]])</f>
        <v>9</v>
      </c>
      <c r="D229" s="4" t="s">
        <v>24</v>
      </c>
      <c r="E229" s="4">
        <v>5</v>
      </c>
      <c r="F229" s="4" t="str">
        <f>IFERROR(VLOOKUP(Tabela32[[#This Row],[Placa]],Planilha2!$A$1:$B$12,2,0),"")</f>
        <v>Wesley</v>
      </c>
      <c r="G229" s="10">
        <v>13060.73</v>
      </c>
      <c r="H229" s="10">
        <v>274114.09000000003</v>
      </c>
      <c r="I229" s="4">
        <v>2366</v>
      </c>
      <c r="J229" s="17">
        <f>IFERROR(Tabela32[[#This Row],[Valor Frete]]/Tabela32[[#This Row],[Valor Mercadoria]],"")</f>
        <v>4.7647058201203733E-2</v>
      </c>
      <c r="K229" s="11">
        <v>0.29166666666666669</v>
      </c>
      <c r="L229" s="15">
        <v>0.8208333333333333</v>
      </c>
      <c r="M229" s="15">
        <f>Tabela32[[#This Row],[Hr Chegada]]-Tabela32[[#This Row],[Hr Saida]]</f>
        <v>0.52916666666666656</v>
      </c>
      <c r="N229" s="4">
        <v>124660</v>
      </c>
      <c r="O229" s="4">
        <v>124753</v>
      </c>
      <c r="P229" s="4">
        <f>Tabela32[[#This Row],[Km Chegada]]-Tabela32[[#This Row],[Km Saída]]</f>
        <v>93</v>
      </c>
      <c r="Q229" s="4">
        <v>527</v>
      </c>
      <c r="R229" s="4">
        <v>33</v>
      </c>
      <c r="S229" s="4">
        <v>32</v>
      </c>
      <c r="T229" s="12">
        <f>Tabela32[[#This Row],[Entregas]]-Tabela32[[#This Row],[Realizadas]]</f>
        <v>1</v>
      </c>
      <c r="U229" s="18">
        <f>Tabela32[[#This Row],[Realizadas]]/Tabela32[[#This Row],[Entregas]]</f>
        <v>0.96969696969696972</v>
      </c>
      <c r="V229" s="19" t="str">
        <f>IF(Tabela32[[#This Row],[% Entrega]]&gt;=96%,"Atendeu a Meta","Não Atendeu a Meta")</f>
        <v>Atendeu a Meta</v>
      </c>
      <c r="W229" s="4" t="s">
        <v>40</v>
      </c>
      <c r="X229" s="4">
        <v>1</v>
      </c>
      <c r="Y229" s="5">
        <v>13</v>
      </c>
    </row>
    <row r="230" spans="1:25" x14ac:dyDescent="0.25">
      <c r="A230" s="8">
        <v>46267</v>
      </c>
      <c r="B230" s="16">
        <f>YEAR(Tabela32[[#This Row],[Data]])</f>
        <v>2026</v>
      </c>
      <c r="C230" s="16">
        <f>MONTH(Tabela32[[#This Row],[Data]])</f>
        <v>9</v>
      </c>
      <c r="D230" s="4" t="s">
        <v>32</v>
      </c>
      <c r="E230" s="4">
        <v>1</v>
      </c>
      <c r="F230" s="4" t="str">
        <f>IFERROR(VLOOKUP(Tabela32[[#This Row],[Placa]],Planilha2!$A$1:$B$12,2,0),"")</f>
        <v>Jerson</v>
      </c>
      <c r="G230" s="10">
        <v>9382.2999999999993</v>
      </c>
      <c r="H230" s="10">
        <v>127468.07</v>
      </c>
      <c r="I230" s="4">
        <v>1627</v>
      </c>
      <c r="J230" s="17">
        <f>IFERROR(Tabela32[[#This Row],[Valor Frete]]/Tabela32[[#This Row],[Valor Mercadoria]],"")</f>
        <v>7.3605099692809331E-2</v>
      </c>
      <c r="K230" s="11">
        <v>0.30208333333333331</v>
      </c>
      <c r="L230" s="15">
        <v>0.52430555555555558</v>
      </c>
      <c r="M230" s="15">
        <f>Tabela32[[#This Row],[Hr Chegada]]-Tabela32[[#This Row],[Hr Saida]]</f>
        <v>0.22222222222222227</v>
      </c>
      <c r="N230" s="4">
        <v>280018</v>
      </c>
      <c r="O230" s="4">
        <v>280060</v>
      </c>
      <c r="P230" s="4">
        <f>Tabela32[[#This Row],[Km Chegada]]-Tabela32[[#This Row],[Km Saída]]</f>
        <v>42</v>
      </c>
      <c r="Q230" s="4">
        <v>166</v>
      </c>
      <c r="R230" s="4">
        <v>13</v>
      </c>
      <c r="S230" s="4">
        <v>13</v>
      </c>
      <c r="T230" s="12">
        <f>Tabela32[[#This Row],[Entregas]]-Tabela32[[#This Row],[Realizadas]]</f>
        <v>0</v>
      </c>
      <c r="U230" s="18">
        <f>Tabela32[[#This Row],[Realizadas]]/Tabela32[[#This Row],[Entregas]]</f>
        <v>1</v>
      </c>
      <c r="V230" s="19" t="str">
        <f>IF(Tabela32[[#This Row],[% Entrega]]&gt;=96%,"Atendeu a Meta","Não Atendeu a Meta")</f>
        <v>Atendeu a Meta</v>
      </c>
      <c r="W230" s="4" t="s">
        <v>40</v>
      </c>
      <c r="X230" s="4">
        <v>0</v>
      </c>
      <c r="Y230" s="5">
        <v>0</v>
      </c>
    </row>
    <row r="231" spans="1:25" x14ac:dyDescent="0.25">
      <c r="A231" s="8">
        <v>46267</v>
      </c>
      <c r="B231" s="16">
        <f>YEAR(Tabela32[[#This Row],[Data]])</f>
        <v>2026</v>
      </c>
      <c r="C231" s="16">
        <f>MONTH(Tabela32[[#This Row],[Data]])</f>
        <v>9</v>
      </c>
      <c r="D231" s="4" t="s">
        <v>32</v>
      </c>
      <c r="E231" s="4">
        <v>1</v>
      </c>
      <c r="F231" s="4" t="str">
        <f>IFERROR(VLOOKUP(Tabela32[[#This Row],[Placa]],Planilha2!$A$1:$B$12,2,0),"")</f>
        <v>Jerson</v>
      </c>
      <c r="G231" s="10">
        <v>6934.2</v>
      </c>
      <c r="H231" s="10">
        <v>152491.51999999999</v>
      </c>
      <c r="I231" s="4">
        <v>1956</v>
      </c>
      <c r="J231" s="17">
        <f>IFERROR(Tabela32[[#This Row],[Valor Frete]]/Tabela32[[#This Row],[Valor Mercadoria]],"")</f>
        <v>4.5472692514311616E-2</v>
      </c>
      <c r="K231" s="11">
        <v>0.59027777777777779</v>
      </c>
      <c r="L231" s="15">
        <v>0.83333333333333337</v>
      </c>
      <c r="M231" s="15">
        <f>Tabela32[[#This Row],[Hr Chegada]]-Tabela32[[#This Row],[Hr Saida]]</f>
        <v>0.24305555555555558</v>
      </c>
      <c r="N231" s="4">
        <v>280060</v>
      </c>
      <c r="O231" s="4">
        <v>280095</v>
      </c>
      <c r="P231" s="4">
        <f>Tabela32[[#This Row],[Km Chegada]]-Tabela32[[#This Row],[Km Saída]]</f>
        <v>35</v>
      </c>
      <c r="Q231" s="4">
        <v>211</v>
      </c>
      <c r="R231" s="4">
        <v>7</v>
      </c>
      <c r="S231" s="4">
        <v>7</v>
      </c>
      <c r="T231" s="12">
        <f>Tabela32[[#This Row],[Entregas]]-Tabela32[[#This Row],[Realizadas]]</f>
        <v>0</v>
      </c>
      <c r="U231" s="18">
        <f>Tabela32[[#This Row],[Realizadas]]/Tabela32[[#This Row],[Entregas]]</f>
        <v>1</v>
      </c>
      <c r="V231" s="19" t="str">
        <f>IF(Tabela32[[#This Row],[% Entrega]]&gt;=96%,"Atendeu a Meta","Não Atendeu a Meta")</f>
        <v>Atendeu a Meta</v>
      </c>
      <c r="W231" s="4" t="s">
        <v>45</v>
      </c>
      <c r="X231" s="4">
        <v>0</v>
      </c>
      <c r="Y231" s="5">
        <v>0</v>
      </c>
    </row>
    <row r="232" spans="1:25" x14ac:dyDescent="0.25">
      <c r="A232" s="8">
        <v>46267</v>
      </c>
      <c r="B232" s="16">
        <f>YEAR(Tabela32[[#This Row],[Data]])</f>
        <v>2026</v>
      </c>
      <c r="C232" s="16">
        <f>MONTH(Tabela32[[#This Row],[Data]])</f>
        <v>9</v>
      </c>
      <c r="D232" s="4" t="s">
        <v>28</v>
      </c>
      <c r="E232" s="4">
        <v>2</v>
      </c>
      <c r="F232" s="4" t="str">
        <f>IFERROR(VLOOKUP(Tabela32[[#This Row],[Placa]],Planilha2!$A$1:$B$12,2,0),"")</f>
        <v>Rosinaldo</v>
      </c>
      <c r="G232" s="10">
        <v>12262.11</v>
      </c>
      <c r="H232" s="10">
        <v>213653.1</v>
      </c>
      <c r="I232" s="4">
        <v>2491</v>
      </c>
      <c r="J232" s="17">
        <f>IFERROR(Tabela32[[#This Row],[Valor Frete]]/Tabela32[[#This Row],[Valor Mercadoria]],"")</f>
        <v>5.7392614476457396E-2</v>
      </c>
      <c r="K232" s="11">
        <v>0.29166666666666669</v>
      </c>
      <c r="L232" s="15">
        <v>0.76458333333333328</v>
      </c>
      <c r="M232" s="15">
        <f>Tabela32[[#This Row],[Hr Chegada]]-Tabela32[[#This Row],[Hr Saida]]</f>
        <v>0.4729166666666666</v>
      </c>
      <c r="N232" s="4">
        <v>290948</v>
      </c>
      <c r="O232" s="4">
        <v>291032</v>
      </c>
      <c r="P232" s="4">
        <f>Tabela32[[#This Row],[Km Chegada]]-Tabela32[[#This Row],[Km Saída]]</f>
        <v>84</v>
      </c>
      <c r="Q232" s="4">
        <v>258</v>
      </c>
      <c r="R232" s="4">
        <v>12</v>
      </c>
      <c r="S232" s="4">
        <v>12</v>
      </c>
      <c r="T232" s="12">
        <f>Tabela32[[#This Row],[Entregas]]-Tabela32[[#This Row],[Realizadas]]</f>
        <v>0</v>
      </c>
      <c r="U232" s="18">
        <f>Tabela32[[#This Row],[Realizadas]]/Tabela32[[#This Row],[Entregas]]</f>
        <v>1</v>
      </c>
      <c r="V232" s="19" t="str">
        <f>IF(Tabela32[[#This Row],[% Entrega]]&gt;=96%,"Atendeu a Meta","Não Atendeu a Meta")</f>
        <v>Atendeu a Meta</v>
      </c>
      <c r="W232" s="4" t="s">
        <v>40</v>
      </c>
      <c r="X232" s="4">
        <v>1</v>
      </c>
      <c r="Y232" s="5">
        <v>38</v>
      </c>
    </row>
    <row r="233" spans="1:25" x14ac:dyDescent="0.25">
      <c r="A233" s="8">
        <v>46267</v>
      </c>
      <c r="B233" s="16">
        <f>YEAR(Tabela32[[#This Row],[Data]])</f>
        <v>2026</v>
      </c>
      <c r="C233" s="16">
        <f>MONTH(Tabela32[[#This Row],[Data]])</f>
        <v>9</v>
      </c>
      <c r="D233" s="4" t="s">
        <v>22</v>
      </c>
      <c r="E233" s="4">
        <v>1</v>
      </c>
      <c r="F233" s="4" t="str">
        <f>IFERROR(VLOOKUP(Tabela32[[#This Row],[Placa]],Planilha2!$A$1:$B$12,2,0),"")</f>
        <v>Juscelino</v>
      </c>
      <c r="G233" s="10">
        <v>10367.19</v>
      </c>
      <c r="H233" s="10">
        <v>161135.26999999999</v>
      </c>
      <c r="I233" s="4">
        <v>1532</v>
      </c>
      <c r="J233" s="17">
        <f>IFERROR(Tabela32[[#This Row],[Valor Frete]]/Tabela32[[#This Row],[Valor Mercadoria]],"")</f>
        <v>6.4338428203831483E-2</v>
      </c>
      <c r="K233" s="11">
        <v>0.2986111111111111</v>
      </c>
      <c r="L233" s="15">
        <v>0.80694444444444446</v>
      </c>
      <c r="M233" s="15">
        <f>Tabela32[[#This Row],[Hr Chegada]]-Tabela32[[#This Row],[Hr Saida]]</f>
        <v>0.5083333333333333</v>
      </c>
      <c r="N233" s="4">
        <v>303898</v>
      </c>
      <c r="O233" s="4">
        <v>304009</v>
      </c>
      <c r="P233" s="4">
        <f>Tabela32[[#This Row],[Km Chegada]]-Tabela32[[#This Row],[Km Saída]]</f>
        <v>111</v>
      </c>
      <c r="Q233" s="4">
        <v>222</v>
      </c>
      <c r="R233" s="4">
        <v>26</v>
      </c>
      <c r="S233" s="4">
        <v>26</v>
      </c>
      <c r="T233" s="12">
        <f>Tabela32[[#This Row],[Entregas]]-Tabela32[[#This Row],[Realizadas]]</f>
        <v>0</v>
      </c>
      <c r="U233" s="18">
        <f>Tabela32[[#This Row],[Realizadas]]/Tabela32[[#This Row],[Entregas]]</f>
        <v>1</v>
      </c>
      <c r="V233" s="19" t="str">
        <f>IF(Tabela32[[#This Row],[% Entrega]]&gt;=96%,"Atendeu a Meta","Não Atendeu a Meta")</f>
        <v>Atendeu a Meta</v>
      </c>
      <c r="W233" s="4" t="s">
        <v>45</v>
      </c>
      <c r="X233" s="4">
        <v>0</v>
      </c>
      <c r="Y233" s="5">
        <v>0</v>
      </c>
    </row>
    <row r="234" spans="1:25" x14ac:dyDescent="0.25">
      <c r="A234" s="8">
        <v>46268</v>
      </c>
      <c r="B234" s="16">
        <f>YEAR(Tabela32[[#This Row],[Data]])</f>
        <v>2026</v>
      </c>
      <c r="C234" s="16">
        <f>MONTH(Tabela32[[#This Row],[Data]])</f>
        <v>9</v>
      </c>
      <c r="D234" s="4" t="s">
        <v>34</v>
      </c>
      <c r="E234" s="4">
        <v>1</v>
      </c>
      <c r="F234" s="4" t="str">
        <f>IFERROR(VLOOKUP(Tabela32[[#This Row],[Placa]],Planilha2!$A$1:$B$12,2,0),"")</f>
        <v>Paulo</v>
      </c>
      <c r="G234" s="10">
        <v>4151.6400000000003</v>
      </c>
      <c r="H234" s="10">
        <v>44278.43</v>
      </c>
      <c r="I234" s="4">
        <v>553</v>
      </c>
      <c r="J234" s="17">
        <f>IFERROR(Tabela32[[#This Row],[Valor Frete]]/Tabela32[[#This Row],[Valor Mercadoria]],"")</f>
        <v>9.376213203584681E-2</v>
      </c>
      <c r="K234" s="11">
        <v>0.29583333333333334</v>
      </c>
      <c r="L234" s="15">
        <v>0.69444444444444442</v>
      </c>
      <c r="M234" s="15">
        <f>Tabela32[[#This Row],[Hr Chegada]]-Tabela32[[#This Row],[Hr Saida]]</f>
        <v>0.39861111111111108</v>
      </c>
      <c r="N234" s="4">
        <v>154891</v>
      </c>
      <c r="O234" s="4">
        <v>154949</v>
      </c>
      <c r="P234" s="4">
        <f>Tabela32[[#This Row],[Km Chegada]]-Tabela32[[#This Row],[Km Saída]]</f>
        <v>58</v>
      </c>
      <c r="Q234" s="4">
        <v>121</v>
      </c>
      <c r="R234" s="4">
        <v>15</v>
      </c>
      <c r="S234" s="4">
        <v>15</v>
      </c>
      <c r="T234" s="12">
        <f>Tabela32[[#This Row],[Entregas]]-Tabela32[[#This Row],[Realizadas]]</f>
        <v>0</v>
      </c>
      <c r="U234" s="18">
        <f>Tabela32[[#This Row],[Realizadas]]/Tabela32[[#This Row],[Entregas]]</f>
        <v>1</v>
      </c>
      <c r="V234" s="19" t="str">
        <f>IF(Tabela32[[#This Row],[% Entrega]]&gt;=96%,"Atendeu a Meta","Não Atendeu a Meta")</f>
        <v>Atendeu a Meta</v>
      </c>
      <c r="W234" s="4" t="s">
        <v>45</v>
      </c>
      <c r="X234" s="4">
        <v>1</v>
      </c>
      <c r="Y234" s="5">
        <v>9</v>
      </c>
    </row>
    <row r="235" spans="1:25" x14ac:dyDescent="0.25">
      <c r="A235" s="8">
        <v>46268</v>
      </c>
      <c r="B235" s="16">
        <f>YEAR(Tabela32[[#This Row],[Data]])</f>
        <v>2026</v>
      </c>
      <c r="C235" s="16">
        <f>MONTH(Tabela32[[#This Row],[Data]])</f>
        <v>9</v>
      </c>
      <c r="D235" s="4" t="s">
        <v>29</v>
      </c>
      <c r="E235" s="4">
        <v>11</v>
      </c>
      <c r="F235" s="4" t="str">
        <f>IFERROR(VLOOKUP(Tabela32[[#This Row],[Placa]],Planilha2!$A$1:$B$12,2,0),"")</f>
        <v>Edilson</v>
      </c>
      <c r="G235" s="10">
        <v>18210.439999999999</v>
      </c>
      <c r="H235" s="10">
        <v>232635.02</v>
      </c>
      <c r="I235" s="4">
        <v>4506</v>
      </c>
      <c r="J235" s="17">
        <f>IFERROR(Tabela32[[#This Row],[Valor Frete]]/Tabela32[[#This Row],[Valor Mercadoria]],"")</f>
        <v>7.8279014053859994E-2</v>
      </c>
      <c r="K235" s="11">
        <v>0.27083333333333331</v>
      </c>
      <c r="L235" s="15">
        <v>0.73611111111111116</v>
      </c>
      <c r="M235" s="15">
        <f>Tabela32[[#This Row],[Hr Chegada]]-Tabela32[[#This Row],[Hr Saida]]</f>
        <v>0.46527777777777785</v>
      </c>
      <c r="N235" s="4">
        <v>104767</v>
      </c>
      <c r="O235" s="4">
        <v>104895</v>
      </c>
      <c r="P235" s="4">
        <f>Tabela32[[#This Row],[Km Chegada]]-Tabela32[[#This Row],[Km Saída]]</f>
        <v>128</v>
      </c>
      <c r="Q235" s="4">
        <v>771</v>
      </c>
      <c r="R235" s="4">
        <v>21</v>
      </c>
      <c r="S235" s="4">
        <v>13</v>
      </c>
      <c r="T235" s="12">
        <f>Tabela32[[#This Row],[Entregas]]-Tabela32[[#This Row],[Realizadas]]</f>
        <v>8</v>
      </c>
      <c r="U235" s="18">
        <f>Tabela32[[#This Row],[Realizadas]]/Tabela32[[#This Row],[Entregas]]</f>
        <v>0.61904761904761907</v>
      </c>
      <c r="V235" s="19" t="str">
        <f>IF(Tabela32[[#This Row],[% Entrega]]&gt;=96%,"Atendeu a Meta","Não Atendeu a Meta")</f>
        <v>Não Atendeu a Meta</v>
      </c>
      <c r="W235" s="4" t="s">
        <v>42</v>
      </c>
      <c r="X235" s="4">
        <v>8</v>
      </c>
      <c r="Y235" s="5" t="s">
        <v>76</v>
      </c>
    </row>
    <row r="236" spans="1:25" x14ac:dyDescent="0.25">
      <c r="A236" s="8">
        <v>46268</v>
      </c>
      <c r="B236" s="16">
        <f>YEAR(Tabela32[[#This Row],[Data]])</f>
        <v>2026</v>
      </c>
      <c r="C236" s="16">
        <f>MONTH(Tabela32[[#This Row],[Data]])</f>
        <v>9</v>
      </c>
      <c r="D236" s="4" t="s">
        <v>22</v>
      </c>
      <c r="E236" s="4">
        <v>1</v>
      </c>
      <c r="F236" s="4" t="str">
        <f>IFERROR(VLOOKUP(Tabela32[[#This Row],[Placa]],Planilha2!$A$1:$B$12,2,0),"")</f>
        <v>Juscelino</v>
      </c>
      <c r="G236" s="10">
        <v>8185.35</v>
      </c>
      <c r="H236" s="10">
        <v>133587.75</v>
      </c>
      <c r="I236" s="4">
        <v>1616</v>
      </c>
      <c r="J236" s="17">
        <f>IFERROR(Tabela32[[#This Row],[Valor Frete]]/Tabela32[[#This Row],[Valor Mercadoria]],"")</f>
        <v>6.1273208059870764E-2</v>
      </c>
      <c r="K236" s="11">
        <v>0.29166666666666669</v>
      </c>
      <c r="L236" s="15">
        <v>0.79861111111111116</v>
      </c>
      <c r="M236" s="15">
        <f>Tabela32[[#This Row],[Hr Chegada]]-Tabela32[[#This Row],[Hr Saida]]</f>
        <v>0.50694444444444442</v>
      </c>
      <c r="N236" s="4">
        <v>304009</v>
      </c>
      <c r="O236" s="4">
        <v>304114</v>
      </c>
      <c r="P236" s="4">
        <f>Tabela32[[#This Row],[Km Chegada]]-Tabela32[[#This Row],[Km Saída]]</f>
        <v>105</v>
      </c>
      <c r="Q236" s="4">
        <v>235</v>
      </c>
      <c r="R236" s="4">
        <v>21</v>
      </c>
      <c r="S236" s="4">
        <v>21</v>
      </c>
      <c r="T236" s="12">
        <f>Tabela32[[#This Row],[Entregas]]-Tabela32[[#This Row],[Realizadas]]</f>
        <v>0</v>
      </c>
      <c r="U236" s="18">
        <f>Tabela32[[#This Row],[Realizadas]]/Tabela32[[#This Row],[Entregas]]</f>
        <v>1</v>
      </c>
      <c r="V236" s="19" t="str">
        <f>IF(Tabela32[[#This Row],[% Entrega]]&gt;=96%,"Atendeu a Meta","Não Atendeu a Meta")</f>
        <v>Atendeu a Meta</v>
      </c>
      <c r="W236" s="4" t="s">
        <v>41</v>
      </c>
      <c r="X236" s="4">
        <v>0</v>
      </c>
      <c r="Y236" s="5">
        <v>0</v>
      </c>
    </row>
    <row r="237" spans="1:25" x14ac:dyDescent="0.25">
      <c r="A237" s="8">
        <v>46268</v>
      </c>
      <c r="B237" s="16">
        <f>YEAR(Tabela32[[#This Row],[Data]])</f>
        <v>2026</v>
      </c>
      <c r="C237" s="16">
        <f>MONTH(Tabela32[[#This Row],[Data]])</f>
        <v>9</v>
      </c>
      <c r="D237" s="4" t="s">
        <v>24</v>
      </c>
      <c r="E237" s="4">
        <v>5</v>
      </c>
      <c r="F237" s="4" t="str">
        <f>IFERROR(VLOOKUP(Tabela32[[#This Row],[Placa]],Planilha2!$A$1:$B$12,2,0),"")</f>
        <v>Wesley</v>
      </c>
      <c r="G237" s="10">
        <v>7540.74</v>
      </c>
      <c r="H237" s="10">
        <v>186752.55</v>
      </c>
      <c r="I237" s="4">
        <v>2506</v>
      </c>
      <c r="J237" s="17">
        <f>IFERROR(Tabela32[[#This Row],[Valor Frete]]/Tabela32[[#This Row],[Valor Mercadoria]],"")</f>
        <v>4.0378243831208735E-2</v>
      </c>
      <c r="K237" s="11">
        <v>0.29166666666666669</v>
      </c>
      <c r="L237" s="15">
        <v>0.70486111111111116</v>
      </c>
      <c r="M237" s="15">
        <f>Tabela32[[#This Row],[Hr Chegada]]-Tabela32[[#This Row],[Hr Saida]]</f>
        <v>0.41319444444444448</v>
      </c>
      <c r="N237" s="4">
        <v>124753</v>
      </c>
      <c r="O237" s="4">
        <v>124827</v>
      </c>
      <c r="P237" s="4">
        <f>Tabela32[[#This Row],[Km Chegada]]-Tabela32[[#This Row],[Km Saída]]</f>
        <v>74</v>
      </c>
      <c r="Q237" s="4">
        <v>425</v>
      </c>
      <c r="R237" s="4">
        <v>20</v>
      </c>
      <c r="S237" s="4">
        <v>20</v>
      </c>
      <c r="T237" s="12">
        <f>Tabela32[[#This Row],[Entregas]]-Tabela32[[#This Row],[Realizadas]]</f>
        <v>0</v>
      </c>
      <c r="U237" s="18">
        <f>Tabela32[[#This Row],[Realizadas]]/Tabela32[[#This Row],[Entregas]]</f>
        <v>1</v>
      </c>
      <c r="V237" s="19" t="str">
        <f>IF(Tabela32[[#This Row],[% Entrega]]&gt;=96%,"Atendeu a Meta","Não Atendeu a Meta")</f>
        <v>Atendeu a Meta</v>
      </c>
      <c r="W237" s="4" t="s">
        <v>40</v>
      </c>
      <c r="X237" s="4">
        <v>0</v>
      </c>
      <c r="Y237" s="5">
        <v>0</v>
      </c>
    </row>
    <row r="238" spans="1:25" x14ac:dyDescent="0.25">
      <c r="A238" s="8">
        <v>46268</v>
      </c>
      <c r="B238" s="16">
        <f>YEAR(Tabela32[[#This Row],[Data]])</f>
        <v>2026</v>
      </c>
      <c r="C238" s="16">
        <f>MONTH(Tabela32[[#This Row],[Data]])</f>
        <v>9</v>
      </c>
      <c r="D238" s="4" t="s">
        <v>30</v>
      </c>
      <c r="E238" s="4">
        <v>1</v>
      </c>
      <c r="F238" s="4" t="str">
        <f>IFERROR(VLOOKUP(Tabela32[[#This Row],[Placa]],Planilha2!$A$1:$B$12,2,0),"")</f>
        <v>Sandro</v>
      </c>
      <c r="G238" s="10">
        <v>2273.54</v>
      </c>
      <c r="H238" s="10">
        <v>101478.36</v>
      </c>
      <c r="I238" s="4">
        <v>224</v>
      </c>
      <c r="J238" s="17">
        <f>IFERROR(Tabela32[[#This Row],[Valor Frete]]/Tabela32[[#This Row],[Valor Mercadoria]],"")</f>
        <v>2.2404185483486331E-2</v>
      </c>
      <c r="K238" s="11">
        <v>0.29166666666666669</v>
      </c>
      <c r="L238" s="15">
        <v>0.75416666666666665</v>
      </c>
      <c r="M238" s="15">
        <f>Tabela32[[#This Row],[Hr Chegada]]-Tabela32[[#This Row],[Hr Saida]]</f>
        <v>0.46249999999999997</v>
      </c>
      <c r="N238" s="4">
        <v>275378</v>
      </c>
      <c r="O238" s="4">
        <v>275420</v>
      </c>
      <c r="P238" s="4">
        <f>Tabela32[[#This Row],[Km Chegada]]-Tabela32[[#This Row],[Km Saída]]</f>
        <v>42</v>
      </c>
      <c r="Q238" s="4">
        <v>91</v>
      </c>
      <c r="R238" s="4">
        <v>3</v>
      </c>
      <c r="S238" s="4">
        <v>3</v>
      </c>
      <c r="T238" s="12">
        <f>Tabela32[[#This Row],[Entregas]]-Tabela32[[#This Row],[Realizadas]]</f>
        <v>0</v>
      </c>
      <c r="U238" s="18">
        <f>Tabela32[[#This Row],[Realizadas]]/Tabela32[[#This Row],[Entregas]]</f>
        <v>1</v>
      </c>
      <c r="V238" s="19" t="str">
        <f>IF(Tabela32[[#This Row],[% Entrega]]&gt;=96%,"Atendeu a Meta","Não Atendeu a Meta")</f>
        <v>Atendeu a Meta</v>
      </c>
      <c r="W238" s="4" t="s">
        <v>41</v>
      </c>
      <c r="X238" s="4">
        <v>0</v>
      </c>
      <c r="Y238" s="5">
        <v>0</v>
      </c>
    </row>
    <row r="239" spans="1:25" x14ac:dyDescent="0.25">
      <c r="A239" s="8">
        <v>46268</v>
      </c>
      <c r="B239" s="16">
        <f>YEAR(Tabela32[[#This Row],[Data]])</f>
        <v>2026</v>
      </c>
      <c r="C239" s="16">
        <f>MONTH(Tabela32[[#This Row],[Data]])</f>
        <v>9</v>
      </c>
      <c r="D239" s="4" t="s">
        <v>36</v>
      </c>
      <c r="E239" s="4">
        <v>4</v>
      </c>
      <c r="F239" s="4" t="str">
        <f>IFERROR(VLOOKUP(Tabela32[[#This Row],[Placa]],Planilha2!$A$1:$B$12,2,0),"")</f>
        <v>Osvaldo</v>
      </c>
      <c r="G239" s="10">
        <v>6173.28</v>
      </c>
      <c r="H239" s="10">
        <v>138635.42000000001</v>
      </c>
      <c r="I239" s="4">
        <v>1804</v>
      </c>
      <c r="J239" s="17">
        <f>IFERROR(Tabela32[[#This Row],[Valor Frete]]/Tabela32[[#This Row],[Valor Mercadoria]],"")</f>
        <v>4.4528880137557916E-2</v>
      </c>
      <c r="K239" s="11">
        <v>0.33333333333333331</v>
      </c>
      <c r="L239" s="15">
        <v>0.70138888888888884</v>
      </c>
      <c r="M239" s="15">
        <f>Tabela32[[#This Row],[Hr Chegada]]-Tabela32[[#This Row],[Hr Saida]]</f>
        <v>0.36805555555555552</v>
      </c>
      <c r="N239" s="4">
        <v>142664</v>
      </c>
      <c r="O239" s="4">
        <v>142732</v>
      </c>
      <c r="P239" s="4">
        <f>Tabela32[[#This Row],[Km Chegada]]-Tabela32[[#This Row],[Km Saída]]</f>
        <v>68</v>
      </c>
      <c r="Q239" s="4">
        <v>324</v>
      </c>
      <c r="R239" s="4">
        <v>23</v>
      </c>
      <c r="S239" s="4">
        <v>23</v>
      </c>
      <c r="T239" s="12">
        <f>Tabela32[[#This Row],[Entregas]]-Tabela32[[#This Row],[Realizadas]]</f>
        <v>0</v>
      </c>
      <c r="U239" s="18">
        <f>Tabela32[[#This Row],[Realizadas]]/Tabela32[[#This Row],[Entregas]]</f>
        <v>1</v>
      </c>
      <c r="V239" s="19" t="str">
        <f>IF(Tabela32[[#This Row],[% Entrega]]&gt;=96%,"Atendeu a Meta","Não Atendeu a Meta")</f>
        <v>Atendeu a Meta</v>
      </c>
      <c r="W239" s="4" t="s">
        <v>40</v>
      </c>
      <c r="X239" s="4">
        <v>0</v>
      </c>
      <c r="Y239" s="5">
        <v>0</v>
      </c>
    </row>
    <row r="240" spans="1:25" x14ac:dyDescent="0.25">
      <c r="A240" s="8">
        <v>46268</v>
      </c>
      <c r="B240" s="16">
        <f>YEAR(Tabela32[[#This Row],[Data]])</f>
        <v>2026</v>
      </c>
      <c r="C240" s="16">
        <f>MONTH(Tabela32[[#This Row],[Data]])</f>
        <v>9</v>
      </c>
      <c r="D240" s="4" t="s">
        <v>26</v>
      </c>
      <c r="E240" s="4">
        <v>2</v>
      </c>
      <c r="F240" s="4" t="str">
        <f>IFERROR(VLOOKUP(Tabela32[[#This Row],[Placa]],Planilha2!$A$1:$B$12,2,0),"")</f>
        <v>Gilberto</v>
      </c>
      <c r="G240" s="10">
        <v>7243.93</v>
      </c>
      <c r="H240" s="10">
        <v>161351.76</v>
      </c>
      <c r="I240" s="4">
        <v>1097</v>
      </c>
      <c r="J240" s="17">
        <f>IFERROR(Tabela32[[#This Row],[Valor Frete]]/Tabela32[[#This Row],[Valor Mercadoria]],"")</f>
        <v>4.48952648548736E-2</v>
      </c>
      <c r="K240" s="11">
        <v>0.29166666666666669</v>
      </c>
      <c r="L240" s="15">
        <v>0.71527777777777779</v>
      </c>
      <c r="M240" s="15">
        <f>Tabela32[[#This Row],[Hr Chegada]]-Tabela32[[#This Row],[Hr Saida]]</f>
        <v>0.4236111111111111</v>
      </c>
      <c r="N240" s="4">
        <v>119218</v>
      </c>
      <c r="O240" s="4">
        <v>119272</v>
      </c>
      <c r="P240" s="4">
        <f>Tabela32[[#This Row],[Km Chegada]]-Tabela32[[#This Row],[Km Saída]]</f>
        <v>54</v>
      </c>
      <c r="Q240" s="4">
        <v>263</v>
      </c>
      <c r="R240" s="4">
        <v>29</v>
      </c>
      <c r="S240" s="4">
        <v>29</v>
      </c>
      <c r="T240" s="12">
        <f>Tabela32[[#This Row],[Entregas]]-Tabela32[[#This Row],[Realizadas]]</f>
        <v>0</v>
      </c>
      <c r="U240" s="18">
        <f>Tabela32[[#This Row],[Realizadas]]/Tabela32[[#This Row],[Entregas]]</f>
        <v>1</v>
      </c>
      <c r="V240" s="19" t="str">
        <f>IF(Tabela32[[#This Row],[% Entrega]]&gt;=96%,"Atendeu a Meta","Não Atendeu a Meta")</f>
        <v>Atendeu a Meta</v>
      </c>
      <c r="W240" s="4" t="s">
        <v>40</v>
      </c>
      <c r="X240" s="4">
        <v>0</v>
      </c>
      <c r="Y240" s="5">
        <v>0</v>
      </c>
    </row>
    <row r="241" spans="1:25" x14ac:dyDescent="0.25">
      <c r="A241" s="8">
        <v>46268</v>
      </c>
      <c r="B241" s="16">
        <f>YEAR(Tabela32[[#This Row],[Data]])</f>
        <v>2026</v>
      </c>
      <c r="C241" s="16">
        <f>MONTH(Tabela32[[#This Row],[Data]])</f>
        <v>9</v>
      </c>
      <c r="D241" s="4" t="s">
        <v>32</v>
      </c>
      <c r="E241" s="4">
        <v>3</v>
      </c>
      <c r="F241" s="4" t="str">
        <f>IFERROR(VLOOKUP(Tabela32[[#This Row],[Placa]],Planilha2!$A$1:$B$12,2,0),"")</f>
        <v>Jerson</v>
      </c>
      <c r="G241" s="10">
        <v>7983.97</v>
      </c>
      <c r="H241" s="10">
        <v>84635.8</v>
      </c>
      <c r="I241" s="4">
        <v>1622</v>
      </c>
      <c r="J241" s="17">
        <f>IFERROR(Tabela32[[#This Row],[Valor Frete]]/Tabela32[[#This Row],[Valor Mercadoria]],"")</f>
        <v>9.433324905063814E-2</v>
      </c>
      <c r="K241" s="11">
        <v>0.31944444444444442</v>
      </c>
      <c r="L241" s="15">
        <v>0.75624999999999998</v>
      </c>
      <c r="M241" s="15">
        <f>Tabela32[[#This Row],[Hr Chegada]]-Tabela32[[#This Row],[Hr Saida]]</f>
        <v>0.43680555555555556</v>
      </c>
      <c r="N241" s="4">
        <v>280095</v>
      </c>
      <c r="O241" s="4">
        <v>280154</v>
      </c>
      <c r="P241" s="4">
        <f>Tabela32[[#This Row],[Km Chegada]]-Tabela32[[#This Row],[Km Saída]]</f>
        <v>59</v>
      </c>
      <c r="Q241" s="4">
        <v>131</v>
      </c>
      <c r="R241" s="4">
        <v>14</v>
      </c>
      <c r="S241" s="4">
        <v>14</v>
      </c>
      <c r="T241" s="12">
        <f>Tabela32[[#This Row],[Entregas]]-Tabela32[[#This Row],[Realizadas]]</f>
        <v>0</v>
      </c>
      <c r="U241" s="18">
        <f>Tabela32[[#This Row],[Realizadas]]/Tabela32[[#This Row],[Entregas]]</f>
        <v>1</v>
      </c>
      <c r="V241" s="19" t="str">
        <f>IF(Tabela32[[#This Row],[% Entrega]]&gt;=96%,"Atendeu a Meta","Não Atendeu a Meta")</f>
        <v>Atendeu a Meta</v>
      </c>
      <c r="W241" s="4" t="s">
        <v>40</v>
      </c>
      <c r="X241" s="4">
        <v>0</v>
      </c>
      <c r="Y241" s="5">
        <v>0</v>
      </c>
    </row>
    <row r="242" spans="1:25" x14ac:dyDescent="0.25">
      <c r="A242" s="8">
        <v>46268</v>
      </c>
      <c r="B242" s="16">
        <f>YEAR(Tabela32[[#This Row],[Data]])</f>
        <v>2026</v>
      </c>
      <c r="C242" s="16">
        <f>MONTH(Tabela32[[#This Row],[Data]])</f>
        <v>9</v>
      </c>
      <c r="D242" s="4" t="s">
        <v>28</v>
      </c>
      <c r="E242" s="4">
        <v>1</v>
      </c>
      <c r="F242" s="4" t="str">
        <f>IFERROR(VLOOKUP(Tabela32[[#This Row],[Placa]],Planilha2!$A$1:$B$12,2,0),"")</f>
        <v>Rosinaldo</v>
      </c>
      <c r="G242" s="10">
        <v>3588.06</v>
      </c>
      <c r="H242" s="10">
        <v>39576.42</v>
      </c>
      <c r="I242" s="4">
        <v>326</v>
      </c>
      <c r="J242" s="17">
        <f>IFERROR(Tabela32[[#This Row],[Valor Frete]]/Tabela32[[#This Row],[Valor Mercadoria]],"")</f>
        <v>9.0661560595930613E-2</v>
      </c>
      <c r="K242" s="11">
        <v>0.29166666666666669</v>
      </c>
      <c r="L242" s="15">
        <v>0.79166666666666663</v>
      </c>
      <c r="M242" s="15">
        <f>Tabela32[[#This Row],[Hr Chegada]]-Tabela32[[#This Row],[Hr Saida]]</f>
        <v>0.49999999999999994</v>
      </c>
      <c r="N242" s="4">
        <v>291032</v>
      </c>
      <c r="O242" s="4">
        <v>291074</v>
      </c>
      <c r="P242" s="4">
        <f>Tabela32[[#This Row],[Km Chegada]]-Tabela32[[#This Row],[Km Saída]]</f>
        <v>42</v>
      </c>
      <c r="Q242" s="4">
        <v>45</v>
      </c>
      <c r="R242" s="4">
        <v>3</v>
      </c>
      <c r="S242" s="4">
        <v>3</v>
      </c>
      <c r="T242" s="12">
        <f>Tabela32[[#This Row],[Entregas]]-Tabela32[[#This Row],[Realizadas]]</f>
        <v>0</v>
      </c>
      <c r="U242" s="18">
        <f>Tabela32[[#This Row],[Realizadas]]/Tabela32[[#This Row],[Entregas]]</f>
        <v>1</v>
      </c>
      <c r="V242" s="19" t="str">
        <f>IF(Tabela32[[#This Row],[% Entrega]]&gt;=96%,"Atendeu a Meta","Não Atendeu a Meta")</f>
        <v>Atendeu a Meta</v>
      </c>
      <c r="W242" s="4" t="s">
        <v>41</v>
      </c>
      <c r="X242" s="4">
        <v>0</v>
      </c>
      <c r="Y242" s="5">
        <v>0</v>
      </c>
    </row>
    <row r="243" spans="1:25" x14ac:dyDescent="0.25">
      <c r="A243" s="8">
        <v>46269</v>
      </c>
      <c r="B243" s="26">
        <f>YEAR(Tabela32[[#This Row],[Data]])</f>
        <v>2026</v>
      </c>
      <c r="C243" s="26">
        <f>MONTH(Tabela32[[#This Row],[Data]])</f>
        <v>9</v>
      </c>
      <c r="D243" s="4" t="s">
        <v>24</v>
      </c>
      <c r="E243" s="4">
        <v>4</v>
      </c>
      <c r="F243" s="4" t="str">
        <f>IFERROR(VLOOKUP(Tabela32[[#This Row],[Placa]],Planilha2!$A$1:$B$12,2,0),"")</f>
        <v>Wesley</v>
      </c>
      <c r="G243" s="10">
        <v>6774.06</v>
      </c>
      <c r="H243" s="10">
        <v>127133.29</v>
      </c>
      <c r="I243" s="4">
        <v>635</v>
      </c>
      <c r="J243" s="17">
        <f>IFERROR(Tabela32[[#This Row],[Valor Frete]]/Tabela32[[#This Row],[Valor Mercadoria]],"")</f>
        <v>5.3283133001592271E-2</v>
      </c>
      <c r="K243" s="11">
        <v>0.29166666666666669</v>
      </c>
      <c r="L243" s="15">
        <v>0.74652777777777779</v>
      </c>
      <c r="M243" s="15">
        <f>Tabela32[[#This Row],[Hr Chegada]]-Tabela32[[#This Row],[Hr Saida]]</f>
        <v>0.4548611111111111</v>
      </c>
      <c r="N243" s="4">
        <v>124827</v>
      </c>
      <c r="O243" s="4">
        <v>124897</v>
      </c>
      <c r="P243" s="4">
        <f>Tabela32[[#This Row],[Km Chegada]]-Tabela32[[#This Row],[Km Saída]]</f>
        <v>70</v>
      </c>
      <c r="Q243" s="4">
        <v>166</v>
      </c>
      <c r="R243" s="4">
        <v>22</v>
      </c>
      <c r="S243" s="4">
        <v>22</v>
      </c>
      <c r="T243" s="12">
        <f>Tabela32[[#This Row],[Entregas]]-Tabela32[[#This Row],[Realizadas]]</f>
        <v>0</v>
      </c>
      <c r="U243" s="18">
        <f>Tabela32[[#This Row],[Realizadas]]/Tabela32[[#This Row],[Entregas]]</f>
        <v>1</v>
      </c>
      <c r="V243" s="19" t="str">
        <f>IF(Tabela32[[#This Row],[% Entrega]]&gt;=96%,"Atendeu a Meta","Não Atendeu a Meta")</f>
        <v>Atendeu a Meta</v>
      </c>
      <c r="W243" s="4" t="s">
        <v>40</v>
      </c>
      <c r="X243" s="4">
        <v>0</v>
      </c>
      <c r="Y243" s="5">
        <v>0</v>
      </c>
    </row>
    <row r="244" spans="1:25" x14ac:dyDescent="0.25">
      <c r="A244" s="8">
        <v>46269</v>
      </c>
      <c r="B244" s="26">
        <f>YEAR(Tabela32[[#This Row],[Data]])</f>
        <v>2026</v>
      </c>
      <c r="C244" s="26">
        <f>MONTH(Tabela32[[#This Row],[Data]])</f>
        <v>9</v>
      </c>
      <c r="D244" s="4" t="s">
        <v>30</v>
      </c>
      <c r="E244" s="4">
        <v>1</v>
      </c>
      <c r="F244" s="4" t="str">
        <f>IFERROR(VLOOKUP(Tabela32[[#This Row],[Placa]],Planilha2!$A$1:$B$12,2,0),"")</f>
        <v>Sandro</v>
      </c>
      <c r="G244" s="10">
        <v>7614.5</v>
      </c>
      <c r="H244" s="10">
        <v>153601.28</v>
      </c>
      <c r="I244" s="4">
        <v>1581</v>
      </c>
      <c r="J244" s="17">
        <f>IFERROR(Tabela32[[#This Row],[Valor Frete]]/Tabela32[[#This Row],[Valor Mercadoria]],"")</f>
        <v>4.9573154598711679E-2</v>
      </c>
      <c r="K244" s="11">
        <v>0.29166666666666669</v>
      </c>
      <c r="L244" s="15">
        <v>0.75694444444444442</v>
      </c>
      <c r="M244" s="15">
        <f>Tabela32[[#This Row],[Hr Chegada]]-Tabela32[[#This Row],[Hr Saida]]</f>
        <v>0.46527777777777773</v>
      </c>
      <c r="N244" s="4">
        <v>275420</v>
      </c>
      <c r="O244" s="4">
        <v>275489</v>
      </c>
      <c r="P244" s="4">
        <f>Tabela32[[#This Row],[Km Chegada]]-Tabela32[[#This Row],[Km Saída]]</f>
        <v>69</v>
      </c>
      <c r="Q244" s="4">
        <v>157</v>
      </c>
      <c r="R244" s="4">
        <v>18</v>
      </c>
      <c r="S244" s="4">
        <v>18</v>
      </c>
      <c r="T244" s="12">
        <f>Tabela32[[#This Row],[Entregas]]-Tabela32[[#This Row],[Realizadas]]</f>
        <v>0</v>
      </c>
      <c r="U244" s="18">
        <f>Tabela32[[#This Row],[Realizadas]]/Tabela32[[#This Row],[Entregas]]</f>
        <v>1</v>
      </c>
      <c r="V244" s="19" t="str">
        <f>IF(Tabela32[[#This Row],[% Entrega]]&gt;=96%,"Atendeu a Meta","Não Atendeu a Meta")</f>
        <v>Atendeu a Meta</v>
      </c>
      <c r="W244" s="4" t="s">
        <v>45</v>
      </c>
      <c r="X244" s="4">
        <v>0</v>
      </c>
      <c r="Y244" s="5">
        <v>0</v>
      </c>
    </row>
    <row r="245" spans="1:25" x14ac:dyDescent="0.25">
      <c r="A245" s="8">
        <v>46269</v>
      </c>
      <c r="B245" s="26">
        <f>YEAR(Tabela32[[#This Row],[Data]])</f>
        <v>2026</v>
      </c>
      <c r="C245" s="26">
        <f>MONTH(Tabela32[[#This Row],[Data]])</f>
        <v>9</v>
      </c>
      <c r="D245" s="4" t="s">
        <v>26</v>
      </c>
      <c r="E245" s="4">
        <v>2</v>
      </c>
      <c r="F245" s="4" t="str">
        <f>IFERROR(VLOOKUP(Tabela32[[#This Row],[Placa]],Planilha2!$A$1:$B$12,2,0),"")</f>
        <v>Gilberto</v>
      </c>
      <c r="G245" s="10">
        <v>7360.28</v>
      </c>
      <c r="H245" s="10">
        <v>135750.18</v>
      </c>
      <c r="I245" s="4">
        <v>1580</v>
      </c>
      <c r="J245" s="17">
        <f>IFERROR(Tabela32[[#This Row],[Valor Frete]]/Tabela32[[#This Row],[Valor Mercadoria]],"")</f>
        <v>5.4219301955990042E-2</v>
      </c>
      <c r="K245" s="11">
        <v>0.29166666666666669</v>
      </c>
      <c r="L245" s="15">
        <v>0.67708333333333337</v>
      </c>
      <c r="M245" s="15">
        <f>Tabela32[[#This Row],[Hr Chegada]]-Tabela32[[#This Row],[Hr Saida]]</f>
        <v>0.38541666666666669</v>
      </c>
      <c r="N245" s="4">
        <v>119276</v>
      </c>
      <c r="O245" s="4">
        <v>119324</v>
      </c>
      <c r="P245" s="4">
        <f>Tabela32[[#This Row],[Km Chegada]]-Tabela32[[#This Row],[Km Saída]]</f>
        <v>48</v>
      </c>
      <c r="Q245" s="4">
        <v>399</v>
      </c>
      <c r="R245" s="4">
        <v>22</v>
      </c>
      <c r="S245" s="4">
        <v>22</v>
      </c>
      <c r="T245" s="12">
        <f>Tabela32[[#This Row],[Entregas]]-Tabela32[[#This Row],[Realizadas]]</f>
        <v>0</v>
      </c>
      <c r="U245" s="18">
        <f>Tabela32[[#This Row],[Realizadas]]/Tabela32[[#This Row],[Entregas]]</f>
        <v>1</v>
      </c>
      <c r="V245" s="19" t="str">
        <f>IF(Tabela32[[#This Row],[% Entrega]]&gt;=96%,"Atendeu a Meta","Não Atendeu a Meta")</f>
        <v>Atendeu a Meta</v>
      </c>
      <c r="W245" s="4" t="s">
        <v>40</v>
      </c>
      <c r="X245" s="4">
        <v>0</v>
      </c>
      <c r="Y245" s="5">
        <v>0</v>
      </c>
    </row>
    <row r="246" spans="1:25" x14ac:dyDescent="0.25">
      <c r="A246" s="8">
        <v>46269</v>
      </c>
      <c r="B246" s="26">
        <f>YEAR(Tabela32[[#This Row],[Data]])</f>
        <v>2026</v>
      </c>
      <c r="C246" s="26">
        <f>MONTH(Tabela32[[#This Row],[Data]])</f>
        <v>9</v>
      </c>
      <c r="D246" s="4" t="s">
        <v>55</v>
      </c>
      <c r="E246" s="4">
        <v>5</v>
      </c>
      <c r="F246" s="4" t="str">
        <f>IFERROR(VLOOKUP(Tabela32[[#This Row],[Placa]],Planilha2!$A$1:$B$12,2,0),"")</f>
        <v>Arnaldo</v>
      </c>
      <c r="G246" s="10">
        <v>6620.29</v>
      </c>
      <c r="H246" s="10">
        <v>80748.009999999995</v>
      </c>
      <c r="I246" s="4">
        <v>650</v>
      </c>
      <c r="J246" s="17">
        <f>IFERROR(Tabela32[[#This Row],[Valor Frete]]/Tabela32[[#This Row],[Valor Mercadoria]],"")</f>
        <v>8.198703596534454E-2</v>
      </c>
      <c r="K246" s="11">
        <v>0.30208333333333331</v>
      </c>
      <c r="L246" s="15">
        <v>0.80694444444444446</v>
      </c>
      <c r="M246" s="15">
        <f>Tabela32[[#This Row],[Hr Chegada]]-Tabela32[[#This Row],[Hr Saida]]</f>
        <v>0.5048611111111112</v>
      </c>
      <c r="N246" s="4">
        <v>13010</v>
      </c>
      <c r="O246" s="4">
        <v>13124</v>
      </c>
      <c r="P246" s="4">
        <f>Tabela32[[#This Row],[Km Chegada]]-Tabela32[[#This Row],[Km Saída]]</f>
        <v>114</v>
      </c>
      <c r="Q246" s="4">
        <v>104</v>
      </c>
      <c r="R246" s="4">
        <v>22</v>
      </c>
      <c r="S246" s="4">
        <v>22</v>
      </c>
      <c r="T246" s="12">
        <f>Tabela32[[#This Row],[Entregas]]-Tabela32[[#This Row],[Realizadas]]</f>
        <v>0</v>
      </c>
      <c r="U246" s="18">
        <f>Tabela32[[#This Row],[Realizadas]]/Tabela32[[#This Row],[Entregas]]</f>
        <v>1</v>
      </c>
      <c r="V246" s="19" t="str">
        <f>IF(Tabela32[[#This Row],[% Entrega]]&gt;=96%,"Atendeu a Meta","Não Atendeu a Meta")</f>
        <v>Atendeu a Meta</v>
      </c>
      <c r="W246" s="4" t="s">
        <v>40</v>
      </c>
      <c r="X246" s="4">
        <v>0</v>
      </c>
      <c r="Y246" s="5">
        <v>38</v>
      </c>
    </row>
    <row r="247" spans="1:25" x14ac:dyDescent="0.25">
      <c r="A247" s="8">
        <v>46269</v>
      </c>
      <c r="B247" s="26">
        <f>YEAR(Tabela32[[#This Row],[Data]])</f>
        <v>2026</v>
      </c>
      <c r="C247" s="26">
        <f>MONTH(Tabela32[[#This Row],[Data]])</f>
        <v>9</v>
      </c>
      <c r="D247" s="4" t="s">
        <v>28</v>
      </c>
      <c r="E247" s="4">
        <v>1</v>
      </c>
      <c r="F247" s="4" t="str">
        <f>IFERROR(VLOOKUP(Tabela32[[#This Row],[Placa]],Planilha2!$A$1:$B$12,2,0),"")</f>
        <v>Rosinaldo</v>
      </c>
      <c r="G247" s="10">
        <v>9678.7000000000007</v>
      </c>
      <c r="H247" s="10">
        <v>69994.460000000006</v>
      </c>
      <c r="I247" s="4">
        <v>1492</v>
      </c>
      <c r="J247" s="17">
        <f>IFERROR(Tabela32[[#This Row],[Valor Frete]]/Tabela32[[#This Row],[Valor Mercadoria]],"")</f>
        <v>0.13827808657999505</v>
      </c>
      <c r="K247" s="11">
        <v>0.3125</v>
      </c>
      <c r="L247" s="15">
        <v>0.69444444444444442</v>
      </c>
      <c r="M247" s="15">
        <f>Tabela32[[#This Row],[Hr Chegada]]-Tabela32[[#This Row],[Hr Saida]]</f>
        <v>0.38194444444444442</v>
      </c>
      <c r="N247" s="4">
        <v>304114</v>
      </c>
      <c r="O247" s="4">
        <v>304178</v>
      </c>
      <c r="P247" s="4">
        <f>Tabela32[[#This Row],[Km Chegada]]-Tabela32[[#This Row],[Km Saída]]</f>
        <v>64</v>
      </c>
      <c r="Q247" s="4">
        <v>176</v>
      </c>
      <c r="R247" s="4">
        <v>16</v>
      </c>
      <c r="S247" s="4">
        <v>16</v>
      </c>
      <c r="T247" s="12">
        <f>Tabela32[[#This Row],[Entregas]]-Tabela32[[#This Row],[Realizadas]]</f>
        <v>0</v>
      </c>
      <c r="U247" s="18">
        <f>Tabela32[[#This Row],[Realizadas]]/Tabela32[[#This Row],[Entregas]]</f>
        <v>1</v>
      </c>
      <c r="V247" s="19" t="str">
        <f>IF(Tabela32[[#This Row],[% Entrega]]&gt;=96%,"Atendeu a Meta","Não Atendeu a Meta")</f>
        <v>Atendeu a Meta</v>
      </c>
      <c r="W247" s="4" t="s">
        <v>45</v>
      </c>
      <c r="X247" s="4">
        <v>0</v>
      </c>
      <c r="Y247" s="5">
        <v>0</v>
      </c>
    </row>
    <row r="248" spans="1:25" x14ac:dyDescent="0.25">
      <c r="A248" s="8">
        <v>46269</v>
      </c>
      <c r="B248" s="26">
        <f>YEAR(Tabela32[[#This Row],[Data]])</f>
        <v>2026</v>
      </c>
      <c r="C248" s="26">
        <f>MONTH(Tabela32[[#This Row],[Data]])</f>
        <v>9</v>
      </c>
      <c r="D248" s="4" t="s">
        <v>28</v>
      </c>
      <c r="E248" s="4">
        <v>1</v>
      </c>
      <c r="F248" s="4" t="str">
        <f>IFERROR(VLOOKUP(Tabela32[[#This Row],[Placa]],Planilha2!$A$1:$B$12,2,0),"")</f>
        <v>Rosinaldo</v>
      </c>
      <c r="G248" s="10">
        <v>13683.27</v>
      </c>
      <c r="H248" s="10">
        <v>404291.08</v>
      </c>
      <c r="I248" s="4">
        <v>2046</v>
      </c>
      <c r="J248" s="17">
        <f>IFERROR(Tabela32[[#This Row],[Valor Frete]]/Tabela32[[#This Row],[Valor Mercadoria]],"")</f>
        <v>3.3845094974640548E-2</v>
      </c>
      <c r="K248" s="11">
        <v>0.29166666666666669</v>
      </c>
      <c r="L248" s="15">
        <v>0.76388888888888884</v>
      </c>
      <c r="M248" s="15">
        <f>Tabela32[[#This Row],[Hr Chegada]]-Tabela32[[#This Row],[Hr Saida]]</f>
        <v>0.47222222222222215</v>
      </c>
      <c r="N248" s="4">
        <v>291074</v>
      </c>
      <c r="O248" s="4">
        <v>291117</v>
      </c>
      <c r="P248" s="4">
        <f>Tabela32[[#This Row],[Km Chegada]]-Tabela32[[#This Row],[Km Saída]]</f>
        <v>43</v>
      </c>
      <c r="Q248" s="4">
        <v>368</v>
      </c>
      <c r="R248" s="4">
        <v>7</v>
      </c>
      <c r="S248" s="4">
        <v>7</v>
      </c>
      <c r="T248" s="12">
        <f>Tabela32[[#This Row],[Entregas]]-Tabela32[[#This Row],[Realizadas]]</f>
        <v>0</v>
      </c>
      <c r="U248" s="18">
        <f>Tabela32[[#This Row],[Realizadas]]/Tabela32[[#This Row],[Entregas]]</f>
        <v>1</v>
      </c>
      <c r="V248" s="19" t="str">
        <f>IF(Tabela32[[#This Row],[% Entrega]]&gt;=96%,"Atendeu a Meta","Não Atendeu a Meta")</f>
        <v>Atendeu a Meta</v>
      </c>
      <c r="W248" s="4" t="s">
        <v>65</v>
      </c>
      <c r="X248" s="4">
        <v>0</v>
      </c>
      <c r="Y248" s="5">
        <v>38.380000000000003</v>
      </c>
    </row>
    <row r="249" spans="1:25" x14ac:dyDescent="0.25">
      <c r="A249" s="8">
        <v>46269</v>
      </c>
      <c r="B249" s="26">
        <f>YEAR(Tabela32[[#This Row],[Data]])</f>
        <v>2026</v>
      </c>
      <c r="C249" s="26">
        <f>MONTH(Tabela32[[#This Row],[Data]])</f>
        <v>9</v>
      </c>
      <c r="D249" s="4" t="s">
        <v>34</v>
      </c>
      <c r="E249" s="4">
        <v>1</v>
      </c>
      <c r="F249" s="4" t="str">
        <f>IFERROR(VLOOKUP(Tabela32[[#This Row],[Placa]],Planilha2!$A$1:$B$12,2,0),"")</f>
        <v>Paulo</v>
      </c>
      <c r="G249" s="10">
        <v>5115.93</v>
      </c>
      <c r="H249" s="10">
        <v>80920.03</v>
      </c>
      <c r="I249" s="4">
        <v>772</v>
      </c>
      <c r="J249" s="17">
        <f>IFERROR(Tabela32[[#This Row],[Valor Frete]]/Tabela32[[#This Row],[Valor Mercadoria]],"")</f>
        <v>6.3222047742691148E-2</v>
      </c>
      <c r="K249" s="11">
        <v>0.27083333333333331</v>
      </c>
      <c r="L249" s="15">
        <v>0.65833333333333333</v>
      </c>
      <c r="M249" s="15">
        <f>Tabela32[[#This Row],[Hr Chegada]]-Tabela32[[#This Row],[Hr Saida]]</f>
        <v>0.38750000000000001</v>
      </c>
      <c r="N249" s="4">
        <v>154949</v>
      </c>
      <c r="O249" s="4">
        <v>155111</v>
      </c>
      <c r="P249" s="4">
        <f>Tabela32[[#This Row],[Km Chegada]]-Tabela32[[#This Row],[Km Saída]]</f>
        <v>162</v>
      </c>
      <c r="Q249" s="4">
        <v>121</v>
      </c>
      <c r="R249" s="4">
        <v>16</v>
      </c>
      <c r="S249" s="4">
        <v>16</v>
      </c>
      <c r="T249" s="12">
        <f>Tabela32[[#This Row],[Entregas]]-Tabela32[[#This Row],[Realizadas]]</f>
        <v>0</v>
      </c>
      <c r="U249" s="18">
        <f>Tabela32[[#This Row],[Realizadas]]/Tabela32[[#This Row],[Entregas]]</f>
        <v>1</v>
      </c>
      <c r="V249" s="19" t="str">
        <f>IF(Tabela32[[#This Row],[% Entrega]]&gt;=96%,"Atendeu a Meta","Não Atendeu a Meta")</f>
        <v>Atendeu a Meta</v>
      </c>
      <c r="W249" s="4" t="s">
        <v>41</v>
      </c>
      <c r="X249" s="4">
        <v>0</v>
      </c>
      <c r="Y249" s="5">
        <v>38</v>
      </c>
    </row>
    <row r="250" spans="1:25" x14ac:dyDescent="0.25">
      <c r="A250" s="8">
        <v>46269</v>
      </c>
      <c r="B250" s="26">
        <f>YEAR(Tabela32[[#This Row],[Data]])</f>
        <v>2026</v>
      </c>
      <c r="C250" s="26">
        <f>MONTH(Tabela32[[#This Row],[Data]])</f>
        <v>9</v>
      </c>
      <c r="D250" s="4" t="s">
        <v>24</v>
      </c>
      <c r="E250" s="4">
        <v>11</v>
      </c>
      <c r="F250" s="4" t="str">
        <f>IFERROR(VLOOKUP(Tabela32[[#This Row],[Placa]],Planilha2!$A$1:$B$12,2,0),"")</f>
        <v>Wesley</v>
      </c>
      <c r="G250" s="10">
        <v>13686.92</v>
      </c>
      <c r="H250" s="10">
        <v>172691.62</v>
      </c>
      <c r="I250" s="4">
        <v>2972</v>
      </c>
      <c r="J250" s="17">
        <f>IFERROR(Tabela32[[#This Row],[Valor Frete]]/Tabela32[[#This Row],[Valor Mercadoria]],"")</f>
        <v>7.9256422517780548E-2</v>
      </c>
      <c r="K250" s="11">
        <v>0.27083333333333331</v>
      </c>
      <c r="L250" s="15">
        <v>0.66041666666666665</v>
      </c>
      <c r="M250" s="15">
        <f>Tabela32[[#This Row],[Hr Chegada]]-Tabela32[[#This Row],[Hr Saida]]</f>
        <v>0.38958333333333334</v>
      </c>
      <c r="N250" s="4">
        <v>142732</v>
      </c>
      <c r="O250" s="4">
        <v>142876</v>
      </c>
      <c r="P250" s="4">
        <f>Tabela32[[#This Row],[Km Chegada]]-Tabela32[[#This Row],[Km Saída]]</f>
        <v>144</v>
      </c>
      <c r="Q250" s="4">
        <v>478</v>
      </c>
      <c r="R250" s="4">
        <v>35</v>
      </c>
      <c r="S250" s="4">
        <v>35</v>
      </c>
      <c r="T250" s="12">
        <f>Tabela32[[#This Row],[Entregas]]-Tabela32[[#This Row],[Realizadas]]</f>
        <v>0</v>
      </c>
      <c r="U250" s="18">
        <f>Tabela32[[#This Row],[Realizadas]]/Tabela32[[#This Row],[Entregas]]</f>
        <v>1</v>
      </c>
      <c r="V250" s="19" t="str">
        <f>IF(Tabela32[[#This Row],[% Entrega]]&gt;=96%,"Atendeu a Meta","Não Atendeu a Meta")</f>
        <v>Atendeu a Meta</v>
      </c>
      <c r="W250" s="4" t="s">
        <v>42</v>
      </c>
      <c r="X250" s="4">
        <v>0</v>
      </c>
      <c r="Y250" s="5">
        <v>0</v>
      </c>
    </row>
    <row r="251" spans="1:25" x14ac:dyDescent="0.25">
      <c r="A251" s="8">
        <v>46269</v>
      </c>
      <c r="B251" s="26">
        <f>YEAR(Tabela32[[#This Row],[Data]])</f>
        <v>2026</v>
      </c>
      <c r="C251" s="26">
        <f>MONTH(Tabela32[[#This Row],[Data]])</f>
        <v>9</v>
      </c>
      <c r="D251" s="4" t="s">
        <v>29</v>
      </c>
      <c r="E251" s="4">
        <v>5</v>
      </c>
      <c r="F251" s="4" t="str">
        <f>IFERROR(VLOOKUP(Tabela32[[#This Row],[Placa]],Planilha2!$A$1:$B$12,2,0),"")</f>
        <v>Edilson</v>
      </c>
      <c r="G251" s="10">
        <v>15341.53</v>
      </c>
      <c r="H251" s="10">
        <v>277171.03000000003</v>
      </c>
      <c r="I251" s="4">
        <v>2647</v>
      </c>
      <c r="J251" s="17">
        <f>IFERROR(Tabela32[[#This Row],[Valor Frete]]/Tabela32[[#This Row],[Valor Mercadoria]],"")</f>
        <v>5.5350409456572713E-2</v>
      </c>
      <c r="K251" s="11">
        <v>0.27361111111111114</v>
      </c>
      <c r="L251" s="15">
        <v>0.71250000000000002</v>
      </c>
      <c r="M251" s="15">
        <f>Tabela32[[#This Row],[Hr Chegada]]-Tabela32[[#This Row],[Hr Saida]]</f>
        <v>0.43888888888888888</v>
      </c>
      <c r="N251" s="4">
        <v>104895</v>
      </c>
      <c r="O251" s="4">
        <v>104935</v>
      </c>
      <c r="P251" s="4">
        <f>Tabela32[[#This Row],[Km Chegada]]-Tabela32[[#This Row],[Km Saída]]</f>
        <v>40</v>
      </c>
      <c r="Q251" s="4">
        <v>351</v>
      </c>
      <c r="R251" s="4">
        <v>15</v>
      </c>
      <c r="S251" s="4">
        <v>15</v>
      </c>
      <c r="T251" s="12">
        <f>Tabela32[[#This Row],[Entregas]]-Tabela32[[#This Row],[Realizadas]]</f>
        <v>0</v>
      </c>
      <c r="U251" s="18">
        <f>Tabela32[[#This Row],[Realizadas]]/Tabela32[[#This Row],[Entregas]]</f>
        <v>1</v>
      </c>
      <c r="V251" s="19" t="str">
        <f>IF(Tabela32[[#This Row],[% Entrega]]&gt;=96%,"Atendeu a Meta","Não Atendeu a Meta")</f>
        <v>Atendeu a Meta</v>
      </c>
      <c r="W251" s="4" t="s">
        <v>40</v>
      </c>
      <c r="X251" s="4">
        <v>0</v>
      </c>
      <c r="Y251" s="5">
        <v>0</v>
      </c>
    </row>
    <row r="252" spans="1:25" x14ac:dyDescent="0.25">
      <c r="A252" s="8">
        <v>46269</v>
      </c>
      <c r="B252" s="26">
        <f>YEAR(Tabela32[[#This Row],[Data]])</f>
        <v>2026</v>
      </c>
      <c r="C252" s="26">
        <f>MONTH(Tabela32[[#This Row],[Data]])</f>
        <v>9</v>
      </c>
      <c r="D252" s="4" t="s">
        <v>32</v>
      </c>
      <c r="E252" s="4">
        <v>3</v>
      </c>
      <c r="F252" s="4" t="str">
        <f>IFERROR(VLOOKUP(Tabela32[[#This Row],[Placa]],Planilha2!$A$1:$B$12,2,0),"")</f>
        <v>Jerson</v>
      </c>
      <c r="G252" s="10">
        <v>9489.41</v>
      </c>
      <c r="H252" s="10">
        <v>112265.27</v>
      </c>
      <c r="I252" s="4">
        <v>850</v>
      </c>
      <c r="J252" s="17">
        <f>IFERROR(Tabela32[[#This Row],[Valor Frete]]/Tabela32[[#This Row],[Valor Mercadoria]],"")</f>
        <v>8.4526675079479155E-2</v>
      </c>
      <c r="K252" s="11">
        <v>0.32291666666666669</v>
      </c>
      <c r="L252" s="15">
        <v>0.71527777777777779</v>
      </c>
      <c r="M252" s="15">
        <f>Tabela32[[#This Row],[Hr Chegada]]-Tabela32[[#This Row],[Hr Saida]]</f>
        <v>0.3923611111111111</v>
      </c>
      <c r="N252" s="4">
        <v>280154</v>
      </c>
      <c r="O252" s="4">
        <v>280202</v>
      </c>
      <c r="P252" s="4">
        <f>Tabela32[[#This Row],[Km Chegada]]-Tabela32[[#This Row],[Km Saída]]</f>
        <v>48</v>
      </c>
      <c r="Q252" s="4">
        <v>162</v>
      </c>
      <c r="R252" s="4">
        <v>28</v>
      </c>
      <c r="S252" s="4">
        <v>26</v>
      </c>
      <c r="T252" s="12">
        <f>Tabela32[[#This Row],[Entregas]]-Tabela32[[#This Row],[Realizadas]]</f>
        <v>2</v>
      </c>
      <c r="U252" s="18">
        <f>Tabela32[[#This Row],[Realizadas]]/Tabela32[[#This Row],[Entregas]]</f>
        <v>0.9285714285714286</v>
      </c>
      <c r="V252" s="19" t="str">
        <f>IF(Tabela32[[#This Row],[% Entrega]]&gt;=96%,"Atendeu a Meta","Não Atendeu a Meta")</f>
        <v>Não Atendeu a Meta</v>
      </c>
      <c r="W252" s="4" t="s">
        <v>40</v>
      </c>
      <c r="X252" s="4">
        <v>2</v>
      </c>
      <c r="Y252" s="5" t="s">
        <v>77</v>
      </c>
    </row>
    <row r="253" spans="1:25" x14ac:dyDescent="0.25">
      <c r="A253" s="8">
        <v>46270</v>
      </c>
      <c r="B253" s="26">
        <f>YEAR(Tabela32[[#This Row],[Data]])</f>
        <v>2026</v>
      </c>
      <c r="C253" s="26">
        <f>MONTH(Tabela32[[#This Row],[Data]])</f>
        <v>9</v>
      </c>
      <c r="D253" s="4" t="s">
        <v>26</v>
      </c>
      <c r="E253" s="4">
        <v>11</v>
      </c>
      <c r="F253" s="4" t="str">
        <f>IFERROR(VLOOKUP(Tabela32[[#This Row],[Placa]],Planilha2!$A$1:$B$12,2,0),"")</f>
        <v>Gilberto</v>
      </c>
      <c r="G253" s="10">
        <v>6635.38</v>
      </c>
      <c r="H253" s="10">
        <v>76221.34</v>
      </c>
      <c r="I253" s="4">
        <v>649</v>
      </c>
      <c r="J253" s="17">
        <f>IFERROR(Tabela32[[#This Row],[Valor Frete]]/Tabela32[[#This Row],[Valor Mercadoria]],"")</f>
        <v>8.705409797308733E-2</v>
      </c>
      <c r="K253" s="11">
        <v>0.29166666666666669</v>
      </c>
      <c r="L253" s="15">
        <v>0.57986111111111116</v>
      </c>
      <c r="M253" s="15">
        <f>Tabela32[[#This Row],[Hr Chegada]]-Tabela32[[#This Row],[Hr Saida]]</f>
        <v>0.28819444444444448</v>
      </c>
      <c r="N253" s="4">
        <v>119324</v>
      </c>
      <c r="O253" s="4">
        <v>119471</v>
      </c>
      <c r="P253" s="4">
        <f>Tabela32[[#This Row],[Km Chegada]]-Tabela32[[#This Row],[Km Saída]]</f>
        <v>147</v>
      </c>
      <c r="Q253" s="4">
        <v>89</v>
      </c>
      <c r="R253" s="4">
        <v>33</v>
      </c>
      <c r="S253" s="4">
        <v>33</v>
      </c>
      <c r="T253" s="12">
        <f>Tabela32[[#This Row],[Entregas]]-Tabela32[[#This Row],[Realizadas]]</f>
        <v>0</v>
      </c>
      <c r="U253" s="18">
        <f>Tabela32[[#This Row],[Realizadas]]/Tabela32[[#This Row],[Entregas]]</f>
        <v>1</v>
      </c>
      <c r="V253" s="19" t="str">
        <f>IF(Tabela32[[#This Row],[% Entrega]]&gt;=96%,"Atendeu a Meta","Não Atendeu a Meta")</f>
        <v>Atendeu a Meta</v>
      </c>
      <c r="W253" s="4" t="s">
        <v>42</v>
      </c>
      <c r="X253" s="4">
        <v>0</v>
      </c>
      <c r="Y253" s="5">
        <v>0</v>
      </c>
    </row>
    <row r="254" spans="1:25" x14ac:dyDescent="0.25">
      <c r="A254" s="8">
        <v>46270</v>
      </c>
      <c r="B254" s="26">
        <f>YEAR(Tabela32[[#This Row],[Data]])</f>
        <v>2026</v>
      </c>
      <c r="C254" s="26">
        <f>MONTH(Tabela32[[#This Row],[Data]])</f>
        <v>9</v>
      </c>
      <c r="D254" s="4" t="s">
        <v>55</v>
      </c>
      <c r="E254" s="4">
        <v>3</v>
      </c>
      <c r="F254" s="4" t="str">
        <f>IFERROR(VLOOKUP(Tabela32[[#This Row],[Placa]],Planilha2!$A$1:$B$12,2,0),"")</f>
        <v>Arnaldo</v>
      </c>
      <c r="G254" s="10">
        <v>2820.94</v>
      </c>
      <c r="H254" s="10">
        <v>134648.97</v>
      </c>
      <c r="I254" s="4">
        <v>414</v>
      </c>
      <c r="J254" s="17">
        <f>IFERROR(Tabela32[[#This Row],[Valor Frete]]/Tabela32[[#This Row],[Valor Mercadoria]],"")</f>
        <v>2.0950327358612547E-2</v>
      </c>
      <c r="K254" s="11">
        <v>0.31527777777777777</v>
      </c>
      <c r="L254" s="15">
        <v>0.52083333333333337</v>
      </c>
      <c r="M254" s="15">
        <f>Tabela32[[#This Row],[Hr Chegada]]-Tabela32[[#This Row],[Hr Saida]]</f>
        <v>0.2055555555555556</v>
      </c>
      <c r="N254" s="4">
        <v>13124</v>
      </c>
      <c r="O254" s="4">
        <v>13171</v>
      </c>
      <c r="P254" s="4">
        <f>Tabela32[[#This Row],[Km Chegada]]-Tabela32[[#This Row],[Km Saída]]</f>
        <v>47</v>
      </c>
      <c r="Q254" s="4">
        <v>138</v>
      </c>
      <c r="R254" s="4">
        <v>7</v>
      </c>
      <c r="S254" s="4">
        <v>7</v>
      </c>
      <c r="T254" s="12">
        <f>Tabela32[[#This Row],[Entregas]]-Tabela32[[#This Row],[Realizadas]]</f>
        <v>0</v>
      </c>
      <c r="U254" s="18">
        <f>Tabela32[[#This Row],[Realizadas]]/Tabela32[[#This Row],[Entregas]]</f>
        <v>1</v>
      </c>
      <c r="V254" s="19" t="str">
        <f>IF(Tabela32[[#This Row],[% Entrega]]&gt;=96%,"Atendeu a Meta","Não Atendeu a Meta")</f>
        <v>Atendeu a Meta</v>
      </c>
      <c r="W254" s="4" t="s">
        <v>40</v>
      </c>
      <c r="X254" s="4">
        <v>0</v>
      </c>
      <c r="Y254" s="5">
        <v>0</v>
      </c>
    </row>
  </sheetData>
  <conditionalFormatting sqref="J2:J254">
    <cfRule type="cellIs" dxfId="76" priority="1" operator="lessThan">
      <formula>0.05</formula>
    </cfRule>
    <cfRule type="cellIs" dxfId="75" priority="2" operator="greaterThanOrEqual">
      <formula>0.05</formula>
    </cfRule>
  </conditionalFormatting>
  <conditionalFormatting sqref="U2:U254">
    <cfRule type="cellIs" dxfId="74" priority="7" stopIfTrue="1" operator="lessThanOrEqual">
      <formula>0.949</formula>
    </cfRule>
    <cfRule type="cellIs" dxfId="73" priority="8" stopIfTrue="1" operator="greaterThanOrEqual">
      <formula>0.9</formula>
    </cfRule>
    <cfRule type="cellIs" dxfId="72" priority="9" stopIfTrue="1" operator="greaterThanOrEqual">
      <formula>90</formula>
    </cfRule>
    <cfRule type="cellIs" dxfId="71" priority="10" stopIfTrue="1" operator="lessThan">
      <formula>0</formula>
    </cfRule>
    <cfRule type="cellIs" dxfId="70" priority="11" stopIfTrue="1" operator="lessThan">
      <formula>1</formula>
    </cfRule>
    <cfRule type="cellIs" dxfId="69" priority="12" stopIfTrue="1" operator="greaterThan">
      <formula>100</formula>
    </cfRule>
    <cfRule type="cellIs" dxfId="68" priority="13" stopIfTrue="1" operator="greaterThan">
      <formula>1</formula>
    </cfRule>
  </conditionalFormatting>
  <conditionalFormatting sqref="V2:V254">
    <cfRule type="expression" dxfId="67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66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D2:D254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2026-09-08T16:41:07Z</dcterms:modified>
</cp:coreProperties>
</file>