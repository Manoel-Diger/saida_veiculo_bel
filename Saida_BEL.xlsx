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E04F9096-A050-4214-B9CC-547E8E8F1983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" l="1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<sst xmlns="http://schemas.openxmlformats.org/spreadsheetml/2006/main" count="759" uniqueCount="82">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</sst>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12" totalsRowShown="0" headerRowDxfId="133" dataDxfId="131" headerRowBorderDxfId="132" tableBorderDxfId="130" totalsRowBorderDxfId="129" headerRowCellStyle="Normal 2 2 2">
  <autoFilter ref="A1:V12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0">
      <calculatedColumnFormula>Tabela35[[#This Row],[Hr Chegada]]-Tabela35[[#This Row],[Hr Saida]]</calculatedColumnFormula>
    </tableColumn>
    <tableColumn id="13" xr3:uid="{E5643091-5008-4800-BF73-88DFC566FBE9}" name="Frete" dataDxfId="118" dataCellStyle="Moeda"/>
    <tableColumn id="14" xr3:uid="{5E8F8636-0E97-4E52-8561-725D1AD8BAF1}" name="% Frete T" dataDxfId="117" dataCellStyle="Porcentagem">
      <calculatedColumnFormula>Tabela35[[#This Row],[Frete]]/Tabela35[[#This Row],[Valor Frete]]</calculatedColumnFormula>
    </tableColumn>
    <tableColumn id="16" xr3:uid="{F64AFFB0-A5D7-49FD-8B66-BD3FBD830A8C}" name="Vols" dataDxfId="116"/>
    <tableColumn id="17" xr3:uid="{36B8097A-82AA-4880-AA26-8A84D3BFDAE9}" name="Qtde Entregas" dataDxfId="115"/>
    <tableColumn id="18" xr3:uid="{8BF06732-0C91-4852-86A9-342D98B30169}" name="Entregas Realizadas" dataDxfId="114"/>
    <tableColumn id="19" xr3:uid="{20BD31A4-57AA-4F11-A73A-2B181C01798B}" name=" Retornadas" dataDxfId="113">
      <calculatedColumnFormula>Tabela35[[#This Row],[Qtde Entregas]]-Tabela35[[#This Row],[Entregas Realizadas]]</calculatedColumnFormula>
    </tableColumn>
    <tableColumn id="20" xr3:uid="{F3EDF45C-B4E9-4FE6-A74A-C49CA0273F75}" name="% Entrega" dataDxfId="11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10"/>
    <tableColumn id="23" xr3:uid="{D7BA1AAD-39A7-4F74-8E2B-3DAD30E78669}" name="Nfs Voltaram" dataDxfId="109"/>
    <tableColumn id="24" xr3:uid="{3938B063-E851-4B1A-B457-042DD7442897}" name="Código ocorrência" dataDxfId="10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322" totalsRowShown="0" headerRowDxfId="52" dataDxfId="51" headerRowBorderDxfId="49" tableBorderDxfId="50" totalsRowBorderDxfId="48">
  <tableColumns count="25">
    <tableColumn id="1" xr3:uid="{B118DAB0-A500-46F5-A61D-A15BA1838F69}" name="Data" dataDxfId="47"/>
    <tableColumn id="25" xr3:uid="{DAA903FE-736A-4CBF-95D8-B9E859203B97}" name="Ano" dataDxfId="46">
      <calculatedColumnFormula>YEAR(Tabela32[[#This Row],[Data]])</calculatedColumnFormula>
    </tableColumn>
    <tableColumn id="5" xr3:uid="{90D6CF8C-ACE3-46EA-828E-BB258996DD8F}" name="Mês" dataDxfId="45">
      <calculatedColumnFormula>MONTH(Tabela32[[#This Row],[Data]])</calculatedColumnFormula>
    </tableColumn>
    <tableColumn id="2" xr3:uid="{9E2D603E-103D-4F88-A5C8-5E9A03E2A3EE}" name="Placa" dataDxfId="44"/>
    <tableColumn id="3" xr3:uid="{7935B67B-4456-42E7-8B2D-EAF1D5C1B4F9}" name="Rota" dataDxfId="43"/>
    <tableColumn id="4" xr3:uid="{74C94A9C-B298-4701-847E-59C66BC8BBC2}" name="Motorista" dataDxfId="42">
      <calculatedColumnFormula>IFERROR(VLOOKUP(Tabela32[[#This Row],[Placa]],Planilha2!$A$1:$B$12,2,0),"")</calculatedColumnFormula>
    </tableColumn>
    <tableColumn id="6" xr3:uid="{694C94D7-8F01-480E-AA0C-B9B0FA8D2345}" name="Valor Frete" dataDxfId="41" dataCellStyle="Moeda"/>
    <tableColumn id="7" xr3:uid="{7D623530-7EED-4526-B289-B392FA2EF883}" name="Valor Mercadoria" dataDxfId="40" dataCellStyle="Moeda"/>
    <tableColumn id="8" xr3:uid="{3D927A69-B557-47A5-A269-05DEBEF85C73}" name="Peso" dataDxfId="39"/>
    <tableColumn id="9" xr3:uid="{69BC588C-6D01-4257-B2D9-CF2D843D1C40}" name="% Frete" dataDxfId="38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7"/>
    <tableColumn id="11" xr3:uid="{3B907CC4-B262-4107-87FF-1E75280AC1BF}" name="Hr Chegada" dataDxfId="36"/>
    <tableColumn id="12" xr3:uid="{ED725939-179A-4D21-873C-15774DD68F53}" name="Tempo" dataDxfId="35">
      <calculatedColumnFormula>Tabela32[[#This Row],[Hr Chegada]]-Tabela32[[#This Row],[Hr Saida]]</calculatedColumnFormula>
    </tableColumn>
    <tableColumn id="13" xr3:uid="{74EA350D-6976-4E2D-A058-0785043C5735}" name="Km Saída" dataDxfId="34"/>
    <tableColumn id="14" xr3:uid="{496AFEAD-5BFE-466C-B0AF-20375AAEECFC}" name="Km Chegada" dataDxfId="33"/>
    <tableColumn id="15" xr3:uid="{AB2841F1-639E-4525-98D9-0FAED04E102B}" name="Km/Dia" dataDxfId="32">
      <calculatedColumnFormula>Tabela32[[#This Row],[Km Chegada]]-Tabela32[[#This Row],[Km Saída]]</calculatedColumnFormula>
    </tableColumn>
    <tableColumn id="16" xr3:uid="{D83FBC01-4652-43E1-B278-CE34A958D106}" name="Vols" dataDxfId="31"/>
    <tableColumn id="17" xr3:uid="{CA7BF05C-1770-40EE-89A9-C80AA88EFC06}" name="Entregas" dataDxfId="30"/>
    <tableColumn id="18" xr3:uid="{037F6348-AFD4-431D-99B0-8147EA9E213B}" name="Realizadas" dataDxfId="29"/>
    <tableColumn id="19" xr3:uid="{196A1910-314C-450C-B67A-E51295FA6A18}" name=" Retornadas" dataDxfId="28">
      <calculatedColumnFormula>Tabela32[[#This Row],[Entregas]]-Tabela32[[#This Row],[Realizadas]]</calculatedColumnFormula>
    </tableColumn>
    <tableColumn id="20" xr3:uid="{F0BBC004-BAAB-43E2-A50E-1DD3FAEFD5F0}" name="% Entrega" dataDxfId="27" dataCellStyle="Moeda">
      <calculatedColumnFormula>Tabela32[[#This Row],[Realizadas]]/Tabela32[[#This Row],[Entregas]]</calculatedColumnFormula>
    </tableColumn>
    <tableColumn id="21" xr3:uid="{BB53A276-7721-4934-9C42-DB7E1D2740B3}" name="Meta" dataDxfId="26">
      <calculatedColumnFormula>IF(Tabela32[[#This Row],[% Entrega]]&gt;=96%,"Atendeu a Meta","Não Atendeu a Meta")</calculatedColumnFormula>
    </tableColumn>
    <tableColumn id="22" xr3:uid="{CE1DD687-26CA-4D2F-BCFC-661EB14CAD0F}" name="Cidade Destino" dataDxfId="25"/>
    <tableColumn id="23" xr3:uid="{F8FFD74E-1FF0-45CC-9EA9-8E8EA807957C}" name="Nfs Voltaram" dataDxfId="24"/>
    <tableColumn id="24" xr3:uid="{2EC98F08-AFB3-40A3-B3CE-1C9A788E39CD}" name="Ocorrência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22</v>
      </c>
      <c r="B1" t="s">
        <v>56</v>
      </c>
    </row>
    <row r="2" spans="1:2" x14ac:dyDescent="0.25">
      <c r="A2" t="s">
        <v>23</v>
      </c>
      <c r="B2" t="s">
        <v>79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63</v>
      </c>
    </row>
    <row r="5" spans="1:2" x14ac:dyDescent="0.25">
      <c r="A5" t="s">
        <v>28</v>
      </c>
      <c r="B5" t="s">
        <v>57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55</v>
      </c>
    </row>
    <row r="10" spans="1:2" x14ac:dyDescent="0.25">
      <c r="A10" t="s">
        <v>36</v>
      </c>
      <c r="B10" t="s">
        <v>42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54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12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12" sqref="M12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47</v>
      </c>
      <c r="M1" s="2" t="s">
        <v>48</v>
      </c>
      <c r="N1" s="2" t="s">
        <v>43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45</v>
      </c>
      <c r="C2" s="4"/>
      <c r="D2" s="4" t="s">
        <v>46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58</v>
      </c>
      <c r="C3" s="4"/>
      <c r="D3" s="4" t="s">
        <v>59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45</v>
      </c>
      <c r="C4" s="4"/>
      <c r="D4" s="4" t="s">
        <v>46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45</v>
      </c>
      <c r="C5" s="4"/>
      <c r="D5" s="4" t="s">
        <v>46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44</v>
      </c>
      <c r="U5" s="4"/>
      <c r="V5" s="5"/>
    </row>
    <row r="6" spans="1:22" x14ac:dyDescent="0.25">
      <c r="A6" s="8">
        <v>46247</v>
      </c>
      <c r="B6" s="8" t="s">
        <v>45</v>
      </c>
      <c r="C6" s="4"/>
      <c r="D6" s="4" t="s">
        <v>46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45</v>
      </c>
      <c r="C7" s="4"/>
      <c r="D7" s="4" t="s">
        <v>46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44</v>
      </c>
      <c r="U7" s="4">
        <v>1</v>
      </c>
      <c r="V7" s="5">
        <v>9</v>
      </c>
    </row>
    <row r="8" spans="1:22" x14ac:dyDescent="0.25">
      <c r="A8" s="8">
        <v>46253</v>
      </c>
      <c r="B8" s="8" t="s">
        <v>66</v>
      </c>
      <c r="C8" s="4"/>
      <c r="D8" s="4" t="s">
        <v>67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58</v>
      </c>
      <c r="C9" s="4"/>
      <c r="D9" s="4" t="s">
        <v>46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58</v>
      </c>
      <c r="C10" s="4"/>
      <c r="D10" s="4" t="s">
        <v>46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45</v>
      </c>
      <c r="C11" s="4"/>
      <c r="D11" s="4" t="s">
        <v>46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45</v>
      </c>
      <c r="C12" s="4"/>
      <c r="D12" s="4" t="s">
        <v>46</v>
      </c>
      <c r="E12" s="27">
        <v>3592.03</v>
      </c>
      <c r="F12" s="27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</sheetData>
  <conditionalFormatting sqref="H2:H12">
    <cfRule type="cellIs" dxfId="107" priority="1" operator="lessThan">
      <formula>0.05</formula>
    </cfRule>
    <cfRule type="cellIs" dxfId="106" priority="2" operator="greaterThanOrEqual">
      <formula>0.05</formula>
    </cfRule>
  </conditionalFormatting>
  <conditionalFormatting sqref="R2:R12">
    <cfRule type="cellIs" dxfId="105" priority="7" stopIfTrue="1" operator="lessThanOrEqual">
      <formula>0.949</formula>
    </cfRule>
    <cfRule type="cellIs" dxfId="104" priority="8" stopIfTrue="1" operator="greaterThanOrEqual">
      <formula>0.9</formula>
    </cfRule>
    <cfRule type="cellIs" dxfId="103" priority="9" stopIfTrue="1" operator="greaterThanOrEqual">
      <formula>90</formula>
    </cfRule>
    <cfRule type="cellIs" dxfId="102" priority="10" stopIfTrue="1" operator="lessThan">
      <formula>0</formula>
    </cfRule>
    <cfRule type="cellIs" dxfId="101" priority="11" stopIfTrue="1" operator="lessThan">
      <formula>1</formula>
    </cfRule>
    <cfRule type="cellIs" dxfId="100" priority="12" stopIfTrue="1" operator="greaterThan">
      <formula>100</formula>
    </cfRule>
    <cfRule type="cellIs" dxfId="99" priority="13" stopIfTrue="1" operator="greaterThan">
      <formula>1</formula>
    </cfRule>
  </conditionalFormatting>
  <conditionalFormatting sqref="S2:S12">
    <cfRule type="expression" dxfId="9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9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322"/>
  <sheetViews>
    <sheetView showGridLines="0" tabSelected="1" workbookViewId="0">
      <pane xSplit="10" ySplit="1" topLeftCell="K300" activePane="bottomRight" state="frozen"/>
      <selection pane="topRight" activeCell="I1" sqref="I1"/>
      <selection pane="bottomLeft" activeCell="A2" sqref="A2"/>
      <selection pane="bottomRight" activeCell="P300" sqref="P300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53</v>
      </c>
      <c r="C1" s="1" t="s">
        <v>52</v>
      </c>
      <c r="D1" s="2" t="s">
        <v>1</v>
      </c>
      <c r="E1" s="2" t="s">
        <v>74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43</v>
      </c>
      <c r="R1" s="2" t="s">
        <v>49</v>
      </c>
      <c r="S1" s="2" t="s">
        <v>50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51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54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44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54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44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44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54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44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44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44</v>
      </c>
      <c r="X38" s="4">
        <v>2</v>
      </c>
      <c r="Y38" s="5" t="s">
        <v>60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44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54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44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44</v>
      </c>
      <c r="X47" s="4">
        <v>2</v>
      </c>
      <c r="Y47" s="5" t="s">
        <v>61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54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62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44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54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70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44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44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54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44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54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44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70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54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54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64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44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44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54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44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64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44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54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65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44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44</v>
      </c>
      <c r="X134" s="4">
        <v>7</v>
      </c>
      <c r="Y134" s="5" t="s">
        <v>69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70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54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54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44</v>
      </c>
      <c r="X142" s="4">
        <v>5</v>
      </c>
      <c r="Y142" s="5" t="s">
        <v>69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44</v>
      </c>
      <c r="X146" s="4">
        <v>3</v>
      </c>
      <c r="Y146" s="5" t="s">
        <v>68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64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54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44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44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54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71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44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44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44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54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72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44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44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54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44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44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44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44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44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54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44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44</v>
      </c>
      <c r="X199" s="4">
        <v>14</v>
      </c>
      <c r="Y199" s="5" t="s">
        <v>73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44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44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54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54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44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64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65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65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44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44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44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75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44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54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44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64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76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54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77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78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44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54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44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54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44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44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54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44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Geber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80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54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44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44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54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44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44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81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54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Geber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26">
        <f>YEAR(Tabela32[[#This Row],[Data]])</f>
        <v>2026</v>
      </c>
      <c r="C313" s="2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26">
        <f>YEAR(Tabela32[[#This Row],[Data]])</f>
        <v>2026</v>
      </c>
      <c r="C314" s="2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26">
        <f>YEAR(Tabela32[[#This Row],[Data]])</f>
        <v>2026</v>
      </c>
      <c r="C315" s="2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26">
        <f>YEAR(Tabela32[[#This Row],[Data]])</f>
        <v>2026</v>
      </c>
      <c r="C316" s="26">
        <f>MONTH(Tabela32[[#This Row],[Data]])</f>
        <v>9</v>
      </c>
      <c r="D316" s="4" t="s">
        <v>54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26">
        <f>YEAR(Tabela32[[#This Row],[Data]])</f>
        <v>2026</v>
      </c>
      <c r="C317" s="2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26">
        <f>YEAR(Tabela32[[#This Row],[Data]])</f>
        <v>2026</v>
      </c>
      <c r="C318" s="2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26">
        <f>YEAR(Tabela32[[#This Row],[Data]])</f>
        <v>2026</v>
      </c>
      <c r="C319" s="2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44</v>
      </c>
      <c r="X319" s="4">
        <v>3</v>
      </c>
      <c r="Y319" s="5" t="s">
        <v>70</v>
      </c>
    </row>
    <row r="320" spans="1:25" x14ac:dyDescent="0.25">
      <c r="A320" s="8">
        <v>46280</v>
      </c>
      <c r="B320" s="26">
        <f>YEAR(Tabela32[[#This Row],[Data]])</f>
        <v>2026</v>
      </c>
      <c r="C320" s="2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26">
        <f>YEAR(Tabela32[[#This Row],[Data]])</f>
        <v>2026</v>
      </c>
      <c r="C321" s="2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26">
        <f>YEAR(Tabela32[[#This Row],[Data]])</f>
        <v>2026</v>
      </c>
      <c r="C322" s="2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</sheetData>
  <conditionalFormatting sqref="J2:J322">
    <cfRule type="cellIs" dxfId="22" priority="1" operator="lessThan">
      <formula>0.05</formula>
    </cfRule>
    <cfRule type="cellIs" dxfId="21" priority="2" operator="greaterThanOrEqual">
      <formula>0.05</formula>
    </cfRule>
  </conditionalFormatting>
  <conditionalFormatting sqref="U2:U322">
    <cfRule type="cellIs" dxfId="20" priority="7" stopIfTrue="1" operator="lessThanOrEqual">
      <formula>0.949</formula>
    </cfRule>
    <cfRule type="cellIs" dxfId="19" priority="8" stopIfTrue="1" operator="greaterThanOrEqual">
      <formula>0.9</formula>
    </cfRule>
    <cfRule type="cellIs" dxfId="18" priority="9" stopIfTrue="1" operator="greaterThanOrEqual">
      <formula>90</formula>
    </cfRule>
    <cfRule type="cellIs" dxfId="17" priority="10" stopIfTrue="1" operator="lessThan">
      <formula>0</formula>
    </cfRule>
    <cfRule type="cellIs" dxfId="16" priority="11" stopIfTrue="1" operator="lessThan">
      <formula>1</formula>
    </cfRule>
    <cfRule type="cellIs" dxfId="15" priority="12" stopIfTrue="1" operator="greaterThan">
      <formula>100</formula>
    </cfRule>
    <cfRule type="cellIs" dxfId="14" priority="13" stopIfTrue="1" operator="greaterThan">
      <formula>1</formula>
    </cfRule>
  </conditionalFormatting>
  <conditionalFormatting sqref="V2:V322">
    <cfRule type="expression" dxfId="13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12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D2:D322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2026-09-16T17:14:47Z</dcterms:modified>
</cp:coreProperties>
</file>