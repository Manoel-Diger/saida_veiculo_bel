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6EB57189-72DA-4DC5-BE02-5D40F68E3BBD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9" i="4" l="1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<sst xmlns="http://schemas.openxmlformats.org/spreadsheetml/2006/main" count="479" uniqueCount="74">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</sst>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133" dataDxfId="131" headerRowBorderDxfId="132" tableBorderDxfId="130" totalsRowBorderDxfId="129" headerRowCellStyle="Normal 2 2 2">
  <autoFilter ref="A1:V9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89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Carre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/>
    <tableColumn id="7" xr3:uid="{7D623530-7EED-4526-B289-B392FA2EF883}" name="Valor Mercadoria" dataDxfId="94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O9" sqref="O9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46259</v>
      </c>
      <c r="B9" s="8" t="s">
        <v>59</v>
      </c>
      <c r="C9" s="4"/>
      <c r="D9" s="4" t="s">
        <v>60</v>
      </c>
      <c r="E9" s="10">
        <v>12786.37</v>
      </c>
      <c r="F9" s="10">
        <v>104458.62</v>
      </c>
      <c r="G9" s="4">
        <v>633</v>
      </c>
      <c r="H9" s="9">
        <f>Tabela35[[#This Row],[Valor Frete]]/Tabela35[[#This Row],[Valor Mercadoria]]</f>
        <v>0.12240607811973776</v>
      </c>
      <c r="I9" s="4"/>
      <c r="J9" s="4"/>
      <c r="K9" s="4">
        <f>Tabela35[[#This Row],[Hr Chegada]]-Tabela35[[#This Row],[Hr Saida]]</f>
        <v>0</v>
      </c>
      <c r="L9" s="10"/>
      <c r="M9" s="9">
        <f>Tabela35[[#This Row],[Frete]]/Tabela35[[#This Row],[Valor Frete]]</f>
        <v>0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9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9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89"/>
  <sheetViews>
    <sheetView showGridLines="0" tabSelected="1" workbookViewId="0">
      <pane xSplit="10" ySplit="1" topLeftCell="V170" activePane="bottomRight" state="frozen"/>
      <selection pane="topRight" activeCell="I1" sqref="I1"/>
      <selection pane="bottomLeft" activeCell="A2" sqref="A2"/>
      <selection pane="bottomRight" activeCell="X189" sqref="X189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/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/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/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/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/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/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/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/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/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/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/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/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/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/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/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/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/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/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/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/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/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/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/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/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/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/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/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/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/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/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/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/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/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/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/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/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/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/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/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/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/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30</v>
      </c>
      <c r="E169" s="4"/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55</v>
      </c>
      <c r="E170" s="4"/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28</v>
      </c>
      <c r="E171" s="4"/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26</v>
      </c>
      <c r="E172" s="4"/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24</v>
      </c>
      <c r="E173" s="4"/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/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29</v>
      </c>
      <c r="E175" s="4"/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32</v>
      </c>
      <c r="E176" s="4"/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36</v>
      </c>
      <c r="E177" s="4"/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34</v>
      </c>
      <c r="E178" s="4"/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  <row r="179" spans="1:25" x14ac:dyDescent="0.25">
      <c r="A179" s="8">
        <v>46261</v>
      </c>
      <c r="B179" s="22">
        <f>YEAR(Tabela32[[#This Row],[Data]])</f>
        <v>2026</v>
      </c>
      <c r="C179" s="22">
        <f>MONTH(Tabela32[[#This Row],[Data]])</f>
        <v>8</v>
      </c>
      <c r="D179" s="4" t="s">
        <v>55</v>
      </c>
      <c r="E179" s="4"/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40</v>
      </c>
      <c r="X179" s="4">
        <v>1</v>
      </c>
      <c r="Y179" s="5">
        <v>13</v>
      </c>
    </row>
    <row r="180" spans="1:25" x14ac:dyDescent="0.25">
      <c r="A180" s="8">
        <v>46261</v>
      </c>
      <c r="B180" s="22">
        <f>YEAR(Tabela32[[#This Row],[Data]])</f>
        <v>2026</v>
      </c>
      <c r="C180" s="22">
        <f>MONTH(Tabela32[[#This Row],[Data]])</f>
        <v>8</v>
      </c>
      <c r="D180" s="4" t="s">
        <v>29</v>
      </c>
      <c r="E180" s="4"/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42</v>
      </c>
      <c r="X180" s="4">
        <v>0</v>
      </c>
      <c r="Y180" s="5">
        <v>0</v>
      </c>
    </row>
    <row r="181" spans="1:25" x14ac:dyDescent="0.25">
      <c r="A181" s="8">
        <v>46261</v>
      </c>
      <c r="B181" s="22">
        <f>YEAR(Tabela32[[#This Row],[Data]])</f>
        <v>2026</v>
      </c>
      <c r="C181" s="22">
        <f>MONTH(Tabela32[[#This Row],[Data]])</f>
        <v>8</v>
      </c>
      <c r="D181" s="4" t="s">
        <v>34</v>
      </c>
      <c r="E181" s="4"/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45</v>
      </c>
      <c r="X181" s="4">
        <v>1</v>
      </c>
      <c r="Y181" s="5">
        <v>38</v>
      </c>
    </row>
    <row r="182" spans="1:25" x14ac:dyDescent="0.25">
      <c r="A182" s="8">
        <v>46261</v>
      </c>
      <c r="B182" s="22">
        <f>YEAR(Tabela32[[#This Row],[Data]])</f>
        <v>2026</v>
      </c>
      <c r="C182" s="22">
        <f>MONTH(Tabela32[[#This Row],[Data]])</f>
        <v>8</v>
      </c>
      <c r="D182" s="4" t="s">
        <v>36</v>
      </c>
      <c r="E182" s="4"/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45</v>
      </c>
      <c r="X182" s="4">
        <v>1</v>
      </c>
      <c r="Y182" s="5">
        <v>9</v>
      </c>
    </row>
    <row r="183" spans="1:25" x14ac:dyDescent="0.25">
      <c r="A183" s="8">
        <v>46261</v>
      </c>
      <c r="B183" s="22">
        <f>YEAR(Tabela32[[#This Row],[Data]])</f>
        <v>2026</v>
      </c>
      <c r="C183" s="22">
        <f>MONTH(Tabela32[[#This Row],[Data]])</f>
        <v>8</v>
      </c>
      <c r="D183" s="4" t="s">
        <v>28</v>
      </c>
      <c r="E183" s="4"/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41</v>
      </c>
      <c r="X183" s="4">
        <v>0</v>
      </c>
      <c r="Y183" s="5">
        <v>0</v>
      </c>
    </row>
    <row r="184" spans="1:25" x14ac:dyDescent="0.25">
      <c r="A184" s="8">
        <v>46261</v>
      </c>
      <c r="B184" s="22">
        <f>YEAR(Tabela32[[#This Row],[Data]])</f>
        <v>2026</v>
      </c>
      <c r="C184" s="22">
        <f>MONTH(Tabela32[[#This Row],[Data]])</f>
        <v>8</v>
      </c>
      <c r="D184" s="4" t="s">
        <v>22</v>
      </c>
      <c r="E184" s="4"/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40</v>
      </c>
      <c r="X184" s="4">
        <v>0</v>
      </c>
      <c r="Y184" s="5">
        <v>0</v>
      </c>
    </row>
    <row r="185" spans="1:25" x14ac:dyDescent="0.25">
      <c r="A185" s="8">
        <v>46261</v>
      </c>
      <c r="B185" s="22">
        <f>YEAR(Tabela32[[#This Row],[Data]])</f>
        <v>2026</v>
      </c>
      <c r="C185" s="22">
        <f>MONTH(Tabela32[[#This Row],[Data]])</f>
        <v>8</v>
      </c>
      <c r="D185" s="4" t="s">
        <v>24</v>
      </c>
      <c r="E185" s="4"/>
      <c r="F185" s="4" t="str">
        <f>IFERROR(VLOOKUP(Tabela32[[#This Row],[Placa]],Planilha2!$A$1:$B$12,2,0),"")</f>
        <v>Wesley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40</v>
      </c>
      <c r="X185" s="4">
        <v>0</v>
      </c>
      <c r="Y185" s="5">
        <v>0</v>
      </c>
    </row>
    <row r="186" spans="1:25" x14ac:dyDescent="0.25">
      <c r="A186" s="8">
        <v>46261</v>
      </c>
      <c r="B186" s="22">
        <f>YEAR(Tabela32[[#This Row],[Data]])</f>
        <v>2026</v>
      </c>
      <c r="C186" s="22">
        <f>MONTH(Tabela32[[#This Row],[Data]])</f>
        <v>8</v>
      </c>
      <c r="D186" s="4" t="s">
        <v>30</v>
      </c>
      <c r="E186" s="4"/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41</v>
      </c>
      <c r="X186" s="4">
        <v>0</v>
      </c>
      <c r="Y186" s="5">
        <v>0</v>
      </c>
    </row>
    <row r="187" spans="1:25" x14ac:dyDescent="0.25">
      <c r="A187" s="8">
        <v>46261</v>
      </c>
      <c r="B187" s="22">
        <f>YEAR(Tabela32[[#This Row],[Data]])</f>
        <v>2026</v>
      </c>
      <c r="C187" s="22">
        <f>MONTH(Tabela32[[#This Row],[Data]])</f>
        <v>8</v>
      </c>
      <c r="D187" s="4" t="s">
        <v>32</v>
      </c>
      <c r="E187" s="4"/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40</v>
      </c>
      <c r="X187" s="4">
        <v>0</v>
      </c>
      <c r="Y187" s="5">
        <v>0</v>
      </c>
    </row>
    <row r="188" spans="1:25" x14ac:dyDescent="0.25">
      <c r="A188" s="8">
        <v>46261</v>
      </c>
      <c r="B188" s="22">
        <f>YEAR(Tabela32[[#This Row],[Data]])</f>
        <v>2026</v>
      </c>
      <c r="C188" s="22">
        <f>MONTH(Tabela32[[#This Row],[Data]])</f>
        <v>8</v>
      </c>
      <c r="D188" s="4" t="s">
        <v>32</v>
      </c>
      <c r="E188" s="4"/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40</v>
      </c>
      <c r="X188" s="4">
        <v>0</v>
      </c>
      <c r="Y188" s="5">
        <v>0</v>
      </c>
    </row>
    <row r="189" spans="1:25" x14ac:dyDescent="0.25">
      <c r="A189" s="8">
        <v>46261</v>
      </c>
      <c r="B189" s="22">
        <f>YEAR(Tabela32[[#This Row],[Data]])</f>
        <v>2026</v>
      </c>
      <c r="C189" s="22">
        <f>MONTH(Tabela32[[#This Row],[Data]])</f>
        <v>8</v>
      </c>
      <c r="D189" s="4" t="s">
        <v>26</v>
      </c>
      <c r="E189" s="4"/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45</v>
      </c>
      <c r="X189" s="4">
        <v>0</v>
      </c>
      <c r="Y189" s="5">
        <v>0</v>
      </c>
    </row>
  </sheetData>
  <conditionalFormatting sqref="J2:J189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189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189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D2:D189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2026-08-28T13:44:07Z</dcterms:modified>
</cp:coreProperties>
</file>