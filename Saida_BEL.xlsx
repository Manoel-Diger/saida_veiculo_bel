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7075C0E7-1EEA-424B-BCB8-D4E6D9C68899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5" i="4" l="1"/>
  <c r="C635" i="4"/>
  <c r="F635" i="4"/>
  <c r="J635" i="4"/>
  <c r="M635" i="4"/>
  <c r="P635" i="4"/>
  <c r="T635" i="4"/>
  <c r="U635" i="4"/>
  <c r="V635" i="4" s="1"/>
  <c r="B634" i="4"/>
  <c r="C634" i="4"/>
  <c r="F634" i="4"/>
  <c r="J634" i="4"/>
  <c r="M634" i="4"/>
  <c r="P634" i="4"/>
  <c r="T634" i="4"/>
  <c r="U634" i="4"/>
  <c r="V634" i="4" s="1"/>
  <c r="B633" i="4"/>
  <c r="C633" i="4"/>
  <c r="F633" i="4"/>
  <c r="J633" i="4"/>
  <c r="M633" i="4"/>
  <c r="P633" i="4"/>
  <c r="T633" i="4"/>
  <c r="U633" i="4"/>
  <c r="V633" i="4" s="1"/>
  <c r="B632" i="4"/>
  <c r="C632" i="4"/>
  <c r="F632" i="4"/>
  <c r="J632" i="4"/>
  <c r="M632" i="4"/>
  <c r="P632" i="4"/>
  <c r="T632" i="4"/>
  <c r="U632" i="4"/>
  <c r="V632" i="4" s="1"/>
  <c r="H36" i="3"/>
  <c r="K36" i="3"/>
  <c r="M36" i="3"/>
  <c r="Q36" i="3"/>
  <c r="R36" i="3"/>
  <c r="S36" i="3" s="1"/>
  <c r="B631" i="4"/>
  <c r="C631" i="4"/>
  <c r="F631" i="4"/>
  <c r="J631" i="4"/>
  <c r="M631" i="4"/>
  <c r="P631" i="4"/>
  <c r="T631" i="4"/>
  <c r="U631" i="4"/>
  <c r="V631" i="4"/>
  <c r="B630" i="4"/>
  <c r="C630" i="4"/>
  <c r="F630" i="4"/>
  <c r="J630" i="4"/>
  <c r="M630" i="4"/>
  <c r="P630" i="4"/>
  <c r="T630" i="4"/>
  <c r="U630" i="4"/>
  <c r="V630" i="4" s="1"/>
  <c r="J629" i="4"/>
  <c r="B629" i="4"/>
  <c r="C629" i="4"/>
  <c r="F629" i="4"/>
  <c r="M629" i="4"/>
  <c r="P629" i="4"/>
  <c r="T629" i="4"/>
  <c r="U629" i="4"/>
  <c r="V629" i="4" s="1"/>
  <c r="B628" i="4"/>
  <c r="C628" i="4"/>
  <c r="F628" i="4"/>
  <c r="J628" i="4"/>
  <c r="M628" i="4"/>
  <c r="P628" i="4"/>
  <c r="T628" i="4"/>
  <c r="U628" i="4"/>
  <c r="V628" i="4" s="1"/>
  <c r="B627" i="4"/>
  <c r="C627" i="4"/>
  <c r="F627" i="4"/>
  <c r="J627" i="4"/>
  <c r="M627" i="4"/>
  <c r="P627" i="4"/>
  <c r="T627" i="4"/>
  <c r="U627" i="4"/>
  <c r="V627" i="4" s="1"/>
  <c r="B626" i="4"/>
  <c r="C626" i="4"/>
  <c r="F626" i="4"/>
  <c r="J626" i="4"/>
  <c r="M626" i="4"/>
  <c r="P626" i="4"/>
  <c r="T626" i="4"/>
  <c r="U626" i="4"/>
  <c r="V626" i="4" s="1"/>
  <c r="B625" i="4"/>
  <c r="C625" i="4"/>
  <c r="F625" i="4"/>
  <c r="J625" i="4"/>
  <c r="M625" i="4"/>
  <c r="P625" i="4"/>
  <c r="T625" i="4"/>
  <c r="U625" i="4"/>
  <c r="V625" i="4" s="1"/>
  <c r="B624" i="4"/>
  <c r="C624" i="4"/>
  <c r="F624" i="4"/>
  <c r="J624" i="4"/>
  <c r="M624" i="4"/>
  <c r="P624" i="4"/>
  <c r="T624" i="4"/>
  <c r="U624" i="4"/>
  <c r="V624" i="4" s="1"/>
  <c r="B623" i="4"/>
  <c r="C623" i="4"/>
  <c r="F623" i="4"/>
  <c r="J623" i="4"/>
  <c r="M623" i="4"/>
  <c r="P623" i="4"/>
  <c r="T623" i="4"/>
  <c r="U623" i="4"/>
  <c r="V623" i="4" s="1"/>
  <c r="B622" i="4"/>
  <c r="C622" i="4"/>
  <c r="F622" i="4"/>
  <c r="J622" i="4"/>
  <c r="M622" i="4"/>
  <c r="P622" i="4"/>
  <c r="T622" i="4"/>
  <c r="U622" i="4"/>
  <c r="V622" i="4" s="1"/>
  <c r="B621" i="4"/>
  <c r="C621" i="4"/>
  <c r="F621" i="4"/>
  <c r="J621" i="4"/>
  <c r="M621" i="4"/>
  <c r="P621" i="4"/>
  <c r="T621" i="4"/>
  <c r="U621" i="4"/>
  <c r="V621" i="4" s="1"/>
  <c r="H35" i="3"/>
  <c r="K35" i="3"/>
  <c r="M35" i="3"/>
  <c r="Q35" i="3"/>
  <c r="R35" i="3"/>
  <c r="S35" i="3" s="1"/>
  <c r="B620" i="4"/>
  <c r="C620" i="4"/>
  <c r="F620" i="4"/>
  <c r="J620" i="4"/>
  <c r="M620" i="4"/>
  <c r="P620" i="4"/>
  <c r="T620" i="4"/>
  <c r="U620" i="4"/>
  <c r="V620" i="4" s="1"/>
  <c r="B619" i="4"/>
  <c r="C619" i="4"/>
  <c r="F619" i="4"/>
  <c r="J619" i="4"/>
  <c r="M619" i="4"/>
  <c r="P619" i="4"/>
  <c r="T619" i="4"/>
  <c r="U619" i="4"/>
  <c r="V619" i="4" s="1"/>
  <c r="B618" i="4"/>
  <c r="C618" i="4"/>
  <c r="F618" i="4"/>
  <c r="J618" i="4"/>
  <c r="M618" i="4"/>
  <c r="P618" i="4"/>
  <c r="T618" i="4"/>
  <c r="U618" i="4"/>
  <c r="V618" i="4" s="1"/>
  <c r="B617" i="4"/>
  <c r="C617" i="4"/>
  <c r="F617" i="4"/>
  <c r="J617" i="4"/>
  <c r="M617" i="4"/>
  <c r="P617" i="4"/>
  <c r="T617" i="4"/>
  <c r="U617" i="4"/>
  <c r="V617" i="4" s="1"/>
  <c r="B616" i="4"/>
  <c r="C616" i="4"/>
  <c r="F616" i="4"/>
  <c r="J616" i="4"/>
  <c r="M616" i="4"/>
  <c r="P616" i="4"/>
  <c r="T616" i="4"/>
  <c r="U616" i="4"/>
  <c r="V616" i="4" s="1"/>
  <c r="B615" i="4"/>
  <c r="C615" i="4"/>
  <c r="F615" i="4"/>
  <c r="J615" i="4"/>
  <c r="M615" i="4"/>
  <c r="P615" i="4"/>
  <c r="T615" i="4"/>
  <c r="U615" i="4"/>
  <c r="V615" i="4" s="1"/>
  <c r="B614" i="4"/>
  <c r="C614" i="4"/>
  <c r="F614" i="4"/>
  <c r="J614" i="4"/>
  <c r="M614" i="4"/>
  <c r="P614" i="4"/>
  <c r="T614" i="4"/>
  <c r="U614" i="4"/>
  <c r="V614" i="4" s="1"/>
  <c r="B613" i="4"/>
  <c r="C613" i="4"/>
  <c r="F613" i="4"/>
  <c r="J613" i="4"/>
  <c r="M613" i="4"/>
  <c r="P613" i="4"/>
  <c r="T613" i="4"/>
  <c r="U613" i="4"/>
  <c r="V613" i="4" s="1"/>
  <c r="B612" i="4"/>
  <c r="C612" i="4"/>
  <c r="F612" i="4"/>
  <c r="J612" i="4"/>
  <c r="M612" i="4"/>
  <c r="P612" i="4"/>
  <c r="T612" i="4"/>
  <c r="U612" i="4"/>
  <c r="V612" i="4" s="1"/>
  <c r="B611" i="4"/>
  <c r="C611" i="4"/>
  <c r="F611" i="4"/>
  <c r="J611" i="4"/>
  <c r="M611" i="4"/>
  <c r="P611" i="4"/>
  <c r="T611" i="4"/>
  <c r="U611" i="4"/>
  <c r="V611" i="4" s="1"/>
  <c r="B610" i="4"/>
  <c r="C610" i="4"/>
  <c r="F610" i="4"/>
  <c r="J610" i="4"/>
  <c r="M610" i="4"/>
  <c r="P610" i="4"/>
  <c r="T610" i="4"/>
  <c r="U610" i="4"/>
  <c r="V610" i="4" s="1"/>
  <c r="H34" i="3"/>
  <c r="K34" i="3"/>
  <c r="M34" i="3"/>
  <c r="Q34" i="3"/>
  <c r="R34" i="3"/>
  <c r="S34" i="3" s="1"/>
  <c r="B609" i="4"/>
  <c r="C609" i="4"/>
  <c r="F609" i="4"/>
  <c r="J609" i="4"/>
  <c r="M609" i="4"/>
  <c r="P609" i="4"/>
  <c r="T609" i="4"/>
  <c r="U609" i="4"/>
  <c r="V609" i="4" s="1"/>
  <c r="B608" i="4"/>
  <c r="C608" i="4"/>
  <c r="F608" i="4"/>
  <c r="J608" i="4"/>
  <c r="M608" i="4"/>
  <c r="P608" i="4"/>
  <c r="T608" i="4"/>
  <c r="U608" i="4"/>
  <c r="V608" i="4" s="1"/>
  <c r="B607" i="4"/>
  <c r="C607" i="4"/>
  <c r="F607" i="4"/>
  <c r="J607" i="4"/>
  <c r="M607" i="4"/>
  <c r="P607" i="4"/>
  <c r="T607" i="4"/>
  <c r="U607" i="4"/>
  <c r="V607" i="4" s="1"/>
  <c r="B606" i="4"/>
  <c r="C606" i="4"/>
  <c r="F606" i="4"/>
  <c r="J606" i="4"/>
  <c r="M606" i="4"/>
  <c r="P606" i="4"/>
  <c r="T606" i="4"/>
  <c r="U606" i="4"/>
  <c r="V606" i="4" s="1"/>
  <c r="B605" i="4"/>
  <c r="C605" i="4"/>
  <c r="F605" i="4"/>
  <c r="J605" i="4"/>
  <c r="M605" i="4"/>
  <c r="P605" i="4"/>
  <c r="T605" i="4"/>
  <c r="U605" i="4"/>
  <c r="V605" i="4" s="1"/>
  <c r="B604" i="4"/>
  <c r="C604" i="4"/>
  <c r="F604" i="4"/>
  <c r="J604" i="4"/>
  <c r="M604" i="4"/>
  <c r="P604" i="4"/>
  <c r="T604" i="4"/>
  <c r="U604" i="4"/>
  <c r="V604" i="4" s="1"/>
  <c r="B603" i="4"/>
  <c r="C603" i="4"/>
  <c r="F603" i="4"/>
  <c r="J603" i="4"/>
  <c r="M603" i="4"/>
  <c r="P603" i="4"/>
  <c r="T603" i="4"/>
  <c r="U603" i="4"/>
  <c r="V603" i="4" s="1"/>
  <c r="B602" i="4"/>
  <c r="C602" i="4"/>
  <c r="F602" i="4"/>
  <c r="J602" i="4"/>
  <c r="M602" i="4"/>
  <c r="P602" i="4"/>
  <c r="T602" i="4"/>
  <c r="U602" i="4"/>
  <c r="V602" i="4" s="1"/>
  <c r="B601" i="4"/>
  <c r="C601" i="4"/>
  <c r="F601" i="4"/>
  <c r="J601" i="4"/>
  <c r="M601" i="4"/>
  <c r="P601" i="4"/>
  <c r="T601" i="4"/>
  <c r="U601" i="4"/>
  <c r="V601" i="4" s="1"/>
  <c r="B600" i="4"/>
  <c r="C600" i="4"/>
  <c r="F600" i="4"/>
  <c r="J600" i="4"/>
  <c r="M600" i="4"/>
  <c r="P600" i="4"/>
  <c r="T600" i="4"/>
  <c r="U600" i="4"/>
  <c r="V600" i="4" s="1"/>
  <c r="B599" i="4"/>
  <c r="C599" i="4"/>
  <c r="F599" i="4"/>
  <c r="J599" i="4"/>
  <c r="M599" i="4"/>
  <c r="P599" i="4"/>
  <c r="T599" i="4"/>
  <c r="U599" i="4"/>
  <c r="V599" i="4" s="1"/>
  <c r="B598" i="4"/>
  <c r="C598" i="4"/>
  <c r="F598" i="4"/>
  <c r="J598" i="4"/>
  <c r="M598" i="4"/>
  <c r="P598" i="4"/>
  <c r="T598" i="4"/>
  <c r="U598" i="4"/>
  <c r="V598" i="4" s="1"/>
  <c r="H33" i="3"/>
  <c r="K33" i="3"/>
  <c r="M33" i="3"/>
  <c r="Q33" i="3"/>
  <c r="R33" i="3"/>
  <c r="S33" i="3" s="1"/>
  <c r="B597" i="4"/>
  <c r="C597" i="4"/>
  <c r="F597" i="4"/>
  <c r="J597" i="4"/>
  <c r="M597" i="4"/>
  <c r="P597" i="4"/>
  <c r="T597" i="4"/>
  <c r="U597" i="4"/>
  <c r="V597" i="4" s="1"/>
  <c r="H32" i="3"/>
  <c r="K32" i="3"/>
  <c r="M32" i="3"/>
  <c r="Q32" i="3"/>
  <c r="R32" i="3"/>
  <c r="S32" i="3" s="1"/>
  <c r="B596" i="4"/>
  <c r="C596" i="4"/>
  <c r="F596" i="4"/>
  <c r="J596" i="4"/>
  <c r="M596" i="4"/>
  <c r="P596" i="4"/>
  <c r="T596" i="4"/>
  <c r="U596" i="4"/>
  <c r="V596" i="4" s="1"/>
  <c r="B595" i="4"/>
  <c r="C595" i="4"/>
  <c r="F595" i="4"/>
  <c r="J595" i="4"/>
  <c r="M595" i="4"/>
  <c r="P595" i="4"/>
  <c r="T595" i="4"/>
  <c r="U595" i="4"/>
  <c r="V595" i="4" s="1"/>
  <c r="B594" i="4"/>
  <c r="C594" i="4"/>
  <c r="F594" i="4"/>
  <c r="J594" i="4"/>
  <c r="M594" i="4"/>
  <c r="P594" i="4"/>
  <c r="T594" i="4"/>
  <c r="U594" i="4"/>
  <c r="V594" i="4" s="1"/>
  <c r="B593" i="4"/>
  <c r="C593" i="4"/>
  <c r="F593" i="4"/>
  <c r="J593" i="4"/>
  <c r="M593" i="4"/>
  <c r="P593" i="4"/>
  <c r="T593" i="4"/>
  <c r="U593" i="4"/>
  <c r="V593" i="4" s="1"/>
  <c r="B592" i="4"/>
  <c r="C592" i="4"/>
  <c r="F592" i="4"/>
  <c r="J592" i="4"/>
  <c r="M592" i="4"/>
  <c r="P592" i="4"/>
  <c r="T592" i="4"/>
  <c r="U592" i="4"/>
  <c r="V592" i="4" s="1"/>
  <c r="B591" i="4"/>
  <c r="C591" i="4"/>
  <c r="F591" i="4"/>
  <c r="J591" i="4"/>
  <c r="M591" i="4"/>
  <c r="P591" i="4"/>
  <c r="T591" i="4"/>
  <c r="U591" i="4"/>
  <c r="V591" i="4" s="1"/>
  <c r="B590" i="4"/>
  <c r="C590" i="4"/>
  <c r="F590" i="4"/>
  <c r="J590" i="4"/>
  <c r="M590" i="4"/>
  <c r="P590" i="4"/>
  <c r="T590" i="4"/>
  <c r="U590" i="4"/>
  <c r="V590" i="4" s="1"/>
  <c r="B589" i="4"/>
  <c r="C589" i="4"/>
  <c r="F589" i="4"/>
  <c r="J589" i="4"/>
  <c r="M589" i="4"/>
  <c r="P589" i="4"/>
  <c r="T589" i="4"/>
  <c r="U589" i="4"/>
  <c r="V589" i="4" s="1"/>
  <c r="H31" i="3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<sst xmlns="http://schemas.openxmlformats.org/spreadsheetml/2006/main" count="1478" uniqueCount="107">
  <si>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</si>
  <si>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</si>
  <si>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</si>
  <si>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</si>
  <si>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</si>
  <si>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</si>
  <si>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</si>
  <si>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</si>
  <si>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</si>
  <si>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</si>
  <si>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</si>
  <si>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</si>
  <si>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</si>
  <si>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</si>
  <si>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</si>
  <si>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</si>
  <si>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</si>
  <si>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</si>
  <si>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</si>
  <si>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</si>
  <si>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</si>
  <si>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</si>
  <si>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</si>
  <si>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</si>
  <si>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</si>
  <si>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</si>
  <si>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</si>
  <si>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</si>
  <si>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</si>
  <si>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</si>
  <si>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</si>
  <si>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</si>
  <si>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</si>
  <si>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</si>
  <si>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</si>
  <si>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</si>
  <si>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</si>
  <si>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</si>
  <si>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</si>
  <si>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</si>
  <si>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</si>
  <si>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</si>
  <si>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</si>
  <si>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</si>
  <si>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</si>
  <si>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</si>
  <si>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</si>
  <si>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</si>
  <si>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</si>
  <si>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</si>
  <si>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</si>
  <si>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</si>
  <si>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</si>
  <si>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</si>
  <si>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</si>
  <si>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</si>
  <si>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</si>
  <si>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</si>
  <si>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</si>
  <si>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</si>
  <si>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</si>
  <si>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</si>
  <si>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</si>
  <si>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</si>
  <si>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</si>
  <si>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</si>
  <si>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</si>
  <si>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</si>
  <si>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</si>
  <si>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</si>
  <si>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</si>
  <si>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</si>
  <si>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</si>
  <si>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</si>
  <si>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</si>
  <si>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</si>
  <si>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</si>
  <si>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</si>
  <si>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</si>
  <si>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</si>
  <si>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</si>
  <si>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</si>
  <si>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</si>
  <si>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</si>
  <si>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</si>
  <si>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</si>
  <si>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</si>
  <si>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</si>
  <si>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</si>
  <si>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</si>
  <si>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</si>
  <si>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</si>
  <si>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</si>
  <si>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</si>
  <si>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</si>
  <si>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</si>
  <si>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</si>
  <si>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</si>
  <si>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</si>
  <si>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</si>
  <si>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</si>
  <si>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</si>
  <si>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</si>
  <si>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</si>
  <si>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</si>
  <si>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</si>
  <si>
    <t>13,13,13,38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</si>
</sst>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6" totalsRowShown="0" headerRowDxfId="133" dataDxfId="131" headerRowBorderDxfId="132" tableBorderDxfId="130" totalsRowBorderDxfId="129" headerRowCellStyle="Normal 2 2 2">
  <autoFilter ref="A1:V36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635" totalsRowShown="0" headerRowDxfId="106" dataDxfId="104" headerRowBorderDxfId="105" tableBorderDxfId="103" totalsRowBorderDxfId="102">
  <tableColumns count="25">
    <tableColumn id="1" xr3:uid="{B118DAB0-A500-46F5-A61D-A15BA1838F69}" name="Data" dataDxfId="101"/>
    <tableColumn id="25" xr3:uid="{DAA903FE-736A-4CBF-95D8-B9E859203B97}" name="Ano" dataDxfId="100">
      <calculatedColumnFormula>YEAR(Tabela32[[#This Row],[Data]])</calculatedColumnFormula>
    </tableColumn>
    <tableColumn id="5" xr3:uid="{90D6CF8C-ACE3-46EA-828E-BB258996DD8F}" name="Mês" dataDxfId="99">
      <calculatedColumnFormula>MONTH(Tabela32[[#This Row],[Data]])</calculatedColumnFormula>
    </tableColumn>
    <tableColumn id="2" xr3:uid="{9E2D603E-103D-4F88-A5C8-5E9A03E2A3EE}" name="Placa" dataDxfId="98"/>
    <tableColumn id="3" xr3:uid="{7935B67B-4456-42E7-8B2D-EAF1D5C1B4F9}" name="Rota" dataDxfId="97"/>
    <tableColumn id="4" xr3:uid="{74C94A9C-B298-4701-847E-59C66BC8BBC2}" name="Motorista" dataDxfId="96">
      <calculatedColumnFormula>IFERROR(VLOOKUP(Tabela32[[#This Row],[Placa]],Planilha2!$A$1:$B$12,2,0),"")</calculatedColumnFormula>
    </tableColumn>
    <tableColumn id="6" xr3:uid="{694C94D7-8F01-480E-AA0C-B9B0FA8D2345}" name="Valor Frete" dataDxfId="95" dataCellStyle="Moeda"/>
    <tableColumn id="7" xr3:uid="{7D623530-7EED-4526-B289-B392FA2EF883}" name="Valor Mercadoria" dataDxfId="94" dataCellStyle="Moeda"/>
    <tableColumn id="8" xr3:uid="{3D927A69-B557-47A5-A269-05DEBEF85C73}" name="Peso" dataDxfId="93"/>
    <tableColumn id="9" xr3:uid="{69BC588C-6D01-4257-B2D9-CF2D843D1C40}" name="% Frete" dataDxfId="92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91"/>
    <tableColumn id="11" xr3:uid="{3B907CC4-B262-4107-87FF-1E75280AC1BF}" name="Hr Chegada" dataDxfId="90"/>
    <tableColumn id="12" xr3:uid="{ED725939-179A-4D21-873C-15774DD68F53}" name="Tempo" dataDxfId="89">
      <calculatedColumnFormula>Tabela32[[#This Row],[Hr Chegada]]-Tabela32[[#This Row],[Hr Saida]]</calculatedColumnFormula>
    </tableColumn>
    <tableColumn id="13" xr3:uid="{74EA350D-6976-4E2D-A058-0785043C5735}" name="Km Saída" dataDxfId="88"/>
    <tableColumn id="14" xr3:uid="{496AFEAD-5BFE-466C-B0AF-20375AAEECFC}" name="Km Chegada" dataDxfId="87"/>
    <tableColumn id="15" xr3:uid="{AB2841F1-639E-4525-98D9-0FAED04E102B}" name="Km/Dia" dataDxfId="86">
      <calculatedColumnFormula>Tabela32[[#This Row],[Km Chegada]]-Tabela32[[#This Row],[Km Saída]]</calculatedColumnFormula>
    </tableColumn>
    <tableColumn id="16" xr3:uid="{D83FBC01-4652-43E1-B278-CE34A958D106}" name="Vols" dataDxfId="85"/>
    <tableColumn id="17" xr3:uid="{CA7BF05C-1770-40EE-89A9-C80AA88EFC06}" name="Entregas" dataDxfId="84"/>
    <tableColumn id="18" xr3:uid="{037F6348-AFD4-431D-99B0-8147EA9E213B}" name="Realizadas" dataDxfId="83"/>
    <tableColumn id="19" xr3:uid="{196A1910-314C-450C-B67A-E51295FA6A18}" name=" Retornadas" dataDxfId="82">
      <calculatedColumnFormula>Tabela32[[#This Row],[Entregas]]-Tabela32[[#This Row],[Realizadas]]</calculatedColumnFormula>
    </tableColumn>
    <tableColumn id="20" xr3:uid="{F0BBC004-BAAB-43E2-A50E-1DD3FAEFD5F0}" name="% Entrega" dataDxfId="81" dataCellStyle="Moeda">
      <calculatedColumnFormula>Tabela32[[#This Row],[Realizadas]]/Tabela32[[#This Row],[Entregas]]</calculatedColumnFormula>
    </tableColumn>
    <tableColumn id="21" xr3:uid="{BB53A276-7721-4934-9C42-DB7E1D2740B3}" name="Meta" dataDxfId="80">
      <calculatedColumnFormula>IF(Tabela32[[#This Row],[% Entrega]]&gt;=96%,"Atendeu a Meta","Não Atendeu a Meta")</calculatedColumnFormula>
    </tableColumn>
    <tableColumn id="22" xr3:uid="{CE1DD687-26CA-4D2F-BCFC-661EB14CAD0F}" name="Cidade Destino" dataDxfId="79"/>
    <tableColumn id="23" xr3:uid="{F8FFD74E-1FF0-45CC-9EA9-8E8EA807957C}" name="Nfs Voltaram" dataDxfId="78"/>
    <tableColumn id="24" xr3:uid="{2EC98F08-AFB3-40A3-B3CE-1C9A788E39CD}" name="Ocorrência" dataDxfId="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6"/>
  <sheetViews>
    <sheetView showGridLines="0" workbookViewId="0">
      <pane xSplit="8" ySplit="1" topLeftCell="R12" activePane="bottomRight" state="frozen"/>
      <selection pane="topRight" activeCell="I1" sqref="I1"/>
      <selection pane="bottomLeft" activeCell="A2" sqref="A2"/>
      <selection pane="bottomRight" activeCell="V36" sqref="V36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10">
        <v>4218.16</v>
      </c>
      <c r="F31" s="10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39</v>
      </c>
      <c r="U31" s="4">
        <v>0</v>
      </c>
      <c r="V31" s="5">
        <v>38.380000000000003</v>
      </c>
    </row>
    <row r="32" spans="1:22" x14ac:dyDescent="0.25">
      <c r="A32" s="8">
        <v>46315</v>
      </c>
      <c r="B32" s="8" t="s">
        <v>44</v>
      </c>
      <c r="C32" s="4"/>
      <c r="D32" s="4" t="s">
        <v>45</v>
      </c>
      <c r="E32" s="10">
        <v>13436.17</v>
      </c>
      <c r="F32" s="10">
        <v>222024.45</v>
      </c>
      <c r="G32" s="4">
        <v>1806</v>
      </c>
      <c r="H32" s="9">
        <f>Tabela35[[#This Row],[Valor Frete]]/Tabela35[[#This Row],[Valor Mercadoria]]</f>
        <v>6.0516623281805224E-2</v>
      </c>
      <c r="I32" s="4"/>
      <c r="J32" s="4"/>
      <c r="K32" s="4">
        <f>Tabela35[[#This Row],[Hr Chegada]]-Tabela35[[#This Row],[Hr Saida]]</f>
        <v>0</v>
      </c>
      <c r="L32" s="10">
        <v>500</v>
      </c>
      <c r="M32" s="9">
        <f>Tabela35[[#This Row],[Frete]]/Tabela35[[#This Row],[Valor Frete]]</f>
        <v>3.7212985545732151E-2</v>
      </c>
      <c r="N32" s="4">
        <v>323</v>
      </c>
      <c r="O32" s="4">
        <v>54</v>
      </c>
      <c r="P32" s="4">
        <v>46</v>
      </c>
      <c r="Q32" s="12">
        <f>Tabela35[[#This Row],[Qtde Entregas]]-Tabela35[[#This Row],[Entregas Realizadas]]</f>
        <v>8</v>
      </c>
      <c r="R32" s="13">
        <f>Tabela35[[#This Row],[Entregas Realizadas]]/Tabela35[[#This Row],[Qtde Entregas]]</f>
        <v>0.85185185185185186</v>
      </c>
      <c r="S32" s="14" t="str">
        <f>IF(Tabela35[[#This Row],[% Entrega]]&gt;=96%,"Atendeu a Meta","Não Atendeu a Meta")</f>
        <v>Não Atendeu a Meta</v>
      </c>
      <c r="T32" s="4" t="s">
        <v>39</v>
      </c>
      <c r="U32" s="4">
        <v>8</v>
      </c>
      <c r="V32" s="5" t="s">
        <v>73</v>
      </c>
    </row>
    <row r="33" spans="1:22" x14ac:dyDescent="0.25">
      <c r="A33" s="8">
        <v>46315</v>
      </c>
      <c r="B33" s="8" t="s">
        <v>64</v>
      </c>
      <c r="C33" s="4"/>
      <c r="D33" s="4" t="s">
        <v>65</v>
      </c>
      <c r="E33" s="10">
        <v>8690.0400000000009</v>
      </c>
      <c r="F33" s="10">
        <v>162493.32999999999</v>
      </c>
      <c r="G33" s="4">
        <v>2340</v>
      </c>
      <c r="H33" s="9">
        <f>Tabela35[[#This Row],[Valor Frete]]/Tabela35[[#This Row],[Valor Mercadoria]]</f>
        <v>5.3479364352986065E-2</v>
      </c>
      <c r="I33" s="4"/>
      <c r="J33" s="4"/>
      <c r="K33" s="4">
        <f>Tabela35[[#This Row],[Hr Chegada]]-Tabela35[[#This Row],[Hr Saida]]</f>
        <v>0</v>
      </c>
      <c r="L33" s="10">
        <v>500</v>
      </c>
      <c r="M33" s="9">
        <f>Tabela35[[#This Row],[Frete]]/Tabela35[[#This Row],[Valor Frete]]</f>
        <v>5.7537134466584726E-2</v>
      </c>
      <c r="N33" s="4">
        <v>621</v>
      </c>
      <c r="O33" s="4">
        <v>1</v>
      </c>
      <c r="P33" s="4">
        <v>1</v>
      </c>
      <c r="Q33" s="12">
        <f>Tabela35[[#This Row],[Qtde Entregas]]-Tabela35[[#This Row],[Entregas Realizadas]]</f>
        <v>0</v>
      </c>
      <c r="R33" s="13">
        <f>Tabela35[[#This Row],[Entregas Realizadas]]/Tabela35[[#This Row],[Qtde Entregas]]</f>
        <v>1</v>
      </c>
      <c r="S33" s="14" t="str">
        <f>IF(Tabela35[[#This Row],[% Entrega]]&gt;=96%,"Atendeu a Meta","Não Atendeu a Meta")</f>
        <v>Atendeu a Meta</v>
      </c>
      <c r="T33" s="4" t="s">
        <v>39</v>
      </c>
      <c r="U33" s="4">
        <v>0</v>
      </c>
      <c r="V33" s="5">
        <v>0</v>
      </c>
    </row>
    <row r="34" spans="1:22" x14ac:dyDescent="0.25">
      <c r="A34" s="8">
        <v>46316</v>
      </c>
      <c r="B34" s="8" t="s">
        <v>44</v>
      </c>
      <c r="C34" s="4"/>
      <c r="D34" s="4" t="s">
        <v>45</v>
      </c>
      <c r="E34" s="10">
        <v>13271.97</v>
      </c>
      <c r="F34" s="10">
        <v>305083.5</v>
      </c>
      <c r="G34" s="4">
        <v>1771</v>
      </c>
      <c r="H34" s="9">
        <f>Tabela35[[#This Row],[Valor Frete]]/Tabela35[[#This Row],[Valor Mercadoria]]</f>
        <v>4.3502745969546043E-2</v>
      </c>
      <c r="I34" s="4"/>
      <c r="J34" s="4"/>
      <c r="K34" s="4">
        <f>Tabela35[[#This Row],[Hr Chegada]]-Tabela35[[#This Row],[Hr Saida]]</f>
        <v>0</v>
      </c>
      <c r="L34" s="10">
        <v>500</v>
      </c>
      <c r="M34" s="9">
        <f>Tabela35[[#This Row],[Frete]]/Tabela35[[#This Row],[Valor Frete]]</f>
        <v>3.7673382323799708E-2</v>
      </c>
      <c r="N34" s="4">
        <v>145</v>
      </c>
      <c r="O34" s="4">
        <v>37</v>
      </c>
      <c r="P34" s="4">
        <v>37</v>
      </c>
      <c r="Q34" s="12">
        <f>Tabela35[[#This Row],[Qtde Entregas]]-Tabela35[[#This Row],[Entregas Realizadas]]</f>
        <v>0</v>
      </c>
      <c r="R34" s="13">
        <f>Tabela35[[#This Row],[Entregas Realizadas]]/Tabela35[[#This Row],[Qtde Entregas]]</f>
        <v>1</v>
      </c>
      <c r="S34" s="14" t="str">
        <f>IF(Tabela35[[#This Row],[% Entrega]]&gt;=96%,"Atendeu a Meta","Não Atendeu a Meta")</f>
        <v>Atendeu a Meta</v>
      </c>
      <c r="T34" s="4" t="s">
        <v>62</v>
      </c>
      <c r="U34" s="4">
        <v>0</v>
      </c>
      <c r="V34" s="5">
        <v>0</v>
      </c>
    </row>
    <row r="35" spans="1:22" x14ac:dyDescent="0.25">
      <c r="A35" s="8">
        <v>46317</v>
      </c>
      <c r="B35" s="8" t="s">
        <v>44</v>
      </c>
      <c r="C35" s="4"/>
      <c r="D35" s="4" t="s">
        <v>45</v>
      </c>
      <c r="E35" s="10">
        <v>9644.82</v>
      </c>
      <c r="F35" s="10">
        <v>176414.07999999999</v>
      </c>
      <c r="G35" s="4">
        <v>1828</v>
      </c>
      <c r="H35" s="9">
        <f>Tabela35[[#This Row],[Valor Frete]]/Tabela35[[#This Row],[Valor Mercadoria]]</f>
        <v>5.4671486538942923E-2</v>
      </c>
      <c r="I35" s="4"/>
      <c r="J35" s="4"/>
      <c r="K35" s="4">
        <f>Tabela35[[#This Row],[Hr Chegada]]-Tabela35[[#This Row],[Hr Saida]]</f>
        <v>0</v>
      </c>
      <c r="L35" s="10">
        <v>500</v>
      </c>
      <c r="M35" s="9">
        <f>Tabela35[[#This Row],[Frete]]/Tabela35[[#This Row],[Valor Frete]]</f>
        <v>5.1841299267378758E-2</v>
      </c>
      <c r="N35" s="4">
        <v>225</v>
      </c>
      <c r="O35" s="4">
        <v>22</v>
      </c>
      <c r="P35" s="4">
        <v>22</v>
      </c>
      <c r="Q35" s="12">
        <f>Tabela35[[#This Row],[Qtde Entregas]]-Tabela35[[#This Row],[Entregas Realizadas]]</f>
        <v>0</v>
      </c>
      <c r="R35" s="13">
        <f>Tabela35[[#This Row],[Entregas Realizadas]]/Tabela35[[#This Row],[Qtde Entregas]]</f>
        <v>1</v>
      </c>
      <c r="S35" s="14" t="str">
        <f>IF(Tabela35[[#This Row],[% Entrega]]&gt;=96%,"Atendeu a Meta","Não Atendeu a Meta")</f>
        <v>Atendeu a Meta</v>
      </c>
      <c r="T35" s="4" t="s">
        <v>39</v>
      </c>
      <c r="U35" s="4">
        <v>0</v>
      </c>
      <c r="V35" s="5">
        <v>38</v>
      </c>
    </row>
    <row r="36" spans="1:22" x14ac:dyDescent="0.25">
      <c r="A36" s="8">
        <v>46318</v>
      </c>
      <c r="B36" s="8" t="s">
        <v>44</v>
      </c>
      <c r="C36" s="4"/>
      <c r="D36" s="4" t="s">
        <v>45</v>
      </c>
      <c r="E36" s="27">
        <v>7868.6</v>
      </c>
      <c r="F36" s="27">
        <v>115708.02</v>
      </c>
      <c r="G36" s="4">
        <v>928</v>
      </c>
      <c r="H36" s="9">
        <f>Tabela35[[#This Row],[Valor Frete]]/Tabela35[[#This Row],[Valor Mercadoria]]</f>
        <v>6.8003929200413246E-2</v>
      </c>
      <c r="I36" s="4"/>
      <c r="J36" s="4"/>
      <c r="K36" s="4">
        <f>Tabela35[[#This Row],[Hr Chegada]]-Tabela35[[#This Row],[Hr Saida]]</f>
        <v>0</v>
      </c>
      <c r="L36" s="10">
        <v>500</v>
      </c>
      <c r="M36" s="9">
        <f>Tabela35[[#This Row],[Frete]]/Tabela35[[#This Row],[Valor Frete]]</f>
        <v>6.3543705360546987E-2</v>
      </c>
      <c r="N36" s="4">
        <v>203</v>
      </c>
      <c r="O36" s="4">
        <v>19</v>
      </c>
      <c r="P36" s="4">
        <v>18</v>
      </c>
      <c r="Q36" s="12">
        <f>Tabela35[[#This Row],[Qtde Entregas]]-Tabela35[[#This Row],[Entregas Realizadas]]</f>
        <v>1</v>
      </c>
      <c r="R36" s="13">
        <f>Tabela35[[#This Row],[Entregas Realizadas]]/Tabela35[[#This Row],[Qtde Entregas]]</f>
        <v>0.94736842105263153</v>
      </c>
      <c r="S36" s="14" t="str">
        <f>IF(Tabela35[[#This Row],[% Entrega]]&gt;=96%,"Atendeu a Meta","Não Atendeu a Meta")</f>
        <v>Não Atendeu a Meta</v>
      </c>
      <c r="T36" s="4" t="s">
        <v>43</v>
      </c>
      <c r="U36" s="4">
        <v>1</v>
      </c>
      <c r="V36" s="5">
        <v>10</v>
      </c>
    </row>
  </sheetData>
  <conditionalFormatting sqref="H2:H36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R2:R36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S2:S36">
    <cfRule type="expression" dxfId="6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6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635"/>
  <sheetViews>
    <sheetView showGridLines="0" tabSelected="1" workbookViewId="0">
      <pane xSplit="10" ySplit="1" topLeftCell="W607" activePane="bottomRight" state="frozen"/>
      <selection pane="topRight" activeCell="I1" sqref="I1"/>
      <selection pane="bottomLeft" activeCell="A2" sqref="A2"/>
      <selection pane="bottomRight" activeCell="Y634" sqref="Y63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16">
        <f>YEAR(Tabela32[[#This Row],[Data]])</f>
        <v>2026</v>
      </c>
      <c r="C560" s="1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16">
        <f>YEAR(Tabela32[[#This Row],[Data]])</f>
        <v>2026</v>
      </c>
      <c r="C561" s="1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16">
        <f>YEAR(Tabela32[[#This Row],[Data]])</f>
        <v>2026</v>
      </c>
      <c r="C562" s="1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16">
        <f>YEAR(Tabela32[[#This Row],[Data]])</f>
        <v>2026</v>
      </c>
      <c r="C563" s="1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16">
        <f>YEAR(Tabela32[[#This Row],[Data]])</f>
        <v>2026</v>
      </c>
      <c r="C564" s="1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16">
        <f>YEAR(Tabela32[[#This Row],[Data]])</f>
        <v>2026</v>
      </c>
      <c r="C565" s="1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16">
        <f>YEAR(Tabela32[[#This Row],[Data]])</f>
        <v>2026</v>
      </c>
      <c r="C566" s="1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16">
        <f>YEAR(Tabela32[[#This Row],[Data]])</f>
        <v>2026</v>
      </c>
      <c r="C567" s="1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16">
        <f>YEAR(Tabela32[[#This Row],[Data]])</f>
        <v>2026</v>
      </c>
      <c r="C568" s="1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16">
        <f>YEAR(Tabela32[[#This Row],[Data]])</f>
        <v>2026</v>
      </c>
      <c r="C569" s="1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16">
        <f>YEAR(Tabela32[[#This Row],[Data]])</f>
        <v>2026</v>
      </c>
      <c r="C570" s="1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16">
        <f>YEAR(Tabela32[[#This Row],[Data]])</f>
        <v>2026</v>
      </c>
      <c r="C571" s="1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16">
        <f>YEAR(Tabela32[[#This Row],[Data]])</f>
        <v>2026</v>
      </c>
      <c r="C572" s="1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16">
        <f>YEAR(Tabela32[[#This Row],[Data]])</f>
        <v>2026</v>
      </c>
      <c r="C573" s="1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16">
        <f>YEAR(Tabela32[[#This Row],[Data]])</f>
        <v>2026</v>
      </c>
      <c r="C574" s="1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16">
        <f>YEAR(Tabela32[[#This Row],[Data]])</f>
        <v>2026</v>
      </c>
      <c r="C575" s="1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16">
        <f>YEAR(Tabela32[[#This Row],[Data]])</f>
        <v>2026</v>
      </c>
      <c r="C576" s="1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16">
        <f>YEAR(Tabela32[[#This Row],[Data]])</f>
        <v>2026</v>
      </c>
      <c r="C577" s="1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16">
        <f>YEAR(Tabela32[[#This Row],[Data]])</f>
        <v>2026</v>
      </c>
      <c r="C578" s="1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16">
        <f>YEAR(Tabela32[[#This Row],[Data]])</f>
        <v>2026</v>
      </c>
      <c r="C579" s="1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16">
        <f>YEAR(Tabela32[[#This Row],[Data]])</f>
        <v>2026</v>
      </c>
      <c r="C580" s="1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16">
        <f>YEAR(Tabela32[[#This Row],[Data]])</f>
        <v>2026</v>
      </c>
      <c r="C581" s="1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16">
        <f>YEAR(Tabela32[[#This Row],[Data]])</f>
        <v>2026</v>
      </c>
      <c r="C582" s="1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16">
        <f>YEAR(Tabela32[[#This Row],[Data]])</f>
        <v>2026</v>
      </c>
      <c r="C583" s="1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16">
        <f>YEAR(Tabela32[[#This Row],[Data]])</f>
        <v>2026</v>
      </c>
      <c r="C584" s="1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16">
        <f>YEAR(Tabela32[[#This Row],[Data]])</f>
        <v>2026</v>
      </c>
      <c r="C585" s="1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16">
        <f>YEAR(Tabela32[[#This Row],[Data]])</f>
        <v>2026</v>
      </c>
      <c r="C586" s="1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16">
        <f>YEAR(Tabela32[[#This Row],[Data]])</f>
        <v>2026</v>
      </c>
      <c r="C587" s="1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16">
        <f>YEAR(Tabela32[[#This Row],[Data]])</f>
        <v>2026</v>
      </c>
      <c r="C588" s="1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  <row r="589" spans="1:25" x14ac:dyDescent="0.25">
      <c r="A589" s="8">
        <v>46315</v>
      </c>
      <c r="B589" s="16">
        <f>YEAR(Tabela32[[#This Row],[Data]])</f>
        <v>2026</v>
      </c>
      <c r="C589" s="16">
        <f>MONTH(Tabela32[[#This Row],[Data]])</f>
        <v>10</v>
      </c>
      <c r="D589" s="4" t="s">
        <v>22</v>
      </c>
      <c r="E589" s="4">
        <v>5</v>
      </c>
      <c r="F589" s="4" t="str">
        <f>IFERROR(VLOOKUP(Tabela32[[#This Row],[Placa]],Planilha2!$A$1:$B$12,2,0),"")</f>
        <v>Juscelino</v>
      </c>
      <c r="G589" s="10">
        <v>8910.6200000000008</v>
      </c>
      <c r="H589" s="10">
        <v>154705.03</v>
      </c>
      <c r="I589" s="4">
        <v>1791</v>
      </c>
      <c r="J589" s="17">
        <f>IFERROR(Tabela32[[#This Row],[Valor Frete]]/Tabela32[[#This Row],[Valor Mercadoria]],"")</f>
        <v>5.759748083174801E-2</v>
      </c>
      <c r="K589" s="11">
        <v>0.3125</v>
      </c>
      <c r="L589" s="15">
        <v>0.69166666666666665</v>
      </c>
      <c r="M589" s="15">
        <f>Tabela32[[#This Row],[Hr Chegada]]-Tabela32[[#This Row],[Hr Saida]]</f>
        <v>0.37916666666666665</v>
      </c>
      <c r="N589" s="4">
        <v>306713</v>
      </c>
      <c r="O589" s="4">
        <v>306802</v>
      </c>
      <c r="P589" s="4">
        <f>Tabela32[[#This Row],[Km Chegada]]-Tabela32[[#This Row],[Km Saída]]</f>
        <v>89</v>
      </c>
      <c r="Q589" s="4">
        <v>308</v>
      </c>
      <c r="R589" s="4">
        <v>14</v>
      </c>
      <c r="S589" s="4">
        <v>14</v>
      </c>
      <c r="T589" s="12">
        <f>Tabela32[[#This Row],[Entregas]]-Tabela32[[#This Row],[Realizadas]]</f>
        <v>0</v>
      </c>
      <c r="U589" s="18">
        <f>Tabela32[[#This Row],[Realizadas]]/Tabela32[[#This Row],[Entregas]]</f>
        <v>1</v>
      </c>
      <c r="V589" s="19" t="str">
        <f>IF(Tabela32[[#This Row],[% Entrega]]&gt;=96%,"Atendeu a Meta","Não Atendeu a Meta")</f>
        <v>Atendeu a Meta</v>
      </c>
      <c r="W589" s="4" t="s">
        <v>39</v>
      </c>
      <c r="X589" s="4">
        <v>0</v>
      </c>
      <c r="Y589" s="5">
        <v>0</v>
      </c>
    </row>
    <row r="590" spans="1:25" x14ac:dyDescent="0.25">
      <c r="A590" s="8">
        <v>46315</v>
      </c>
      <c r="B590" s="16">
        <f>YEAR(Tabela32[[#This Row],[Data]])</f>
        <v>2026</v>
      </c>
      <c r="C590" s="16">
        <f>MONTH(Tabela32[[#This Row],[Data]])</f>
        <v>10</v>
      </c>
      <c r="D590" s="4" t="s">
        <v>28</v>
      </c>
      <c r="E590" s="4">
        <v>11</v>
      </c>
      <c r="F590" s="4" t="str">
        <f>IFERROR(VLOOKUP(Tabela32[[#This Row],[Placa]],Planilha2!$A$1:$B$12,2,0),"")</f>
        <v>Edilson</v>
      </c>
      <c r="G590" s="10">
        <v>31294.400000000001</v>
      </c>
      <c r="H590" s="10">
        <v>774001.49</v>
      </c>
      <c r="I590" s="4">
        <v>6346</v>
      </c>
      <c r="J590" s="17">
        <f>IFERROR(Tabela32[[#This Row],[Valor Frete]]/Tabela32[[#This Row],[Valor Mercadoria]],"")</f>
        <v>4.0431963509527616E-2</v>
      </c>
      <c r="K590" s="11">
        <v>0.27083333333333331</v>
      </c>
      <c r="L590" s="15">
        <v>0.70833333333333337</v>
      </c>
      <c r="M590" s="15">
        <f>Tabela32[[#This Row],[Hr Chegada]]-Tabela32[[#This Row],[Hr Saida]]</f>
        <v>0.43750000000000006</v>
      </c>
      <c r="N590" s="4">
        <v>107711</v>
      </c>
      <c r="O590" s="4">
        <v>107835</v>
      </c>
      <c r="P590" s="4">
        <f>Tabela32[[#This Row],[Km Chegada]]-Tabela32[[#This Row],[Km Saída]]</f>
        <v>124</v>
      </c>
      <c r="Q590" s="4">
        <v>17</v>
      </c>
      <c r="R590" s="4">
        <v>1</v>
      </c>
      <c r="S590" s="4">
        <v>1</v>
      </c>
      <c r="T590" s="12">
        <f>Tabela32[[#This Row],[Entregas]]-Tabela32[[#This Row],[Realizadas]]</f>
        <v>0</v>
      </c>
      <c r="U590" s="18">
        <f>Tabela32[[#This Row],[Realizadas]]/Tabela32[[#This Row],[Entregas]]</f>
        <v>1</v>
      </c>
      <c r="V590" s="19" t="str">
        <f>IF(Tabela32[[#This Row],[% Entrega]]&gt;=96%,"Atendeu a Meta","Não Atendeu a Meta")</f>
        <v>Atendeu a Meta</v>
      </c>
      <c r="W590" s="4" t="s">
        <v>41</v>
      </c>
      <c r="X590" s="4">
        <v>0</v>
      </c>
      <c r="Y590" s="5">
        <v>0</v>
      </c>
    </row>
    <row r="591" spans="1:25" x14ac:dyDescent="0.25">
      <c r="A591" s="8">
        <v>46315</v>
      </c>
      <c r="B591" s="16">
        <f>YEAR(Tabela32[[#This Row],[Data]])</f>
        <v>2026</v>
      </c>
      <c r="C591" s="16">
        <f>MONTH(Tabela32[[#This Row],[Data]])</f>
        <v>10</v>
      </c>
      <c r="D591" s="4" t="s">
        <v>27</v>
      </c>
      <c r="E591" s="4">
        <v>3</v>
      </c>
      <c r="F591" s="4" t="str">
        <f>IFERROR(VLOOKUP(Tabela32[[#This Row],[Placa]],Planilha2!$A$1:$B$12,2,0),"")</f>
        <v>Rosinaldo</v>
      </c>
      <c r="G591" s="10">
        <v>10343.709999999999</v>
      </c>
      <c r="H591" s="10">
        <v>357847.19</v>
      </c>
      <c r="I591" s="4">
        <v>2447</v>
      </c>
      <c r="J591" s="17">
        <f>IFERROR(Tabela32[[#This Row],[Valor Frete]]/Tabela32[[#This Row],[Valor Mercadoria]],"")</f>
        <v>2.8905382769667688E-2</v>
      </c>
      <c r="K591" s="11">
        <v>0.29166666666666669</v>
      </c>
      <c r="L591" s="15">
        <v>0.73055555555555551</v>
      </c>
      <c r="M591" s="15">
        <f>Tabela32[[#This Row],[Hr Chegada]]-Tabela32[[#This Row],[Hr Saida]]</f>
        <v>0.43888888888888883</v>
      </c>
      <c r="N591" s="4">
        <v>292762</v>
      </c>
      <c r="O591" s="4">
        <v>292852</v>
      </c>
      <c r="P591" s="4">
        <f>Tabela32[[#This Row],[Km Chegada]]-Tabela32[[#This Row],[Km Saída]]</f>
        <v>90</v>
      </c>
      <c r="Q591" s="4">
        <v>271</v>
      </c>
      <c r="R591" s="4">
        <v>16</v>
      </c>
      <c r="S591" s="4">
        <v>16</v>
      </c>
      <c r="T591" s="12">
        <f>Tabela32[[#This Row],[Entregas]]-Tabela32[[#This Row],[Realizadas]]</f>
        <v>0</v>
      </c>
      <c r="U591" s="18">
        <f>Tabela32[[#This Row],[Realizadas]]/Tabela32[[#This Row],[Entregas]]</f>
        <v>1</v>
      </c>
      <c r="V591" s="19" t="str">
        <f>IF(Tabela32[[#This Row],[% Entrega]]&gt;=96%,"Atendeu a Meta","Não Atendeu a Meta")</f>
        <v>Atendeu a Meta</v>
      </c>
      <c r="W591" s="4" t="s">
        <v>39</v>
      </c>
      <c r="X591" s="4">
        <v>0</v>
      </c>
      <c r="Y591" s="5">
        <v>38</v>
      </c>
    </row>
    <row r="592" spans="1:25" x14ac:dyDescent="0.25">
      <c r="A592" s="8">
        <v>46315</v>
      </c>
      <c r="B592" s="16">
        <f>YEAR(Tabela32[[#This Row],[Data]])</f>
        <v>2026</v>
      </c>
      <c r="C592" s="16">
        <f>MONTH(Tabela32[[#This Row],[Data]])</f>
        <v>10</v>
      </c>
      <c r="D592" s="4" t="s">
        <v>33</v>
      </c>
      <c r="E592" s="4">
        <v>1</v>
      </c>
      <c r="F592" s="4" t="str">
        <f>IFERROR(VLOOKUP(Tabela32[[#This Row],[Placa]],Planilha2!$A$1:$B$12,2,0),"")</f>
        <v>Paulo</v>
      </c>
      <c r="G592" s="10">
        <v>4937.08</v>
      </c>
      <c r="H592" s="10">
        <v>53124.21</v>
      </c>
      <c r="I592" s="4">
        <v>671</v>
      </c>
      <c r="J592" s="17">
        <f>IFERROR(Tabela32[[#This Row],[Valor Frete]]/Tabela32[[#This Row],[Valor Mercadoria]],"")</f>
        <v>9.2934652581186619E-2</v>
      </c>
      <c r="K592" s="11">
        <v>0.29166666666666669</v>
      </c>
      <c r="L592" s="15">
        <v>0.69722222222222219</v>
      </c>
      <c r="M592" s="15">
        <f>Tabela32[[#This Row],[Hr Chegada]]-Tabela32[[#This Row],[Hr Saida]]</f>
        <v>0.4055555555555555</v>
      </c>
      <c r="N592" s="4">
        <v>157700</v>
      </c>
      <c r="O592" s="4">
        <v>157777</v>
      </c>
      <c r="P592" s="4">
        <f>Tabela32[[#This Row],[Km Chegada]]-Tabela32[[#This Row],[Km Saída]]</f>
        <v>77</v>
      </c>
      <c r="Q592" s="4">
        <v>87</v>
      </c>
      <c r="R592" s="4">
        <v>6</v>
      </c>
      <c r="S592" s="4">
        <v>6</v>
      </c>
      <c r="T592" s="12">
        <f>Tabela32[[#This Row],[Entregas]]-Tabela32[[#This Row],[Realizadas]]</f>
        <v>0</v>
      </c>
      <c r="U592" s="18">
        <f>Tabela32[[#This Row],[Realizadas]]/Tabela32[[#This Row],[Entregas]]</f>
        <v>1</v>
      </c>
      <c r="V592" s="19" t="str">
        <f>IF(Tabela32[[#This Row],[% Entrega]]&gt;=96%,"Atendeu a Meta","Não Atendeu a Meta")</f>
        <v>Atendeu a Meta</v>
      </c>
      <c r="W592" s="4" t="s">
        <v>40</v>
      </c>
      <c r="X592" s="4">
        <v>0</v>
      </c>
      <c r="Y592" s="5">
        <v>0</v>
      </c>
    </row>
    <row r="593" spans="1:25" x14ac:dyDescent="0.25">
      <c r="A593" s="8">
        <v>46315</v>
      </c>
      <c r="B593" s="16">
        <f>YEAR(Tabela32[[#This Row],[Data]])</f>
        <v>2026</v>
      </c>
      <c r="C593" s="16">
        <f>MONTH(Tabela32[[#This Row],[Data]])</f>
        <v>10</v>
      </c>
      <c r="D593" s="4" t="s">
        <v>35</v>
      </c>
      <c r="E593" s="4">
        <v>3</v>
      </c>
      <c r="F593" s="4" t="str">
        <f>IFERROR(VLOOKUP(Tabela32[[#This Row],[Placa]],Planilha2!$A$1:$B$12,2,0),"")</f>
        <v>Osvaldo</v>
      </c>
      <c r="G593" s="10">
        <v>11018.08</v>
      </c>
      <c r="H593" s="10">
        <v>296007.76</v>
      </c>
      <c r="I593" s="4">
        <v>1833</v>
      </c>
      <c r="J593" s="17">
        <f>IFERROR(Tabela32[[#This Row],[Valor Frete]]/Tabela32[[#This Row],[Valor Mercadoria]],"")</f>
        <v>3.72222674162326E-2</v>
      </c>
      <c r="K593" s="11">
        <v>0.30355324074074075</v>
      </c>
      <c r="L593" s="15">
        <v>0.71319444444444446</v>
      </c>
      <c r="M593" s="15">
        <f>Tabela32[[#This Row],[Hr Chegada]]-Tabela32[[#This Row],[Hr Saida]]</f>
        <v>0.40964120370370372</v>
      </c>
      <c r="N593" s="4">
        <v>145236</v>
      </c>
      <c r="O593" s="4">
        <v>145287</v>
      </c>
      <c r="P593" s="4">
        <f>Tabela32[[#This Row],[Km Chegada]]-Tabela32[[#This Row],[Km Saída]]</f>
        <v>51</v>
      </c>
      <c r="Q593" s="4">
        <v>380</v>
      </c>
      <c r="R593" s="4">
        <v>27</v>
      </c>
      <c r="S593" s="4">
        <v>27</v>
      </c>
      <c r="T593" s="12">
        <f>Tabela32[[#This Row],[Entregas]]-Tabela32[[#This Row],[Realizadas]]</f>
        <v>0</v>
      </c>
      <c r="U593" s="18">
        <f>Tabela32[[#This Row],[Realizadas]]/Tabela32[[#This Row],[Entregas]]</f>
        <v>1</v>
      </c>
      <c r="V593" s="19" t="str">
        <f>IF(Tabela32[[#This Row],[% Entrega]]&gt;=96%,"Atendeu a Meta","Não Atendeu a Meta")</f>
        <v>Atendeu a Meta</v>
      </c>
      <c r="W593" s="4" t="s">
        <v>39</v>
      </c>
      <c r="X593" s="4">
        <v>0</v>
      </c>
      <c r="Y593" s="5">
        <v>0</v>
      </c>
    </row>
    <row r="594" spans="1:25" x14ac:dyDescent="0.25">
      <c r="A594" s="8">
        <v>46315</v>
      </c>
      <c r="B594" s="16">
        <f>YEAR(Tabela32[[#This Row],[Data]])</f>
        <v>2026</v>
      </c>
      <c r="C594" s="16">
        <f>MONTH(Tabela32[[#This Row],[Data]])</f>
        <v>10</v>
      </c>
      <c r="D594" s="4" t="s">
        <v>29</v>
      </c>
      <c r="E594" s="4">
        <v>1</v>
      </c>
      <c r="F594" s="4" t="str">
        <f>IFERROR(VLOOKUP(Tabela32[[#This Row],[Placa]],Planilha2!$A$1:$B$12,2,0),"")</f>
        <v>Sandro</v>
      </c>
      <c r="G594" s="10">
        <v>8422.27</v>
      </c>
      <c r="H594" s="10">
        <v>108755.44</v>
      </c>
      <c r="I594" s="4">
        <v>1434</v>
      </c>
      <c r="J594" s="17">
        <f>IFERROR(Tabela32[[#This Row],[Valor Frete]]/Tabela32[[#This Row],[Valor Mercadoria]],"")</f>
        <v>7.744228702490652E-2</v>
      </c>
      <c r="K594" s="11">
        <v>0.3125</v>
      </c>
      <c r="L594" s="15">
        <v>0.76041666666666663</v>
      </c>
      <c r="M594" s="15">
        <f>Tabela32[[#This Row],[Hr Chegada]]-Tabela32[[#This Row],[Hr Saida]]</f>
        <v>0.44791666666666663</v>
      </c>
      <c r="N594" s="4">
        <v>277217</v>
      </c>
      <c r="O594" s="4">
        <v>277388</v>
      </c>
      <c r="P594" s="4">
        <f>Tabela32[[#This Row],[Km Chegada]]-Tabela32[[#This Row],[Km Saída]]</f>
        <v>171</v>
      </c>
      <c r="Q594" s="4">
        <v>161</v>
      </c>
      <c r="R594" s="4">
        <v>31</v>
      </c>
      <c r="S594" s="4">
        <v>31</v>
      </c>
      <c r="T594" s="12">
        <f>Tabela32[[#This Row],[Entregas]]-Tabela32[[#This Row],[Realizadas]]</f>
        <v>0</v>
      </c>
      <c r="U594" s="18">
        <f>Tabela32[[#This Row],[Realizadas]]/Tabela32[[#This Row],[Entregas]]</f>
        <v>1</v>
      </c>
      <c r="V594" s="19" t="str">
        <f>IF(Tabela32[[#This Row],[% Entrega]]&gt;=96%,"Atendeu a Meta","Não Atendeu a Meta")</f>
        <v>Atendeu a Meta</v>
      </c>
      <c r="W594" s="4" t="s">
        <v>40</v>
      </c>
      <c r="X594" s="4">
        <v>0</v>
      </c>
      <c r="Y594" s="5">
        <v>10</v>
      </c>
    </row>
    <row r="595" spans="1:25" x14ac:dyDescent="0.25">
      <c r="A595" s="8">
        <v>46315</v>
      </c>
      <c r="B595" s="16">
        <f>YEAR(Tabela32[[#This Row],[Data]])</f>
        <v>2026</v>
      </c>
      <c r="C595" s="16">
        <f>MONTH(Tabela32[[#This Row],[Data]])</f>
        <v>10</v>
      </c>
      <c r="D595" s="4" t="s">
        <v>31</v>
      </c>
      <c r="E595" s="4">
        <v>5</v>
      </c>
      <c r="F595" s="4" t="str">
        <f>IFERROR(VLOOKUP(Tabela32[[#This Row],[Placa]],Planilha2!$A$1:$B$12,2,0),"")</f>
        <v>Jerson</v>
      </c>
      <c r="G595" s="10">
        <v>10335.64</v>
      </c>
      <c r="H595" s="10">
        <v>126768.55</v>
      </c>
      <c r="I595" s="4">
        <v>1443</v>
      </c>
      <c r="J595" s="17">
        <f>IFERROR(Tabela32[[#This Row],[Valor Frete]]/Tabela32[[#This Row],[Valor Mercadoria]],"")</f>
        <v>8.1531578613149705E-2</v>
      </c>
      <c r="K595" s="11">
        <v>0.3125</v>
      </c>
      <c r="L595" s="15">
        <v>0.78125</v>
      </c>
      <c r="M595" s="15">
        <f>Tabela32[[#This Row],[Hr Chegada]]-Tabela32[[#This Row],[Hr Saida]]</f>
        <v>0.46875</v>
      </c>
      <c r="N595" s="4">
        <v>282336</v>
      </c>
      <c r="O595" s="4">
        <v>282391</v>
      </c>
      <c r="P595" s="4">
        <f>Tabela32[[#This Row],[Km Chegada]]-Tabela32[[#This Row],[Km Saída]]</f>
        <v>55</v>
      </c>
      <c r="Q595" s="4">
        <v>185</v>
      </c>
      <c r="R595" s="4">
        <v>30</v>
      </c>
      <c r="S595" s="4">
        <v>30</v>
      </c>
      <c r="T595" s="12">
        <f>Tabela32[[#This Row],[Entregas]]-Tabela32[[#This Row],[Realizadas]]</f>
        <v>0</v>
      </c>
      <c r="U595" s="18">
        <f>Tabela32[[#This Row],[Realizadas]]/Tabela32[[#This Row],[Entregas]]</f>
        <v>1</v>
      </c>
      <c r="V595" s="19" t="str">
        <f>IF(Tabela32[[#This Row],[% Entrega]]&gt;=96%,"Atendeu a Meta","Não Atendeu a Meta")</f>
        <v>Atendeu a Meta</v>
      </c>
      <c r="W595" s="4" t="s">
        <v>39</v>
      </c>
      <c r="X595" s="4">
        <v>0</v>
      </c>
      <c r="Y595" s="5">
        <v>0</v>
      </c>
    </row>
    <row r="596" spans="1:25" x14ac:dyDescent="0.25">
      <c r="A596" s="8">
        <v>46315</v>
      </c>
      <c r="B596" s="16">
        <f>YEAR(Tabela32[[#This Row],[Data]])</f>
        <v>2026</v>
      </c>
      <c r="C596" s="16">
        <f>MONTH(Tabela32[[#This Row],[Data]])</f>
        <v>10</v>
      </c>
      <c r="D596" s="4" t="s">
        <v>23</v>
      </c>
      <c r="E596" s="4">
        <v>1</v>
      </c>
      <c r="F596" s="4" t="str">
        <f>IFERROR(VLOOKUP(Tabela32[[#This Row],[Placa]],Planilha2!$A$1:$B$12,2,0),"")</f>
        <v>William</v>
      </c>
      <c r="G596" s="10">
        <v>11945.55</v>
      </c>
      <c r="H596" s="10">
        <v>159995.82</v>
      </c>
      <c r="I596" s="4">
        <v>2035</v>
      </c>
      <c r="J596" s="17">
        <f>IFERROR(Tabela32[[#This Row],[Valor Frete]]/Tabela32[[#This Row],[Valor Mercadoria]],"")</f>
        <v>7.4661638035293659E-2</v>
      </c>
      <c r="K596" s="11">
        <v>0.3125</v>
      </c>
      <c r="L596" s="15">
        <v>0.78472222222222221</v>
      </c>
      <c r="M596" s="15">
        <f>Tabela32[[#This Row],[Hr Chegada]]-Tabela32[[#This Row],[Hr Saida]]</f>
        <v>0.47222222222222221</v>
      </c>
      <c r="N596" s="4">
        <v>127326</v>
      </c>
      <c r="O596" s="4">
        <v>127397</v>
      </c>
      <c r="P596" s="4">
        <f>Tabela32[[#This Row],[Km Chegada]]-Tabela32[[#This Row],[Km Saída]]</f>
        <v>71</v>
      </c>
      <c r="Q596" s="4">
        <v>277</v>
      </c>
      <c r="R596" s="4">
        <v>28</v>
      </c>
      <c r="S596" s="4">
        <v>28</v>
      </c>
      <c r="T596" s="12">
        <f>Tabela32[[#This Row],[Entregas]]-Tabela32[[#This Row],[Realizadas]]</f>
        <v>0</v>
      </c>
      <c r="U596" s="18">
        <f>Tabela32[[#This Row],[Realizadas]]/Tabela32[[#This Row],[Entregas]]</f>
        <v>1</v>
      </c>
      <c r="V596" s="19" t="str">
        <f>IF(Tabela32[[#This Row],[% Entrega]]&gt;=96%,"Atendeu a Meta","Não Atendeu a Meta")</f>
        <v>Atendeu a Meta</v>
      </c>
      <c r="W596" s="4" t="s">
        <v>43</v>
      </c>
      <c r="X596" s="4">
        <v>1</v>
      </c>
      <c r="Y596" s="5">
        <v>27</v>
      </c>
    </row>
    <row r="597" spans="1:25" x14ac:dyDescent="0.25">
      <c r="A597" s="8">
        <v>46315</v>
      </c>
      <c r="B597" s="16">
        <f>YEAR(Tabela32[[#This Row],[Data]])</f>
        <v>2026</v>
      </c>
      <c r="C597" s="16">
        <f>MONTH(Tabela32[[#This Row],[Data]])</f>
        <v>10</v>
      </c>
      <c r="D597" s="4" t="s">
        <v>53</v>
      </c>
      <c r="E597" s="4">
        <v>11</v>
      </c>
      <c r="F597" s="4" t="str">
        <f>IFERROR(VLOOKUP(Tabela32[[#This Row],[Placa]],Planilha2!$A$1:$B$12,2,0),"")</f>
        <v>Arnaldo</v>
      </c>
      <c r="G597" s="10">
        <v>12821.04</v>
      </c>
      <c r="H597" s="10">
        <v>228080.39</v>
      </c>
      <c r="I597" s="4">
        <v>2382</v>
      </c>
      <c r="J597" s="17">
        <f>IFERROR(Tabela32[[#This Row],[Valor Frete]]/Tabela32[[#This Row],[Valor Mercadoria]],"")</f>
        <v>5.6212811631898736E-2</v>
      </c>
      <c r="K597" s="11">
        <v>0.27430555555555558</v>
      </c>
      <c r="L597" s="15">
        <v>0.78125</v>
      </c>
      <c r="M597" s="15">
        <f>Tabela32[[#This Row],[Hr Chegada]]-Tabela32[[#This Row],[Hr Saida]]</f>
        <v>0.50694444444444442</v>
      </c>
      <c r="N597" s="4">
        <v>15040</v>
      </c>
      <c r="O597" s="4">
        <v>15182</v>
      </c>
      <c r="P597" s="4">
        <f>Tabela32[[#This Row],[Km Chegada]]-Tabela32[[#This Row],[Km Saída]]</f>
        <v>142</v>
      </c>
      <c r="Q597" s="4">
        <v>510</v>
      </c>
      <c r="R597" s="4">
        <v>35</v>
      </c>
      <c r="S597" s="4">
        <v>35</v>
      </c>
      <c r="T597" s="12">
        <f>Tabela32[[#This Row],[Entregas]]-Tabela32[[#This Row],[Realizadas]]</f>
        <v>0</v>
      </c>
      <c r="U597" s="18">
        <f>Tabela32[[#This Row],[Realizadas]]/Tabela32[[#This Row],[Entregas]]</f>
        <v>1</v>
      </c>
      <c r="V597" s="19" t="str">
        <f>IF(Tabela32[[#This Row],[% Entrega]]&gt;=96%,"Atendeu a Meta","Não Atendeu a Meta")</f>
        <v>Atendeu a Meta</v>
      </c>
      <c r="W597" s="4" t="s">
        <v>41</v>
      </c>
      <c r="X597" s="4">
        <v>0</v>
      </c>
      <c r="Y597" s="5">
        <v>38</v>
      </c>
    </row>
    <row r="598" spans="1:25" x14ac:dyDescent="0.25">
      <c r="A598" s="8">
        <v>46316</v>
      </c>
      <c r="B598" s="16">
        <f>YEAR(Tabela32[[#This Row],[Data]])</f>
        <v>2026</v>
      </c>
      <c r="C598" s="16">
        <f>MONTH(Tabela32[[#This Row],[Data]])</f>
        <v>10</v>
      </c>
      <c r="D598" s="4" t="s">
        <v>25</v>
      </c>
      <c r="E598" s="4">
        <v>2</v>
      </c>
      <c r="F598" s="4" t="str">
        <f>IFERROR(VLOOKUP(Tabela32[[#This Row],[Placa]],Planilha2!$A$1:$B$12,2,0),"")</f>
        <v>Gilberto</v>
      </c>
      <c r="G598" s="10">
        <v>11456.15</v>
      </c>
      <c r="H598" s="10">
        <v>127013.88</v>
      </c>
      <c r="I598" s="4">
        <v>1411</v>
      </c>
      <c r="J598" s="17">
        <f>IFERROR(Tabela32[[#This Row],[Valor Frete]]/Tabela32[[#This Row],[Valor Mercadoria]],"")</f>
        <v>9.0196047865004986E-2</v>
      </c>
      <c r="K598" s="11">
        <v>0.29166666666666669</v>
      </c>
      <c r="L598" s="15">
        <v>0.70833333333333337</v>
      </c>
      <c r="M598" s="15">
        <f>Tabela32[[#This Row],[Hr Chegada]]-Tabela32[[#This Row],[Hr Saida]]</f>
        <v>0.41666666666666669</v>
      </c>
      <c r="N598" s="4">
        <v>121274</v>
      </c>
      <c r="O598" s="4">
        <v>121338</v>
      </c>
      <c r="P598" s="4">
        <f>Tabela32[[#This Row],[Km Chegada]]-Tabela32[[#This Row],[Km Saída]]</f>
        <v>64</v>
      </c>
      <c r="Q598" s="4">
        <v>262</v>
      </c>
      <c r="R598" s="4">
        <v>41</v>
      </c>
      <c r="S598" s="4">
        <v>41</v>
      </c>
      <c r="T598" s="12">
        <f>Tabela32[[#This Row],[Entregas]]-Tabela32[[#This Row],[Realizadas]]</f>
        <v>0</v>
      </c>
      <c r="U598" s="18">
        <f>Tabela32[[#This Row],[Realizadas]]/Tabela32[[#This Row],[Entregas]]</f>
        <v>1</v>
      </c>
      <c r="V598" s="19" t="str">
        <f>IF(Tabela32[[#This Row],[% Entrega]]&gt;=96%,"Atendeu a Meta","Não Atendeu a Meta")</f>
        <v>Atendeu a Meta</v>
      </c>
      <c r="W598" s="4" t="s">
        <v>39</v>
      </c>
      <c r="X598" s="4">
        <v>0</v>
      </c>
      <c r="Y598" s="5">
        <v>0</v>
      </c>
    </row>
    <row r="599" spans="1:25" x14ac:dyDescent="0.25">
      <c r="A599" s="8">
        <v>46316</v>
      </c>
      <c r="B599" s="16">
        <f>YEAR(Tabela32[[#This Row],[Data]])</f>
        <v>2026</v>
      </c>
      <c r="C599" s="16">
        <f>MONTH(Tabela32[[#This Row],[Data]])</f>
        <v>10</v>
      </c>
      <c r="D599" s="4" t="s">
        <v>22</v>
      </c>
      <c r="E599" s="4">
        <v>1</v>
      </c>
      <c r="F599" s="4" t="str">
        <f>IFERROR(VLOOKUP(Tabela32[[#This Row],[Placa]],Planilha2!$A$1:$B$12,2,0),"")</f>
        <v>Juscelino</v>
      </c>
      <c r="G599" s="10">
        <v>7360.57</v>
      </c>
      <c r="H599" s="10">
        <v>284340.5</v>
      </c>
      <c r="I599" s="4">
        <v>2078</v>
      </c>
      <c r="J599" s="17">
        <f>IFERROR(Tabela32[[#This Row],[Valor Frete]]/Tabela32[[#This Row],[Valor Mercadoria]],"")</f>
        <v>2.5886463588549641E-2</v>
      </c>
      <c r="K599" s="11">
        <v>0.3125</v>
      </c>
      <c r="L599" s="15">
        <v>0.75694444444444442</v>
      </c>
      <c r="M599" s="15">
        <f>Tabela32[[#This Row],[Hr Chegada]]-Tabela32[[#This Row],[Hr Saida]]</f>
        <v>0.44444444444444442</v>
      </c>
      <c r="N599" s="4">
        <v>306802</v>
      </c>
      <c r="O599" s="4">
        <v>306844</v>
      </c>
      <c r="P599" s="4">
        <f>Tabela32[[#This Row],[Km Chegada]]-Tabela32[[#This Row],[Km Saída]]</f>
        <v>42</v>
      </c>
      <c r="Q599" s="4">
        <v>314</v>
      </c>
      <c r="R599" s="4">
        <v>2</v>
      </c>
      <c r="S599" s="4">
        <v>2</v>
      </c>
      <c r="T599" s="12">
        <f>Tabela32[[#This Row],[Entregas]]-Tabela32[[#This Row],[Realizadas]]</f>
        <v>0</v>
      </c>
      <c r="U599" s="18">
        <f>Tabela32[[#This Row],[Realizadas]]/Tabela32[[#This Row],[Entregas]]</f>
        <v>1</v>
      </c>
      <c r="V599" s="19" t="str">
        <f>IF(Tabela32[[#This Row],[% Entrega]]&gt;=96%,"Atendeu a Meta","Não Atendeu a Meta")</f>
        <v>Atendeu a Meta</v>
      </c>
      <c r="W599" s="4" t="s">
        <v>43</v>
      </c>
      <c r="X599" s="4">
        <v>0</v>
      </c>
      <c r="Y599" s="5">
        <v>0</v>
      </c>
    </row>
    <row r="600" spans="1:25" x14ac:dyDescent="0.25">
      <c r="A600" s="8">
        <v>46316</v>
      </c>
      <c r="B600" s="16">
        <f>YEAR(Tabela32[[#This Row],[Data]])</f>
        <v>2026</v>
      </c>
      <c r="C600" s="16">
        <f>MONTH(Tabela32[[#This Row],[Data]])</f>
        <v>10</v>
      </c>
      <c r="D600" s="4" t="s">
        <v>29</v>
      </c>
      <c r="E600" s="4">
        <v>1</v>
      </c>
      <c r="F600" s="4" t="str">
        <f>IFERROR(VLOOKUP(Tabela32[[#This Row],[Placa]],Planilha2!$A$1:$B$12,2,0),"")</f>
        <v>Sandro</v>
      </c>
      <c r="G600" s="10">
        <v>2004.41</v>
      </c>
      <c r="H600" s="10">
        <v>24964.32</v>
      </c>
      <c r="I600" s="4">
        <v>246</v>
      </c>
      <c r="J600" s="17">
        <f>IFERROR(Tabela32[[#This Row],[Valor Frete]]/Tabela32[[#This Row],[Valor Mercadoria]],"")</f>
        <v>8.0290991302787343E-2</v>
      </c>
      <c r="K600" s="11">
        <v>0.29166666666666669</v>
      </c>
      <c r="L600" s="15">
        <v>0.57291666666666663</v>
      </c>
      <c r="M600" s="15">
        <f>Tabela32[[#This Row],[Hr Chegada]]-Tabela32[[#This Row],[Hr Saida]]</f>
        <v>0.28124999999999994</v>
      </c>
      <c r="N600" s="4">
        <v>277388</v>
      </c>
      <c r="O600" s="4">
        <v>277431</v>
      </c>
      <c r="P600" s="4">
        <f>Tabela32[[#This Row],[Km Chegada]]-Tabela32[[#This Row],[Km Saída]]</f>
        <v>43</v>
      </c>
      <c r="Q600" s="4">
        <v>87</v>
      </c>
      <c r="R600" s="4">
        <v>2</v>
      </c>
      <c r="S600" s="4">
        <v>2</v>
      </c>
      <c r="T600" s="12">
        <f>Tabela32[[#This Row],[Entregas]]-Tabela32[[#This Row],[Realizadas]]</f>
        <v>0</v>
      </c>
      <c r="U600" s="18">
        <f>Tabela32[[#This Row],[Realizadas]]/Tabela32[[#This Row],[Entregas]]</f>
        <v>1</v>
      </c>
      <c r="V600" s="19" t="str">
        <f>IF(Tabela32[[#This Row],[% Entrega]]&gt;=96%,"Atendeu a Meta","Não Atendeu a Meta")</f>
        <v>Atendeu a Meta</v>
      </c>
      <c r="W600" s="4" t="s">
        <v>40</v>
      </c>
      <c r="X600" s="4">
        <v>0</v>
      </c>
      <c r="Y600" s="5">
        <v>0</v>
      </c>
    </row>
    <row r="601" spans="1:25" x14ac:dyDescent="0.25">
      <c r="A601" s="8">
        <v>46316</v>
      </c>
      <c r="B601" s="16">
        <f>YEAR(Tabela32[[#This Row],[Data]])</f>
        <v>2026</v>
      </c>
      <c r="C601" s="16">
        <f>MONTH(Tabela32[[#This Row],[Data]])</f>
        <v>10</v>
      </c>
      <c r="D601" s="4" t="s">
        <v>23</v>
      </c>
      <c r="E601" s="4">
        <v>1</v>
      </c>
      <c r="F601" s="4" t="str">
        <f>IFERROR(VLOOKUP(Tabela32[[#This Row],[Placa]],Planilha2!$A$1:$B$12,2,0),"")</f>
        <v>William</v>
      </c>
      <c r="G601" s="10">
        <v>10373.64</v>
      </c>
      <c r="H601" s="10">
        <v>216225.6</v>
      </c>
      <c r="I601" s="4">
        <v>5113</v>
      </c>
      <c r="J601" s="17">
        <f>IFERROR(Tabela32[[#This Row],[Valor Frete]]/Tabela32[[#This Row],[Valor Mercadoria]],"")</f>
        <v>4.7976002841476677E-2</v>
      </c>
      <c r="K601" s="11">
        <v>0.3125</v>
      </c>
      <c r="L601" s="15">
        <v>0.75208333333333333</v>
      </c>
      <c r="M601" s="15">
        <f>Tabela32[[#This Row],[Hr Chegada]]-Tabela32[[#This Row],[Hr Saida]]</f>
        <v>0.43958333333333333</v>
      </c>
      <c r="N601" s="4">
        <v>127397</v>
      </c>
      <c r="O601" s="4">
        <v>127439</v>
      </c>
      <c r="P601" s="4">
        <f>Tabela32[[#This Row],[Km Chegada]]-Tabela32[[#This Row],[Km Saída]]</f>
        <v>42</v>
      </c>
      <c r="Q601" s="4">
        <v>374</v>
      </c>
      <c r="R601" s="4">
        <v>6</v>
      </c>
      <c r="S601" s="4">
        <v>6</v>
      </c>
      <c r="T601" s="12">
        <f>Tabela32[[#This Row],[Entregas]]-Tabela32[[#This Row],[Realizadas]]</f>
        <v>0</v>
      </c>
      <c r="U601" s="18">
        <f>Tabela32[[#This Row],[Realizadas]]/Tabela32[[#This Row],[Entregas]]</f>
        <v>1</v>
      </c>
      <c r="V601" s="19" t="str">
        <f>IF(Tabela32[[#This Row],[% Entrega]]&gt;=96%,"Atendeu a Meta","Não Atendeu a Meta")</f>
        <v>Atendeu a Meta</v>
      </c>
      <c r="W601" s="4" t="s">
        <v>43</v>
      </c>
      <c r="X601" s="4">
        <v>0</v>
      </c>
      <c r="Y601" s="5">
        <v>0</v>
      </c>
    </row>
    <row r="602" spans="1:25" x14ac:dyDescent="0.25">
      <c r="A602" s="8">
        <v>46316</v>
      </c>
      <c r="B602" s="16">
        <f>YEAR(Tabela32[[#This Row],[Data]])</f>
        <v>2026</v>
      </c>
      <c r="C602" s="16">
        <f>MONTH(Tabela32[[#This Row],[Data]])</f>
        <v>10</v>
      </c>
      <c r="D602" s="4" t="s">
        <v>35</v>
      </c>
      <c r="E602" s="4">
        <v>3</v>
      </c>
      <c r="F602" s="4" t="str">
        <f>IFERROR(VLOOKUP(Tabela32[[#This Row],[Placa]],Planilha2!$A$1:$B$12,2,0),"")</f>
        <v>Osvaldo</v>
      </c>
      <c r="G602" s="10">
        <v>6256.37</v>
      </c>
      <c r="H602" s="10">
        <v>105039.2</v>
      </c>
      <c r="I602" s="4">
        <v>826</v>
      </c>
      <c r="J602" s="17">
        <f>IFERROR(Tabela32[[#This Row],[Valor Frete]]/Tabela32[[#This Row],[Valor Mercadoria]],"")</f>
        <v>5.9562239621017678E-2</v>
      </c>
      <c r="K602" s="11">
        <v>0.29166666666666669</v>
      </c>
      <c r="L602" s="15">
        <v>0.70347222222222228</v>
      </c>
      <c r="M602" s="15">
        <f>Tabela32[[#This Row],[Hr Chegada]]-Tabela32[[#This Row],[Hr Saida]]</f>
        <v>0.41180555555555559</v>
      </c>
      <c r="N602" s="4">
        <v>145287</v>
      </c>
      <c r="O602" s="4">
        <v>145355</v>
      </c>
      <c r="P602" s="4">
        <f>Tabela32[[#This Row],[Km Chegada]]-Tabela32[[#This Row],[Km Saída]]</f>
        <v>68</v>
      </c>
      <c r="Q602" s="4">
        <v>142</v>
      </c>
      <c r="R602" s="4">
        <v>13</v>
      </c>
      <c r="S602" s="4">
        <v>13</v>
      </c>
      <c r="T602" s="12">
        <f>Tabela32[[#This Row],[Entregas]]-Tabela32[[#This Row],[Realizadas]]</f>
        <v>0</v>
      </c>
      <c r="U602" s="18">
        <f>Tabela32[[#This Row],[Realizadas]]/Tabela32[[#This Row],[Entregas]]</f>
        <v>1</v>
      </c>
      <c r="V602" s="19" t="str">
        <f>IF(Tabela32[[#This Row],[% Entrega]]&gt;=96%,"Atendeu a Meta","Não Atendeu a Meta")</f>
        <v>Atendeu a Meta</v>
      </c>
      <c r="W602" s="4" t="s">
        <v>39</v>
      </c>
      <c r="X602" s="4">
        <v>0</v>
      </c>
      <c r="Y602" s="5">
        <v>0</v>
      </c>
    </row>
    <row r="603" spans="1:25" x14ac:dyDescent="0.25">
      <c r="A603" s="8">
        <v>46316</v>
      </c>
      <c r="B603" s="16">
        <f>YEAR(Tabela32[[#This Row],[Data]])</f>
        <v>2026</v>
      </c>
      <c r="C603" s="16">
        <f>MONTH(Tabela32[[#This Row],[Data]])</f>
        <v>10</v>
      </c>
      <c r="D603" s="4" t="s">
        <v>27</v>
      </c>
      <c r="E603" s="4">
        <v>4</v>
      </c>
      <c r="F603" s="4" t="str">
        <f>IFERROR(VLOOKUP(Tabela32[[#This Row],[Placa]],Planilha2!$A$1:$B$12,2,0),"")</f>
        <v>Rosinaldo</v>
      </c>
      <c r="G603" s="10">
        <v>9152.48</v>
      </c>
      <c r="H603" s="10">
        <v>190013.36</v>
      </c>
      <c r="I603" s="4">
        <v>1860</v>
      </c>
      <c r="J603" s="17">
        <f>IFERROR(Tabela32[[#This Row],[Valor Frete]]/Tabela32[[#This Row],[Valor Mercadoria]],"")</f>
        <v>4.8167560428382508E-2</v>
      </c>
      <c r="K603" s="11">
        <v>0.29166666666666669</v>
      </c>
      <c r="L603" s="15">
        <v>0.74791666666666667</v>
      </c>
      <c r="M603" s="15">
        <f>Tabela32[[#This Row],[Hr Chegada]]-Tabela32[[#This Row],[Hr Saida]]</f>
        <v>0.45624999999999999</v>
      </c>
      <c r="N603" s="4">
        <v>292822</v>
      </c>
      <c r="O603" s="4">
        <v>292922</v>
      </c>
      <c r="P603" s="4">
        <f>Tabela32[[#This Row],[Km Chegada]]-Tabela32[[#This Row],[Km Saída]]</f>
        <v>100</v>
      </c>
      <c r="Q603" s="4">
        <v>288</v>
      </c>
      <c r="R603" s="4">
        <v>34</v>
      </c>
      <c r="S603" s="4">
        <v>34</v>
      </c>
      <c r="T603" s="12">
        <f>Tabela32[[#This Row],[Entregas]]-Tabela32[[#This Row],[Realizadas]]</f>
        <v>0</v>
      </c>
      <c r="U603" s="18">
        <f>Tabela32[[#This Row],[Realizadas]]/Tabela32[[#This Row],[Entregas]]</f>
        <v>1</v>
      </c>
      <c r="V603" s="19" t="str">
        <f>IF(Tabela32[[#This Row],[% Entrega]]&gt;=96%,"Atendeu a Meta","Não Atendeu a Meta")</f>
        <v>Atendeu a Meta</v>
      </c>
      <c r="W603" s="4" t="s">
        <v>39</v>
      </c>
      <c r="X603" s="4">
        <v>0</v>
      </c>
      <c r="Y603" s="5">
        <v>0</v>
      </c>
    </row>
    <row r="604" spans="1:25" x14ac:dyDescent="0.25">
      <c r="A604" s="8">
        <v>46316</v>
      </c>
      <c r="B604" s="16">
        <f>YEAR(Tabela32[[#This Row],[Data]])</f>
        <v>2026</v>
      </c>
      <c r="C604" s="16">
        <f>MONTH(Tabela32[[#This Row],[Data]])</f>
        <v>10</v>
      </c>
      <c r="D604" s="4" t="s">
        <v>53</v>
      </c>
      <c r="E604" s="4">
        <v>11</v>
      </c>
      <c r="F604" s="4" t="str">
        <f>IFERROR(VLOOKUP(Tabela32[[#This Row],[Placa]],Planilha2!$A$1:$B$12,2,0),"")</f>
        <v>Arnaldo</v>
      </c>
      <c r="G604" s="10">
        <v>12293.29</v>
      </c>
      <c r="H604" s="10">
        <v>173218.38</v>
      </c>
      <c r="I604" s="4">
        <v>1625</v>
      </c>
      <c r="J604" s="17">
        <f>IFERROR(Tabela32[[#This Row],[Valor Frete]]/Tabela32[[#This Row],[Valor Mercadoria]],"")</f>
        <v>7.0969893610597218E-2</v>
      </c>
      <c r="K604" s="11">
        <v>0.28472222222222221</v>
      </c>
      <c r="L604" s="15">
        <v>0.77569444444444446</v>
      </c>
      <c r="M604" s="15">
        <f>Tabela32[[#This Row],[Hr Chegada]]-Tabela32[[#This Row],[Hr Saida]]</f>
        <v>0.49097222222222225</v>
      </c>
      <c r="N604" s="4">
        <v>15182</v>
      </c>
      <c r="O604" s="4">
        <v>15322</v>
      </c>
      <c r="P604" s="4">
        <f>Tabela32[[#This Row],[Km Chegada]]-Tabela32[[#This Row],[Km Saída]]</f>
        <v>140</v>
      </c>
      <c r="Q604" s="4">
        <v>199</v>
      </c>
      <c r="R604" s="4">
        <v>35</v>
      </c>
      <c r="S604" s="4">
        <v>35</v>
      </c>
      <c r="T604" s="12">
        <f>Tabela32[[#This Row],[Entregas]]-Tabela32[[#This Row],[Realizadas]]</f>
        <v>0</v>
      </c>
      <c r="U604" s="18">
        <f>Tabela32[[#This Row],[Realizadas]]/Tabela32[[#This Row],[Entregas]]</f>
        <v>1</v>
      </c>
      <c r="V604" s="19" t="str">
        <f>IF(Tabela32[[#This Row],[% Entrega]]&gt;=96%,"Atendeu a Meta","Não Atendeu a Meta")</f>
        <v>Atendeu a Meta</v>
      </c>
      <c r="W604" s="4" t="s">
        <v>41</v>
      </c>
      <c r="X604" s="4">
        <v>0</v>
      </c>
      <c r="Y604" s="5">
        <v>0</v>
      </c>
    </row>
    <row r="605" spans="1:25" x14ac:dyDescent="0.25">
      <c r="A605" s="8">
        <v>46316</v>
      </c>
      <c r="B605" s="16">
        <f>YEAR(Tabela32[[#This Row],[Data]])</f>
        <v>2026</v>
      </c>
      <c r="C605" s="16">
        <f>MONTH(Tabela32[[#This Row],[Data]])</f>
        <v>10</v>
      </c>
      <c r="D605" s="4" t="s">
        <v>29</v>
      </c>
      <c r="E605" s="4">
        <v>4</v>
      </c>
      <c r="F605" s="4" t="str">
        <f>IFERROR(VLOOKUP(Tabela32[[#This Row],[Placa]],Planilha2!$A$1:$B$12,2,0),"")</f>
        <v>Sandro</v>
      </c>
      <c r="G605" s="10">
        <v>2880.48</v>
      </c>
      <c r="H605" s="10">
        <v>49041.02</v>
      </c>
      <c r="I605" s="4">
        <v>408</v>
      </c>
      <c r="J605" s="17">
        <f>IFERROR(Tabela32[[#This Row],[Valor Frete]]/Tabela32[[#This Row],[Valor Mercadoria]],"")</f>
        <v>5.8736135586086917E-2</v>
      </c>
      <c r="K605" s="11">
        <v>0.5625</v>
      </c>
      <c r="L605" s="15">
        <v>0.77638888888888891</v>
      </c>
      <c r="M605" s="15">
        <f>Tabela32[[#This Row],[Hr Chegada]]-Tabela32[[#This Row],[Hr Saida]]</f>
        <v>0.21388888888888891</v>
      </c>
      <c r="N605" s="4">
        <v>277431</v>
      </c>
      <c r="O605" s="4">
        <v>277494</v>
      </c>
      <c r="P605" s="4">
        <f>Tabela32[[#This Row],[Km Chegada]]-Tabela32[[#This Row],[Km Saída]]</f>
        <v>63</v>
      </c>
      <c r="Q605" s="4">
        <v>54</v>
      </c>
      <c r="R605" s="4">
        <v>6</v>
      </c>
      <c r="S605" s="4">
        <v>6</v>
      </c>
      <c r="T605" s="12">
        <f>Tabela32[[#This Row],[Entregas]]-Tabela32[[#This Row],[Realizadas]]</f>
        <v>0</v>
      </c>
      <c r="U605" s="18">
        <f>Tabela32[[#This Row],[Realizadas]]/Tabela32[[#This Row],[Entregas]]</f>
        <v>1</v>
      </c>
      <c r="V605" s="19" t="str">
        <f>IF(Tabela32[[#This Row],[% Entrega]]&gt;=96%,"Atendeu a Meta","Não Atendeu a Meta")</f>
        <v>Atendeu a Meta</v>
      </c>
      <c r="W605" s="4" t="s">
        <v>39</v>
      </c>
      <c r="X605" s="4">
        <v>0</v>
      </c>
      <c r="Y605" s="5">
        <v>0</v>
      </c>
    </row>
    <row r="606" spans="1:25" x14ac:dyDescent="0.25">
      <c r="A606" s="8">
        <v>46316</v>
      </c>
      <c r="B606" s="16">
        <f>YEAR(Tabela32[[#This Row],[Data]])</f>
        <v>2026</v>
      </c>
      <c r="C606" s="16">
        <f>MONTH(Tabela32[[#This Row],[Data]])</f>
        <v>10</v>
      </c>
      <c r="D606" s="4" t="s">
        <v>28</v>
      </c>
      <c r="E606" s="4">
        <v>5</v>
      </c>
      <c r="F606" s="4" t="str">
        <f>IFERROR(VLOOKUP(Tabela32[[#This Row],[Placa]],Planilha2!$A$1:$B$12,2,0),"")</f>
        <v>Edilson</v>
      </c>
      <c r="G606" s="10">
        <v>32903.57</v>
      </c>
      <c r="H606" s="10">
        <v>895953.75</v>
      </c>
      <c r="I606" s="4">
        <v>4165</v>
      </c>
      <c r="J606" s="17">
        <f>IFERROR(Tabela32[[#This Row],[Valor Frete]]/Tabela32[[#This Row],[Valor Mercadoria]],"")</f>
        <v>3.6724630038101856E-2</v>
      </c>
      <c r="K606" s="11">
        <v>0.27083333333333331</v>
      </c>
      <c r="L606" s="15">
        <v>0.71875</v>
      </c>
      <c r="M606" s="15">
        <f>Tabela32[[#This Row],[Hr Chegada]]-Tabela32[[#This Row],[Hr Saida]]</f>
        <v>0.44791666666666669</v>
      </c>
      <c r="N606" s="4">
        <v>107835</v>
      </c>
      <c r="O606" s="4">
        <v>107861</v>
      </c>
      <c r="P606" s="4">
        <f>Tabela32[[#This Row],[Km Chegada]]-Tabela32[[#This Row],[Km Saída]]</f>
        <v>26</v>
      </c>
      <c r="Q606" s="4">
        <v>795</v>
      </c>
      <c r="R606" s="4">
        <v>11</v>
      </c>
      <c r="S606" s="4">
        <v>11</v>
      </c>
      <c r="T606" s="12">
        <f>Tabela32[[#This Row],[Entregas]]-Tabela32[[#This Row],[Realizadas]]</f>
        <v>0</v>
      </c>
      <c r="U606" s="18">
        <f>Tabela32[[#This Row],[Realizadas]]/Tabela32[[#This Row],[Entregas]]</f>
        <v>1</v>
      </c>
      <c r="V606" s="19" t="str">
        <f>IF(Tabela32[[#This Row],[% Entrega]]&gt;=96%,"Atendeu a Meta","Não Atendeu a Meta")</f>
        <v>Atendeu a Meta</v>
      </c>
      <c r="W606" s="4" t="s">
        <v>39</v>
      </c>
      <c r="X606" s="4">
        <v>0</v>
      </c>
      <c r="Y606" s="5">
        <v>0</v>
      </c>
    </row>
    <row r="607" spans="1:25" x14ac:dyDescent="0.25">
      <c r="A607" s="8">
        <v>46316</v>
      </c>
      <c r="B607" s="16">
        <f>YEAR(Tabela32[[#This Row],[Data]])</f>
        <v>2026</v>
      </c>
      <c r="C607" s="16">
        <f>MONTH(Tabela32[[#This Row],[Data]])</f>
        <v>10</v>
      </c>
      <c r="D607" s="4" t="s">
        <v>33</v>
      </c>
      <c r="E607" s="4">
        <v>1</v>
      </c>
      <c r="F607" s="4" t="str">
        <f>IFERROR(VLOOKUP(Tabela32[[#This Row],[Placa]],Planilha2!$A$1:$B$12,2,0),"")</f>
        <v>Paulo</v>
      </c>
      <c r="G607" s="10">
        <v>2705.44</v>
      </c>
      <c r="H607" s="10">
        <v>29614.84</v>
      </c>
      <c r="I607" s="4">
        <v>331</v>
      </c>
      <c r="J607" s="17">
        <f>IFERROR(Tabela32[[#This Row],[Valor Frete]]/Tabela32[[#This Row],[Valor Mercadoria]],"")</f>
        <v>9.1354199448654791E-2</v>
      </c>
      <c r="K607" s="11">
        <v>0.54236111111111107</v>
      </c>
      <c r="L607" s="15">
        <v>0.82291666666666663</v>
      </c>
      <c r="M607" s="15">
        <f>Tabela32[[#This Row],[Hr Chegada]]-Tabela32[[#This Row],[Hr Saida]]</f>
        <v>0.28055555555555556</v>
      </c>
      <c r="N607" s="4">
        <v>157822</v>
      </c>
      <c r="O607" s="4">
        <v>157965</v>
      </c>
      <c r="P607" s="4">
        <f>Tabela32[[#This Row],[Km Chegada]]-Tabela32[[#This Row],[Km Saída]]</f>
        <v>143</v>
      </c>
      <c r="Q607" s="4">
        <v>31</v>
      </c>
      <c r="R607" s="4">
        <v>10</v>
      </c>
      <c r="S607" s="4">
        <v>10</v>
      </c>
      <c r="T607" s="12">
        <f>Tabela32[[#This Row],[Entregas]]-Tabela32[[#This Row],[Realizadas]]</f>
        <v>0</v>
      </c>
      <c r="U607" s="18">
        <f>Tabela32[[#This Row],[Realizadas]]/Tabela32[[#This Row],[Entregas]]</f>
        <v>1</v>
      </c>
      <c r="V607" s="19" t="str">
        <f>IF(Tabela32[[#This Row],[% Entrega]]&gt;=96%,"Atendeu a Meta","Não Atendeu a Meta")</f>
        <v>Atendeu a Meta</v>
      </c>
      <c r="W607" s="4" t="s">
        <v>43</v>
      </c>
      <c r="X607" s="4">
        <v>0</v>
      </c>
      <c r="Y607" s="5">
        <v>0</v>
      </c>
    </row>
    <row r="608" spans="1:25" x14ac:dyDescent="0.25">
      <c r="A608" s="8">
        <v>46316</v>
      </c>
      <c r="B608" s="16">
        <f>YEAR(Tabela32[[#This Row],[Data]])</f>
        <v>2026</v>
      </c>
      <c r="C608" s="16">
        <f>MONTH(Tabela32[[#This Row],[Data]])</f>
        <v>10</v>
      </c>
      <c r="D608" s="4" t="s">
        <v>31</v>
      </c>
      <c r="E608" s="4">
        <v>5</v>
      </c>
      <c r="F608" s="4" t="str">
        <f>IFERROR(VLOOKUP(Tabela32[[#This Row],[Placa]],Planilha2!$A$1:$B$12,2,0),"")</f>
        <v>Jerson</v>
      </c>
      <c r="G608" s="10">
        <v>8870.34</v>
      </c>
      <c r="H608" s="10">
        <v>130858.49</v>
      </c>
      <c r="I608" s="4">
        <v>1035</v>
      </c>
      <c r="J608" s="17">
        <f>IFERROR(Tabela32[[#This Row],[Valor Frete]]/Tabela32[[#This Row],[Valor Mercadoria]],"")</f>
        <v>6.7785743210088997E-2</v>
      </c>
      <c r="K608" s="11">
        <v>0.32430555555555557</v>
      </c>
      <c r="L608" s="15">
        <v>0.85069444444444442</v>
      </c>
      <c r="M608" s="15">
        <f>Tabela32[[#This Row],[Hr Chegada]]-Tabela32[[#This Row],[Hr Saida]]</f>
        <v>0.5263888888888888</v>
      </c>
      <c r="N608" s="4">
        <v>282391</v>
      </c>
      <c r="O608" s="4">
        <v>282476</v>
      </c>
      <c r="P608" s="4">
        <f>Tabela32[[#This Row],[Km Chegada]]-Tabela32[[#This Row],[Km Saída]]</f>
        <v>85</v>
      </c>
      <c r="Q608" s="4">
        <v>176</v>
      </c>
      <c r="R608" s="4">
        <v>37</v>
      </c>
      <c r="S608" s="4">
        <v>34</v>
      </c>
      <c r="T608" s="12">
        <f>Tabela32[[#This Row],[Entregas]]-Tabela32[[#This Row],[Realizadas]]</f>
        <v>3</v>
      </c>
      <c r="U608" s="18">
        <f>Tabela32[[#This Row],[Realizadas]]/Tabela32[[#This Row],[Entregas]]</f>
        <v>0.91891891891891897</v>
      </c>
      <c r="V608" s="19" t="str">
        <f>IF(Tabela32[[#This Row],[% Entrega]]&gt;=96%,"Atendeu a Meta","Não Atendeu a Meta")</f>
        <v>Não Atendeu a Meta</v>
      </c>
      <c r="W608" s="4" t="s">
        <v>39</v>
      </c>
      <c r="X608" s="4">
        <v>3</v>
      </c>
      <c r="Y608" s="5" t="s">
        <v>106</v>
      </c>
    </row>
    <row r="609" spans="1:25" x14ac:dyDescent="0.25">
      <c r="A609" s="8">
        <v>46316</v>
      </c>
      <c r="B609" s="16">
        <f>YEAR(Tabela32[[#This Row],[Data]])</f>
        <v>2026</v>
      </c>
      <c r="C609" s="16">
        <f>MONTH(Tabela32[[#This Row],[Data]])</f>
        <v>10</v>
      </c>
      <c r="D609" s="4" t="s">
        <v>25</v>
      </c>
      <c r="E609" s="4">
        <v>2</v>
      </c>
      <c r="F609" s="4" t="str">
        <f>IFERROR(VLOOKUP(Tabela32[[#This Row],[Placa]],Planilha2!$A$1:$B$12,2,0),"")</f>
        <v>Gilberto</v>
      </c>
      <c r="G609" s="10">
        <v>10582.3</v>
      </c>
      <c r="H609" s="10">
        <v>125692.66</v>
      </c>
      <c r="I609" s="4">
        <v>1219</v>
      </c>
      <c r="J609" s="17">
        <f>IFERROR(Tabela32[[#This Row],[Valor Frete]]/Tabela32[[#This Row],[Valor Mercadoria]],"")</f>
        <v>8.4191869278603851E-2</v>
      </c>
      <c r="K609" s="11">
        <v>0.29166666666666669</v>
      </c>
      <c r="L609" s="15">
        <v>0.66666666666666663</v>
      </c>
      <c r="M609" s="15">
        <f>Tabela32[[#This Row],[Hr Chegada]]-Tabela32[[#This Row],[Hr Saida]]</f>
        <v>0.37499999999999994</v>
      </c>
      <c r="N609" s="4">
        <v>121338</v>
      </c>
      <c r="O609" s="4">
        <v>121402</v>
      </c>
      <c r="P609" s="4">
        <f>Tabela32[[#This Row],[Km Chegada]]-Tabela32[[#This Row],[Km Saída]]</f>
        <v>64</v>
      </c>
      <c r="Q609" s="4">
        <v>203</v>
      </c>
      <c r="R609" s="4">
        <v>36</v>
      </c>
      <c r="S609" s="4">
        <v>36</v>
      </c>
      <c r="T609" s="12">
        <f>Tabela32[[#This Row],[Entregas]]-Tabela32[[#This Row],[Realizadas]]</f>
        <v>0</v>
      </c>
      <c r="U609" s="18">
        <f>Tabela32[[#This Row],[Realizadas]]/Tabela32[[#This Row],[Entregas]]</f>
        <v>1</v>
      </c>
      <c r="V609" s="19" t="str">
        <f>IF(Tabela32[[#This Row],[% Entrega]]&gt;=96%,"Atendeu a Meta","Não Atendeu a Meta")</f>
        <v>Atendeu a Meta</v>
      </c>
      <c r="W609" s="4" t="s">
        <v>39</v>
      </c>
      <c r="X609" s="4">
        <v>0</v>
      </c>
      <c r="Y609" s="5">
        <v>0</v>
      </c>
    </row>
    <row r="610" spans="1:25" x14ac:dyDescent="0.25">
      <c r="A610" s="8">
        <v>46317</v>
      </c>
      <c r="B610" s="16">
        <f>YEAR(Tabela32[[#This Row],[Data]])</f>
        <v>2026</v>
      </c>
      <c r="C610" s="16">
        <f>MONTH(Tabela32[[#This Row],[Data]])</f>
        <v>10</v>
      </c>
      <c r="D610" s="4" t="s">
        <v>35</v>
      </c>
      <c r="E610" s="4">
        <v>3</v>
      </c>
      <c r="F610" s="4" t="str">
        <f>IFERROR(VLOOKUP(Tabela32[[#This Row],[Placa]],Planilha2!$A$1:$B$12,2,0),"")</f>
        <v>Osvaldo</v>
      </c>
      <c r="G610" s="10">
        <v>9297.7900000000009</v>
      </c>
      <c r="H610" s="10">
        <v>180871.62</v>
      </c>
      <c r="I610" s="4">
        <v>2085</v>
      </c>
      <c r="J610" s="17">
        <f>IFERROR(Tabela32[[#This Row],[Valor Frete]]/Tabela32[[#This Row],[Valor Mercadoria]],"")</f>
        <v>5.1405466485012964E-2</v>
      </c>
      <c r="K610" s="11">
        <v>0.29166666666666669</v>
      </c>
      <c r="L610" s="15">
        <v>0.74305555555555558</v>
      </c>
      <c r="M610" s="15">
        <f>Tabela32[[#This Row],[Hr Chegada]]-Tabela32[[#This Row],[Hr Saida]]</f>
        <v>0.4513888888888889</v>
      </c>
      <c r="N610" s="4">
        <v>145355</v>
      </c>
      <c r="O610" s="4">
        <v>145427</v>
      </c>
      <c r="P610" s="4">
        <f>Tabela32[[#This Row],[Km Chegada]]-Tabela32[[#This Row],[Km Saída]]</f>
        <v>72</v>
      </c>
      <c r="Q610" s="4">
        <v>240</v>
      </c>
      <c r="R610" s="4">
        <v>29</v>
      </c>
      <c r="S610" s="4">
        <v>29</v>
      </c>
      <c r="T610" s="12">
        <f>Tabela32[[#This Row],[Entregas]]-Tabela32[[#This Row],[Realizadas]]</f>
        <v>0</v>
      </c>
      <c r="U610" s="18">
        <f>Tabela32[[#This Row],[Realizadas]]/Tabela32[[#This Row],[Entregas]]</f>
        <v>1</v>
      </c>
      <c r="V610" s="19" t="str">
        <f>IF(Tabela32[[#This Row],[% Entrega]]&gt;=96%,"Atendeu a Meta","Não Atendeu a Meta")</f>
        <v>Atendeu a Meta</v>
      </c>
      <c r="W610" s="4" t="s">
        <v>39</v>
      </c>
      <c r="X610" s="4">
        <v>0</v>
      </c>
      <c r="Y610" s="5">
        <v>0</v>
      </c>
    </row>
    <row r="611" spans="1:25" x14ac:dyDescent="0.25">
      <c r="A611" s="8">
        <v>46317</v>
      </c>
      <c r="B611" s="16">
        <f>YEAR(Tabela32[[#This Row],[Data]])</f>
        <v>2026</v>
      </c>
      <c r="C611" s="16">
        <f>MONTH(Tabela32[[#This Row],[Data]])</f>
        <v>10</v>
      </c>
      <c r="D611" s="4" t="s">
        <v>33</v>
      </c>
      <c r="E611" s="4">
        <v>5</v>
      </c>
      <c r="F611" s="4" t="str">
        <f>IFERROR(VLOOKUP(Tabela32[[#This Row],[Placa]],Planilha2!$A$1:$B$12,2,0),"")</f>
        <v>Paulo</v>
      </c>
      <c r="G611" s="10">
        <v>1676.83</v>
      </c>
      <c r="H611" s="10">
        <v>14910.7</v>
      </c>
      <c r="I611" s="4">
        <v>217</v>
      </c>
      <c r="J611" s="17">
        <f>IFERROR(Tabela32[[#This Row],[Valor Frete]]/Tabela32[[#This Row],[Valor Mercadoria]],"")</f>
        <v>0.11245816762459172</v>
      </c>
      <c r="K611" s="11">
        <v>0.29166666666666669</v>
      </c>
      <c r="L611" s="15">
        <v>0.56666666666666665</v>
      </c>
      <c r="M611" s="15">
        <f>Tabela32[[#This Row],[Hr Chegada]]-Tabela32[[#This Row],[Hr Saida]]</f>
        <v>0.27499999999999997</v>
      </c>
      <c r="N611" s="4">
        <v>157965</v>
      </c>
      <c r="O611" s="4">
        <v>157997</v>
      </c>
      <c r="P611" s="4">
        <f>Tabela32[[#This Row],[Km Chegada]]-Tabela32[[#This Row],[Km Saída]]</f>
        <v>32</v>
      </c>
      <c r="Q611" s="4">
        <v>46</v>
      </c>
      <c r="R611" s="4">
        <v>2</v>
      </c>
      <c r="S611" s="4">
        <v>2</v>
      </c>
      <c r="T611" s="12">
        <f>Tabela32[[#This Row],[Entregas]]-Tabela32[[#This Row],[Realizadas]]</f>
        <v>0</v>
      </c>
      <c r="U611" s="18">
        <f>Tabela32[[#This Row],[Realizadas]]/Tabela32[[#This Row],[Entregas]]</f>
        <v>1</v>
      </c>
      <c r="V611" s="19" t="str">
        <f>IF(Tabela32[[#This Row],[% Entrega]]&gt;=96%,"Atendeu a Meta","Não Atendeu a Meta")</f>
        <v>Atendeu a Meta</v>
      </c>
      <c r="W611" s="4" t="s">
        <v>39</v>
      </c>
      <c r="X611" s="4">
        <v>0</v>
      </c>
      <c r="Y611" s="5">
        <v>0</v>
      </c>
    </row>
    <row r="612" spans="1:25" x14ac:dyDescent="0.25">
      <c r="A612" s="8">
        <v>46317</v>
      </c>
      <c r="B612" s="16">
        <f>YEAR(Tabela32[[#This Row],[Data]])</f>
        <v>2026</v>
      </c>
      <c r="C612" s="16">
        <f>MONTH(Tabela32[[#This Row],[Data]])</f>
        <v>10</v>
      </c>
      <c r="D612" s="4" t="s">
        <v>27</v>
      </c>
      <c r="E612" s="4">
        <v>1</v>
      </c>
      <c r="F612" s="4" t="str">
        <f>IFERROR(VLOOKUP(Tabela32[[#This Row],[Placa]],Planilha2!$A$1:$B$12,2,0),"")</f>
        <v>Rosinaldo</v>
      </c>
      <c r="G612" s="10">
        <v>5510.53</v>
      </c>
      <c r="H612" s="10">
        <v>82063.34</v>
      </c>
      <c r="I612" s="4">
        <v>756</v>
      </c>
      <c r="J612" s="17">
        <f>IFERROR(Tabela32[[#This Row],[Valor Frete]]/Tabela32[[#This Row],[Valor Mercadoria]],"")</f>
        <v>6.7149716304503324E-2</v>
      </c>
      <c r="K612" s="11">
        <v>0.29166666666666669</v>
      </c>
      <c r="L612" s="15">
        <v>0.72569444444444442</v>
      </c>
      <c r="M612" s="15">
        <f>Tabela32[[#This Row],[Hr Chegada]]-Tabela32[[#This Row],[Hr Saida]]</f>
        <v>0.43402777777777773</v>
      </c>
      <c r="N612" s="4">
        <v>292922</v>
      </c>
      <c r="O612" s="4">
        <v>292975</v>
      </c>
      <c r="P612" s="4">
        <f>Tabela32[[#This Row],[Km Chegada]]-Tabela32[[#This Row],[Km Saída]]</f>
        <v>53</v>
      </c>
      <c r="Q612" s="4">
        <v>120</v>
      </c>
      <c r="R612" s="4">
        <v>15</v>
      </c>
      <c r="S612" s="4">
        <v>15</v>
      </c>
      <c r="T612" s="12">
        <f>Tabela32[[#This Row],[Entregas]]-Tabela32[[#This Row],[Realizadas]]</f>
        <v>0</v>
      </c>
      <c r="U612" s="18">
        <f>Tabela32[[#This Row],[Realizadas]]/Tabela32[[#This Row],[Entregas]]</f>
        <v>1</v>
      </c>
      <c r="V612" s="19" t="str">
        <f>IF(Tabela32[[#This Row],[% Entrega]]&gt;=96%,"Atendeu a Meta","Não Atendeu a Meta")</f>
        <v>Atendeu a Meta</v>
      </c>
      <c r="W612" s="4" t="s">
        <v>43</v>
      </c>
      <c r="X612" s="4">
        <v>0</v>
      </c>
      <c r="Y612" s="5">
        <v>0</v>
      </c>
    </row>
    <row r="613" spans="1:25" x14ac:dyDescent="0.25">
      <c r="A613" s="8">
        <v>46317</v>
      </c>
      <c r="B613" s="16">
        <f>YEAR(Tabela32[[#This Row],[Data]])</f>
        <v>2026</v>
      </c>
      <c r="C613" s="16">
        <f>MONTH(Tabela32[[#This Row],[Data]])</f>
        <v>10</v>
      </c>
      <c r="D613" s="4" t="s">
        <v>29</v>
      </c>
      <c r="E613" s="4">
        <v>1</v>
      </c>
      <c r="F613" s="4" t="str">
        <f>IFERROR(VLOOKUP(Tabela32[[#This Row],[Placa]],Planilha2!$A$1:$B$12,2,0),"")</f>
        <v>Sandro</v>
      </c>
      <c r="G613" s="10">
        <v>8713.2800000000007</v>
      </c>
      <c r="H613" s="10">
        <v>128123.14</v>
      </c>
      <c r="I613" s="4">
        <v>2598.9</v>
      </c>
      <c r="J613" s="17">
        <f>IFERROR(Tabela32[[#This Row],[Valor Frete]]/Tabela32[[#This Row],[Valor Mercadoria]],"")</f>
        <v>6.8007075068562947E-2</v>
      </c>
      <c r="K613" s="11">
        <v>0.3125</v>
      </c>
      <c r="L613" s="15">
        <v>0.77708333333333335</v>
      </c>
      <c r="M613" s="15">
        <f>Tabela32[[#This Row],[Hr Chegada]]-Tabela32[[#This Row],[Hr Saida]]</f>
        <v>0.46458333333333335</v>
      </c>
      <c r="N613" s="4">
        <v>277494</v>
      </c>
      <c r="O613" s="4">
        <v>277541</v>
      </c>
      <c r="P613" s="4">
        <f>Tabela32[[#This Row],[Km Chegada]]-Tabela32[[#This Row],[Km Saída]]</f>
        <v>47</v>
      </c>
      <c r="Q613" s="4">
        <v>325</v>
      </c>
      <c r="R613" s="4">
        <v>4</v>
      </c>
      <c r="S613" s="4">
        <v>4</v>
      </c>
      <c r="T613" s="12">
        <f>Tabela32[[#This Row],[Entregas]]-Tabela32[[#This Row],[Realizadas]]</f>
        <v>0</v>
      </c>
      <c r="U613" s="18">
        <f>Tabela32[[#This Row],[Realizadas]]/Tabela32[[#This Row],[Entregas]]</f>
        <v>1</v>
      </c>
      <c r="V613" s="19" t="str">
        <f>IF(Tabela32[[#This Row],[% Entrega]]&gt;=96%,"Atendeu a Meta","Não Atendeu a Meta")</f>
        <v>Atendeu a Meta</v>
      </c>
      <c r="W613" s="4" t="s">
        <v>43</v>
      </c>
      <c r="X613" s="4">
        <v>0</v>
      </c>
      <c r="Y613" s="5">
        <v>0</v>
      </c>
    </row>
    <row r="614" spans="1:25" x14ac:dyDescent="0.25">
      <c r="A614" s="8">
        <v>46317</v>
      </c>
      <c r="B614" s="16">
        <f>YEAR(Tabela32[[#This Row],[Data]])</f>
        <v>2026</v>
      </c>
      <c r="C614" s="16">
        <f>MONTH(Tabela32[[#This Row],[Data]])</f>
        <v>10</v>
      </c>
      <c r="D614" s="4" t="s">
        <v>53</v>
      </c>
      <c r="E614" s="4">
        <v>5</v>
      </c>
      <c r="F614" s="4" t="str">
        <f>IFERROR(VLOOKUP(Tabela32[[#This Row],[Placa]],Planilha2!$A$1:$B$12,2,0),"")</f>
        <v>Arnaldo</v>
      </c>
      <c r="G614" s="10">
        <v>5004.63</v>
      </c>
      <c r="H614" s="10">
        <v>181379.51</v>
      </c>
      <c r="I614" s="4">
        <v>951</v>
      </c>
      <c r="J614" s="17">
        <f>IFERROR(Tabela32[[#This Row],[Valor Frete]]/Tabela32[[#This Row],[Valor Mercadoria]],"")</f>
        <v>2.7592036167701631E-2</v>
      </c>
      <c r="K614" s="11">
        <v>0.31597222222222221</v>
      </c>
      <c r="L614" s="15">
        <v>0.6875</v>
      </c>
      <c r="M614" s="15">
        <f>Tabela32[[#This Row],[Hr Chegada]]-Tabela32[[#This Row],[Hr Saida]]</f>
        <v>0.37152777777777779</v>
      </c>
      <c r="N614" s="4">
        <v>15322</v>
      </c>
      <c r="O614" s="4">
        <v>15351</v>
      </c>
      <c r="P614" s="4">
        <f>Tabela32[[#This Row],[Km Chegada]]-Tabela32[[#This Row],[Km Saída]]</f>
        <v>29</v>
      </c>
      <c r="Q614" s="4">
        <v>87</v>
      </c>
      <c r="R614" s="4">
        <v>2</v>
      </c>
      <c r="S614" s="4">
        <v>2</v>
      </c>
      <c r="T614" s="12">
        <f>Tabela32[[#This Row],[Entregas]]-Tabela32[[#This Row],[Realizadas]]</f>
        <v>0</v>
      </c>
      <c r="U614" s="18">
        <f>Tabela32[[#This Row],[Realizadas]]/Tabela32[[#This Row],[Entregas]]</f>
        <v>1</v>
      </c>
      <c r="V614" s="19" t="str">
        <f>IF(Tabela32[[#This Row],[% Entrega]]&gt;=96%,"Atendeu a Meta","Não Atendeu a Meta")</f>
        <v>Atendeu a Meta</v>
      </c>
      <c r="W614" s="4" t="s">
        <v>39</v>
      </c>
      <c r="X614" s="4">
        <v>0</v>
      </c>
      <c r="Y614" s="5">
        <v>0</v>
      </c>
    </row>
    <row r="615" spans="1:25" x14ac:dyDescent="0.25">
      <c r="A615" s="8">
        <v>46317</v>
      </c>
      <c r="B615" s="16">
        <f>YEAR(Tabela32[[#This Row],[Data]])</f>
        <v>2026</v>
      </c>
      <c r="C615" s="16">
        <f>MONTH(Tabela32[[#This Row],[Data]])</f>
        <v>10</v>
      </c>
      <c r="D615" s="4" t="s">
        <v>23</v>
      </c>
      <c r="E615" s="4">
        <v>1</v>
      </c>
      <c r="F615" s="4" t="str">
        <f>IFERROR(VLOOKUP(Tabela32[[#This Row],[Placa]],Planilha2!$A$1:$B$12,2,0),"")</f>
        <v>William</v>
      </c>
      <c r="G615" s="10">
        <v>7835.36</v>
      </c>
      <c r="H615" s="10">
        <v>82454.31</v>
      </c>
      <c r="I615" s="4">
        <v>747</v>
      </c>
      <c r="J615" s="17">
        <f>IFERROR(Tabela32[[#This Row],[Valor Frete]]/Tabela32[[#This Row],[Valor Mercadoria]],"")</f>
        <v>9.502668811369594E-2</v>
      </c>
      <c r="K615" s="11">
        <v>0.29166666666666669</v>
      </c>
      <c r="L615" s="15">
        <v>0.70833333333333337</v>
      </c>
      <c r="M615" s="15">
        <f>Tabela32[[#This Row],[Hr Chegada]]-Tabela32[[#This Row],[Hr Saida]]</f>
        <v>0.41666666666666669</v>
      </c>
      <c r="N615" s="4">
        <v>127439</v>
      </c>
      <c r="O615" s="4">
        <v>127504</v>
      </c>
      <c r="P615" s="4">
        <f>Tabela32[[#This Row],[Km Chegada]]-Tabela32[[#This Row],[Km Saída]]</f>
        <v>65</v>
      </c>
      <c r="Q615" s="4">
        <v>110</v>
      </c>
      <c r="R615" s="4">
        <v>26</v>
      </c>
      <c r="S615" s="4">
        <v>26</v>
      </c>
      <c r="T615" s="12">
        <f>Tabela32[[#This Row],[Entregas]]-Tabela32[[#This Row],[Realizadas]]</f>
        <v>0</v>
      </c>
      <c r="U615" s="18">
        <f>Tabela32[[#This Row],[Realizadas]]/Tabela32[[#This Row],[Entregas]]</f>
        <v>1</v>
      </c>
      <c r="V615" s="19" t="str">
        <f>IF(Tabela32[[#This Row],[% Entrega]]&gt;=96%,"Atendeu a Meta","Não Atendeu a Meta")</f>
        <v>Atendeu a Meta</v>
      </c>
      <c r="W615" s="4" t="s">
        <v>43</v>
      </c>
      <c r="X615" s="4">
        <v>0</v>
      </c>
      <c r="Y615" s="5">
        <v>0</v>
      </c>
    </row>
    <row r="616" spans="1:25" x14ac:dyDescent="0.25">
      <c r="A616" s="8">
        <v>46317</v>
      </c>
      <c r="B616" s="16">
        <f>YEAR(Tabela32[[#This Row],[Data]])</f>
        <v>2026</v>
      </c>
      <c r="C616" s="16">
        <f>MONTH(Tabela32[[#This Row],[Data]])</f>
        <v>10</v>
      </c>
      <c r="D616" s="4" t="s">
        <v>28</v>
      </c>
      <c r="E616" s="4">
        <v>11</v>
      </c>
      <c r="F616" s="4" t="str">
        <f>IFERROR(VLOOKUP(Tabela32[[#This Row],[Placa]],Planilha2!$A$1:$B$12,2,0),"")</f>
        <v>Edilson</v>
      </c>
      <c r="G616" s="10">
        <v>17999.8</v>
      </c>
      <c r="H616" s="10">
        <v>237653.09</v>
      </c>
      <c r="I616" s="4">
        <v>2337</v>
      </c>
      <c r="J616" s="17">
        <f>IFERROR(Tabela32[[#This Row],[Valor Frete]]/Tabela32[[#This Row],[Valor Mercadoria]],"")</f>
        <v>7.573981049436386E-2</v>
      </c>
      <c r="K616" s="11">
        <v>0.27083333333333331</v>
      </c>
      <c r="L616" s="15">
        <v>0.75624999999999998</v>
      </c>
      <c r="M616" s="15">
        <f>Tabela32[[#This Row],[Hr Chegada]]-Tabela32[[#This Row],[Hr Saida]]</f>
        <v>0.48541666666666666</v>
      </c>
      <c r="N616" s="4">
        <v>107835</v>
      </c>
      <c r="O616" s="4">
        <v>108004</v>
      </c>
      <c r="P616" s="4">
        <f>Tabela32[[#This Row],[Km Chegada]]-Tabela32[[#This Row],[Km Saída]]</f>
        <v>169</v>
      </c>
      <c r="Q616" s="4">
        <v>463</v>
      </c>
      <c r="R616" s="4">
        <v>45</v>
      </c>
      <c r="S616" s="4">
        <v>45</v>
      </c>
      <c r="T616" s="12">
        <f>Tabela32[[#This Row],[Entregas]]-Tabela32[[#This Row],[Realizadas]]</f>
        <v>0</v>
      </c>
      <c r="U616" s="18">
        <f>Tabela32[[#This Row],[Realizadas]]/Tabela32[[#This Row],[Entregas]]</f>
        <v>1</v>
      </c>
      <c r="V616" s="19" t="str">
        <f>IF(Tabela32[[#This Row],[% Entrega]]&gt;=96%,"Atendeu a Meta","Não Atendeu a Meta")</f>
        <v>Atendeu a Meta</v>
      </c>
      <c r="W616" s="4" t="s">
        <v>41</v>
      </c>
      <c r="X616" s="4">
        <v>1</v>
      </c>
      <c r="Y616" s="5">
        <v>38.799999999999997</v>
      </c>
    </row>
    <row r="617" spans="1:25" x14ac:dyDescent="0.25">
      <c r="A617" s="8">
        <v>46317</v>
      </c>
      <c r="B617" s="16">
        <f>YEAR(Tabela32[[#This Row],[Data]])</f>
        <v>2026</v>
      </c>
      <c r="C617" s="16">
        <f>MONTH(Tabela32[[#This Row],[Data]])</f>
        <v>10</v>
      </c>
      <c r="D617" s="4" t="s">
        <v>31</v>
      </c>
      <c r="E617" s="4">
        <v>5</v>
      </c>
      <c r="F617" s="4" t="str">
        <f>IFERROR(VLOOKUP(Tabela32[[#This Row],[Placa]],Planilha2!$A$1:$B$12,2,0),"")</f>
        <v>Jerson</v>
      </c>
      <c r="G617" s="10">
        <v>8860.52</v>
      </c>
      <c r="H617" s="10">
        <v>125805.88</v>
      </c>
      <c r="I617" s="4">
        <v>1370</v>
      </c>
      <c r="J617" s="17">
        <f>IFERROR(Tabela32[[#This Row],[Valor Frete]]/Tabela32[[#This Row],[Valor Mercadoria]],"")</f>
        <v>7.043009436442875E-2</v>
      </c>
      <c r="K617" s="11">
        <v>0.33333333333333331</v>
      </c>
      <c r="L617" s="15">
        <v>0.83333333333333337</v>
      </c>
      <c r="M617" s="15">
        <f>Tabela32[[#This Row],[Hr Chegada]]-Tabela32[[#This Row],[Hr Saida]]</f>
        <v>0.5</v>
      </c>
      <c r="N617" s="4">
        <v>282476</v>
      </c>
      <c r="O617" s="4">
        <v>282568</v>
      </c>
      <c r="P617" s="4">
        <f>Tabela32[[#This Row],[Km Chegada]]-Tabela32[[#This Row],[Km Saída]]</f>
        <v>92</v>
      </c>
      <c r="Q617" s="4">
        <v>253</v>
      </c>
      <c r="R617" s="4">
        <v>20</v>
      </c>
      <c r="S617" s="4">
        <v>20</v>
      </c>
      <c r="T617" s="12">
        <f>Tabela32[[#This Row],[Entregas]]-Tabela32[[#This Row],[Realizadas]]</f>
        <v>0</v>
      </c>
      <c r="U617" s="18">
        <f>Tabela32[[#This Row],[Realizadas]]/Tabela32[[#This Row],[Entregas]]</f>
        <v>1</v>
      </c>
      <c r="V617" s="19" t="str">
        <f>IF(Tabela32[[#This Row],[% Entrega]]&gt;=96%,"Atendeu a Meta","Não Atendeu a Meta")</f>
        <v>Atendeu a Meta</v>
      </c>
      <c r="W617" s="4" t="s">
        <v>39</v>
      </c>
      <c r="X617" s="4">
        <v>0</v>
      </c>
      <c r="Y617" s="5">
        <v>0</v>
      </c>
    </row>
    <row r="618" spans="1:25" x14ac:dyDescent="0.25">
      <c r="A618" s="8">
        <v>46317</v>
      </c>
      <c r="B618" s="16">
        <f>YEAR(Tabela32[[#This Row],[Data]])</f>
        <v>2026</v>
      </c>
      <c r="C618" s="16">
        <f>MONTH(Tabela32[[#This Row],[Data]])</f>
        <v>10</v>
      </c>
      <c r="D618" s="4" t="s">
        <v>22</v>
      </c>
      <c r="E618" s="4">
        <v>1</v>
      </c>
      <c r="F618" s="4" t="str">
        <f>IFERROR(VLOOKUP(Tabela32[[#This Row],[Placa]],Planilha2!$A$1:$B$12,2,0),"")</f>
        <v>Juscelino</v>
      </c>
      <c r="G618" s="10">
        <v>5568.14</v>
      </c>
      <c r="H618" s="10">
        <v>149817.13</v>
      </c>
      <c r="I618" s="4">
        <v>983</v>
      </c>
      <c r="J618" s="17">
        <f>IFERROR(Tabela32[[#This Row],[Valor Frete]]/Tabela32[[#This Row],[Valor Mercadoria]],"")</f>
        <v>3.7166243940195624E-2</v>
      </c>
      <c r="K618" s="11">
        <v>0.3125</v>
      </c>
      <c r="L618" s="15">
        <v>0.7104166666666667</v>
      </c>
      <c r="M618" s="15">
        <f>Tabela32[[#This Row],[Hr Chegada]]-Tabela32[[#This Row],[Hr Saida]]</f>
        <v>0.3979166666666667</v>
      </c>
      <c r="N618" s="4">
        <v>306844</v>
      </c>
      <c r="O618" s="4">
        <v>306990</v>
      </c>
      <c r="P618" s="4">
        <f>Tabela32[[#This Row],[Km Chegada]]-Tabela32[[#This Row],[Km Saída]]</f>
        <v>146</v>
      </c>
      <c r="Q618" s="4">
        <v>208</v>
      </c>
      <c r="R618" s="4">
        <v>14</v>
      </c>
      <c r="S618" s="4">
        <v>14</v>
      </c>
      <c r="T618" s="12">
        <f>Tabela32[[#This Row],[Entregas]]-Tabela32[[#This Row],[Realizadas]]</f>
        <v>0</v>
      </c>
      <c r="U618" s="18">
        <f>Tabela32[[#This Row],[Realizadas]]/Tabela32[[#This Row],[Entregas]]</f>
        <v>1</v>
      </c>
      <c r="V618" s="19" t="str">
        <f>IF(Tabela32[[#This Row],[% Entrega]]&gt;=96%,"Atendeu a Meta","Não Atendeu a Meta")</f>
        <v>Atendeu a Meta</v>
      </c>
      <c r="W618" s="4" t="s">
        <v>40</v>
      </c>
      <c r="X618" s="4">
        <v>1</v>
      </c>
      <c r="Y618" s="5">
        <v>9</v>
      </c>
    </row>
    <row r="619" spans="1:25" x14ac:dyDescent="0.25">
      <c r="A619" s="8">
        <v>46317</v>
      </c>
      <c r="B619" s="16">
        <f>YEAR(Tabela32[[#This Row],[Data]])</f>
        <v>2026</v>
      </c>
      <c r="C619" s="16">
        <f>MONTH(Tabela32[[#This Row],[Data]])</f>
        <v>10</v>
      </c>
      <c r="D619" s="4" t="s">
        <v>33</v>
      </c>
      <c r="E619" s="4">
        <v>5</v>
      </c>
      <c r="F619" s="4" t="str">
        <f>IFERROR(VLOOKUP(Tabela32[[#This Row],[Placa]],Planilha2!$A$1:$B$12,2,0),"")</f>
        <v>Paulo</v>
      </c>
      <c r="G619" s="10">
        <v>155.25</v>
      </c>
      <c r="H619" s="10">
        <v>2059.3200000000002</v>
      </c>
      <c r="I619" s="4">
        <v>18</v>
      </c>
      <c r="J619" s="17">
        <f>IFERROR(Tabela32[[#This Row],[Valor Frete]]/Tabela32[[#This Row],[Valor Mercadoria]],"")</f>
        <v>7.5388963347124291E-2</v>
      </c>
      <c r="K619" s="11">
        <v>0.57638888888888884</v>
      </c>
      <c r="L619" s="15">
        <v>0.7055555555555556</v>
      </c>
      <c r="M619" s="15">
        <f>Tabela32[[#This Row],[Hr Chegada]]-Tabela32[[#This Row],[Hr Saida]]</f>
        <v>0.12916666666666676</v>
      </c>
      <c r="N619" s="4">
        <v>157997</v>
      </c>
      <c r="O619" s="4">
        <v>158044</v>
      </c>
      <c r="P619" s="4">
        <f>Tabela32[[#This Row],[Km Chegada]]-Tabela32[[#This Row],[Km Saída]]</f>
        <v>47</v>
      </c>
      <c r="Q619" s="4">
        <v>3</v>
      </c>
      <c r="R619" s="4">
        <v>1</v>
      </c>
      <c r="S619" s="4">
        <v>1</v>
      </c>
      <c r="T619" s="12">
        <f>Tabela32[[#This Row],[Entregas]]-Tabela32[[#This Row],[Realizadas]]</f>
        <v>0</v>
      </c>
      <c r="U619" s="18">
        <f>Tabela32[[#This Row],[Realizadas]]/Tabela32[[#This Row],[Entregas]]</f>
        <v>1</v>
      </c>
      <c r="V619" s="19" t="str">
        <f>IF(Tabela32[[#This Row],[% Entrega]]&gt;=96%,"Atendeu a Meta","Não Atendeu a Meta")</f>
        <v>Atendeu a Meta</v>
      </c>
      <c r="W619" s="4" t="s">
        <v>39</v>
      </c>
      <c r="X619" s="4">
        <v>0</v>
      </c>
      <c r="Y619" s="5">
        <v>0</v>
      </c>
    </row>
    <row r="620" spans="1:25" x14ac:dyDescent="0.25">
      <c r="A620" s="8">
        <v>46318</v>
      </c>
      <c r="B620" s="16">
        <f>YEAR(Tabela32[[#This Row],[Data]])</f>
        <v>2026</v>
      </c>
      <c r="C620" s="16">
        <f>MONTH(Tabela32[[#This Row],[Data]])</f>
        <v>10</v>
      </c>
      <c r="D620" s="4" t="s">
        <v>33</v>
      </c>
      <c r="E620" s="4">
        <v>1</v>
      </c>
      <c r="F620" s="4" t="str">
        <f>IFERROR(VLOOKUP(Tabela32[[#This Row],[Placa]],Planilha2!$A$1:$B$12,2,0),"")</f>
        <v>Paulo</v>
      </c>
      <c r="G620" s="10">
        <v>1373.74</v>
      </c>
      <c r="H620" s="10">
        <v>8596.49</v>
      </c>
      <c r="I620" s="4">
        <v>282</v>
      </c>
      <c r="J620" s="17">
        <f>IFERROR(Tabela32[[#This Row],[Valor Frete]]/Tabela32[[#This Row],[Valor Mercadoria]],"")</f>
        <v>0.15980243099218402</v>
      </c>
      <c r="K620" s="11">
        <v>0.29166666666666669</v>
      </c>
      <c r="L620" s="15">
        <v>0.52083333333333337</v>
      </c>
      <c r="M620" s="15">
        <f>Tabela32[[#This Row],[Hr Chegada]]-Tabela32[[#This Row],[Hr Saida]]</f>
        <v>0.22916666666666669</v>
      </c>
      <c r="N620" s="4">
        <v>158044</v>
      </c>
      <c r="O620" s="4">
        <v>158136</v>
      </c>
      <c r="P620" s="4">
        <f>Tabela32[[#This Row],[Km Chegada]]-Tabela32[[#This Row],[Km Saída]]</f>
        <v>92</v>
      </c>
      <c r="Q620" s="4">
        <v>22</v>
      </c>
      <c r="R620" s="4">
        <v>1</v>
      </c>
      <c r="S620" s="4">
        <v>1</v>
      </c>
      <c r="T620" s="12">
        <f>Tabela32[[#This Row],[Entregas]]-Tabela32[[#This Row],[Realizadas]]</f>
        <v>0</v>
      </c>
      <c r="U620" s="18">
        <f>Tabela32[[#This Row],[Realizadas]]/Tabela32[[#This Row],[Entregas]]</f>
        <v>1</v>
      </c>
      <c r="V620" s="19" t="str">
        <f>IF(Tabela32[[#This Row],[% Entrega]]&gt;=96%,"Atendeu a Meta","Não Atendeu a Meta")</f>
        <v>Atendeu a Meta</v>
      </c>
      <c r="W620" s="4" t="s">
        <v>63</v>
      </c>
      <c r="X620" s="4">
        <v>0</v>
      </c>
      <c r="Y620" s="5">
        <v>0</v>
      </c>
    </row>
    <row r="621" spans="1:25" x14ac:dyDescent="0.25">
      <c r="A621" s="8">
        <v>46318</v>
      </c>
      <c r="B621" s="26">
        <f>YEAR(Tabela32[[#This Row],[Data]])</f>
        <v>2026</v>
      </c>
      <c r="C621" s="26">
        <f>MONTH(Tabela32[[#This Row],[Data]])</f>
        <v>10</v>
      </c>
      <c r="D621" s="4" t="s">
        <v>28</v>
      </c>
      <c r="E621" s="4">
        <v>11</v>
      </c>
      <c r="F621" s="4" t="str">
        <f>IFERROR(VLOOKUP(Tabela32[[#This Row],[Placa]],Planilha2!$A$1:$B$12,2,0),"")</f>
        <v>Edilson</v>
      </c>
      <c r="G621" s="10">
        <v>28649.52</v>
      </c>
      <c r="H621" s="10">
        <v>385543.58</v>
      </c>
      <c r="I621" s="4">
        <v>7917</v>
      </c>
      <c r="J621" s="17">
        <f>IFERROR(Tabela32[[#This Row],[Valor Frete]]/Tabela32[[#This Row],[Valor Mercadoria]],"")</f>
        <v>7.4309420481077651E-2</v>
      </c>
      <c r="K621" s="11">
        <v>0.27083333333333331</v>
      </c>
      <c r="L621" s="15">
        <v>0.75</v>
      </c>
      <c r="M621" s="15">
        <f>Tabela32[[#This Row],[Hr Chegada]]-Tabela32[[#This Row],[Hr Saida]]</f>
        <v>0.47916666666666669</v>
      </c>
      <c r="N621" s="4">
        <v>108004</v>
      </c>
      <c r="O621" s="4">
        <v>108142</v>
      </c>
      <c r="P621" s="4">
        <f>Tabela32[[#This Row],[Km Chegada]]-Tabela32[[#This Row],[Km Saída]]</f>
        <v>138</v>
      </c>
      <c r="Q621" s="4">
        <v>885</v>
      </c>
      <c r="R621" s="4">
        <v>3</v>
      </c>
      <c r="S621" s="4">
        <v>3</v>
      </c>
      <c r="T621" s="12">
        <f>Tabela32[[#This Row],[Entregas]]-Tabela32[[#This Row],[Realizadas]]</f>
        <v>0</v>
      </c>
      <c r="U621" s="18">
        <f>Tabela32[[#This Row],[Realizadas]]/Tabela32[[#This Row],[Entregas]]</f>
        <v>1</v>
      </c>
      <c r="V621" s="19" t="str">
        <f>IF(Tabela32[[#This Row],[% Entrega]]&gt;=96%,"Atendeu a Meta","Não Atendeu a Meta")</f>
        <v>Atendeu a Meta</v>
      </c>
      <c r="W621" s="4" t="s">
        <v>41</v>
      </c>
      <c r="X621" s="4">
        <v>0</v>
      </c>
      <c r="Y621" s="5">
        <v>0</v>
      </c>
    </row>
    <row r="622" spans="1:25" x14ac:dyDescent="0.25">
      <c r="A622" s="8">
        <v>46318</v>
      </c>
      <c r="B622" s="26">
        <f>YEAR(Tabela32[[#This Row],[Data]])</f>
        <v>2026</v>
      </c>
      <c r="C622" s="26">
        <f>MONTH(Tabela32[[#This Row],[Data]])</f>
        <v>10</v>
      </c>
      <c r="D622" s="4" t="s">
        <v>27</v>
      </c>
      <c r="E622" s="4">
        <v>1</v>
      </c>
      <c r="F622" s="4" t="str">
        <f>IFERROR(VLOOKUP(Tabela32[[#This Row],[Placa]],Planilha2!$A$1:$B$12,2,0),"")</f>
        <v>Rosinaldo</v>
      </c>
      <c r="G622" s="10">
        <v>4967.22</v>
      </c>
      <c r="H622" s="10">
        <v>223692.53</v>
      </c>
      <c r="I622" s="4">
        <v>505</v>
      </c>
      <c r="J622" s="17">
        <f>IFERROR(Tabela32[[#This Row],[Valor Frete]]/Tabela32[[#This Row],[Valor Mercadoria]],"")</f>
        <v>2.2205569403681027E-2</v>
      </c>
      <c r="K622" s="11">
        <v>0.29166666666666669</v>
      </c>
      <c r="L622" s="15">
        <v>0.4777777777777778</v>
      </c>
      <c r="M622" s="15">
        <f>Tabela32[[#This Row],[Hr Chegada]]-Tabela32[[#This Row],[Hr Saida]]</f>
        <v>0.18611111111111112</v>
      </c>
      <c r="N622" s="4">
        <v>292975</v>
      </c>
      <c r="O622" s="4">
        <v>293006</v>
      </c>
      <c r="P622" s="4">
        <f>Tabela32[[#This Row],[Km Chegada]]-Tabela32[[#This Row],[Km Saída]]</f>
        <v>31</v>
      </c>
      <c r="Q622" s="4">
        <v>3</v>
      </c>
      <c r="R622" s="4">
        <v>2</v>
      </c>
      <c r="S622" s="4">
        <v>2</v>
      </c>
      <c r="T622" s="12">
        <f>Tabela32[[#This Row],[Entregas]]-Tabela32[[#This Row],[Realizadas]]</f>
        <v>0</v>
      </c>
      <c r="U622" s="18">
        <f>Tabela32[[#This Row],[Realizadas]]/Tabela32[[#This Row],[Entregas]]</f>
        <v>1</v>
      </c>
      <c r="V622" s="19" t="str">
        <f>IF(Tabela32[[#This Row],[% Entrega]]&gt;=96%,"Atendeu a Meta","Não Atendeu a Meta")</f>
        <v>Atendeu a Meta</v>
      </c>
      <c r="W622" s="4" t="s">
        <v>40</v>
      </c>
      <c r="X622" s="4">
        <v>0</v>
      </c>
      <c r="Y622" s="5">
        <v>0</v>
      </c>
    </row>
    <row r="623" spans="1:25" x14ac:dyDescent="0.25">
      <c r="A623" s="8">
        <v>46318</v>
      </c>
      <c r="B623" s="26">
        <f>YEAR(Tabela32[[#This Row],[Data]])</f>
        <v>2026</v>
      </c>
      <c r="C623" s="26">
        <f>MONTH(Tabela32[[#This Row],[Data]])</f>
        <v>10</v>
      </c>
      <c r="D623" s="4" t="s">
        <v>23</v>
      </c>
      <c r="E623" s="4">
        <v>1</v>
      </c>
      <c r="F623" s="4" t="str">
        <f>IFERROR(VLOOKUP(Tabela32[[#This Row],[Placa]],Planilha2!$A$1:$B$12,2,0),"")</f>
        <v>William</v>
      </c>
      <c r="G623" s="10">
        <v>2290.2199999999998</v>
      </c>
      <c r="H623" s="10">
        <v>33686.78</v>
      </c>
      <c r="I623" s="4">
        <v>348</v>
      </c>
      <c r="J623" s="17">
        <f>IFERROR(Tabela32[[#This Row],[Valor Frete]]/Tabela32[[#This Row],[Valor Mercadoria]],"")</f>
        <v>6.7985720214279899E-2</v>
      </c>
      <c r="K623" s="11">
        <v>0.3125</v>
      </c>
      <c r="L623" s="15">
        <v>0.60972222222222228</v>
      </c>
      <c r="M623" s="15">
        <f>Tabela32[[#This Row],[Hr Chegada]]-Tabela32[[#This Row],[Hr Saida]]</f>
        <v>0.29722222222222228</v>
      </c>
      <c r="N623" s="4">
        <v>127504</v>
      </c>
      <c r="O623" s="4">
        <v>127533</v>
      </c>
      <c r="P623" s="4">
        <f>Tabela32[[#This Row],[Km Chegada]]-Tabela32[[#This Row],[Km Saída]]</f>
        <v>29</v>
      </c>
      <c r="Q623" s="4">
        <v>37</v>
      </c>
      <c r="R623" s="4">
        <v>5</v>
      </c>
      <c r="S623" s="4">
        <v>5</v>
      </c>
      <c r="T623" s="12">
        <f>Tabela32[[#This Row],[Entregas]]-Tabela32[[#This Row],[Realizadas]]</f>
        <v>0</v>
      </c>
      <c r="U623" s="18">
        <f>Tabela32[[#This Row],[Realizadas]]/Tabela32[[#This Row],[Entregas]]</f>
        <v>1</v>
      </c>
      <c r="V623" s="19" t="str">
        <f>IF(Tabela32[[#This Row],[% Entrega]]&gt;=96%,"Atendeu a Meta","Não Atendeu a Meta")</f>
        <v>Atendeu a Meta</v>
      </c>
      <c r="W623" s="4" t="s">
        <v>43</v>
      </c>
      <c r="X623" s="4">
        <v>0</v>
      </c>
      <c r="Y623" s="5">
        <v>0</v>
      </c>
    </row>
    <row r="624" spans="1:25" x14ac:dyDescent="0.25">
      <c r="A624" s="8">
        <v>46318</v>
      </c>
      <c r="B624" s="26">
        <f>YEAR(Tabela32[[#This Row],[Data]])</f>
        <v>2026</v>
      </c>
      <c r="C624" s="26">
        <f>MONTH(Tabela32[[#This Row],[Data]])</f>
        <v>10</v>
      </c>
      <c r="D624" s="4" t="s">
        <v>22</v>
      </c>
      <c r="E624" s="4">
        <v>5</v>
      </c>
      <c r="F624" s="4" t="str">
        <f>IFERROR(VLOOKUP(Tabela32[[#This Row],[Placa]],Planilha2!$A$1:$B$12,2,0),"")</f>
        <v>Juscelino</v>
      </c>
      <c r="G624" s="10">
        <v>14511.4</v>
      </c>
      <c r="H624" s="10">
        <v>253571.39</v>
      </c>
      <c r="I624" s="4">
        <v>2157</v>
      </c>
      <c r="J624" s="17">
        <f>IFERROR(Tabela32[[#This Row],[Valor Frete]]/Tabela32[[#This Row],[Valor Mercadoria]],"")</f>
        <v>5.7228065043142283E-2</v>
      </c>
      <c r="K624" s="11">
        <v>0.33333333333333331</v>
      </c>
      <c r="L624" s="15">
        <v>0.70833333333333337</v>
      </c>
      <c r="M624" s="15">
        <f>Tabela32[[#This Row],[Hr Chegada]]-Tabela32[[#This Row],[Hr Saida]]</f>
        <v>0.37500000000000006</v>
      </c>
      <c r="N624" s="4">
        <v>306990</v>
      </c>
      <c r="O624" s="4">
        <v>307019</v>
      </c>
      <c r="P624" s="4">
        <f>Tabela32[[#This Row],[Km Chegada]]-Tabela32[[#This Row],[Km Saída]]</f>
        <v>29</v>
      </c>
      <c r="Q624" s="4">
        <v>443</v>
      </c>
      <c r="R624" s="4">
        <v>9</v>
      </c>
      <c r="S624" s="4">
        <v>9</v>
      </c>
      <c r="T624" s="12">
        <f>Tabela32[[#This Row],[Entregas]]-Tabela32[[#This Row],[Realizadas]]</f>
        <v>0</v>
      </c>
      <c r="U624" s="18">
        <f>Tabela32[[#This Row],[Realizadas]]/Tabela32[[#This Row],[Entregas]]</f>
        <v>1</v>
      </c>
      <c r="V624" s="19" t="str">
        <f>IF(Tabela32[[#This Row],[% Entrega]]&gt;=96%,"Atendeu a Meta","Não Atendeu a Meta")</f>
        <v>Atendeu a Meta</v>
      </c>
      <c r="W624" s="4" t="s">
        <v>39</v>
      </c>
      <c r="X624" s="4">
        <v>0</v>
      </c>
      <c r="Y624" s="5">
        <v>0</v>
      </c>
    </row>
    <row r="625" spans="1:25" x14ac:dyDescent="0.25">
      <c r="A625" s="8">
        <v>46318</v>
      </c>
      <c r="B625" s="26">
        <f>YEAR(Tabela32[[#This Row],[Data]])</f>
        <v>2026</v>
      </c>
      <c r="C625" s="26">
        <f>MONTH(Tabela32[[#This Row],[Data]])</f>
        <v>10</v>
      </c>
      <c r="D625" s="4" t="s">
        <v>35</v>
      </c>
      <c r="E625" s="4">
        <v>3</v>
      </c>
      <c r="F625" s="4" t="str">
        <f>IFERROR(VLOOKUP(Tabela32[[#This Row],[Placa]],Planilha2!$A$1:$B$12,2,0),"")</f>
        <v>Osvaldo</v>
      </c>
      <c r="G625" s="10">
        <v>11743.97</v>
      </c>
      <c r="H625" s="10">
        <v>151604.01</v>
      </c>
      <c r="I625" s="4">
        <v>2025</v>
      </c>
      <c r="J625" s="17">
        <f>IFERROR(Tabela32[[#This Row],[Valor Frete]]/Tabela32[[#This Row],[Valor Mercadoria]],"")</f>
        <v>7.7464771545290911E-2</v>
      </c>
      <c r="K625" s="11">
        <v>0.29166666666666669</v>
      </c>
      <c r="L625" s="15">
        <v>0.67569444444444449</v>
      </c>
      <c r="M625" s="15">
        <f>Tabela32[[#This Row],[Hr Chegada]]-Tabela32[[#This Row],[Hr Saida]]</f>
        <v>0.3840277777777778</v>
      </c>
      <c r="N625" s="4">
        <v>145417</v>
      </c>
      <c r="O625" s="4">
        <v>145472</v>
      </c>
      <c r="P625" s="4">
        <f>Tabela32[[#This Row],[Km Chegada]]-Tabela32[[#This Row],[Km Saída]]</f>
        <v>55</v>
      </c>
      <c r="Q625" s="4">
        <v>288</v>
      </c>
      <c r="R625" s="4">
        <v>25</v>
      </c>
      <c r="S625" s="4">
        <v>25</v>
      </c>
      <c r="T625" s="12">
        <f>Tabela32[[#This Row],[Entregas]]-Tabela32[[#This Row],[Realizadas]]</f>
        <v>0</v>
      </c>
      <c r="U625" s="18">
        <f>Tabela32[[#This Row],[Realizadas]]/Tabela32[[#This Row],[Entregas]]</f>
        <v>1</v>
      </c>
      <c r="V625" s="19" t="str">
        <f>IF(Tabela32[[#This Row],[% Entrega]]&gt;=96%,"Atendeu a Meta","Não Atendeu a Meta")</f>
        <v>Atendeu a Meta</v>
      </c>
      <c r="W625" s="4" t="s">
        <v>39</v>
      </c>
      <c r="X625" s="4">
        <v>0</v>
      </c>
      <c r="Y625" s="5">
        <v>0</v>
      </c>
    </row>
    <row r="626" spans="1:25" x14ac:dyDescent="0.25">
      <c r="A626" s="8">
        <v>46318</v>
      </c>
      <c r="B626" s="26">
        <f>YEAR(Tabela32[[#This Row],[Data]])</f>
        <v>2026</v>
      </c>
      <c r="C626" s="26">
        <f>MONTH(Tabela32[[#This Row],[Data]])</f>
        <v>10</v>
      </c>
      <c r="D626" s="4" t="s">
        <v>31</v>
      </c>
      <c r="E626" s="4">
        <v>5</v>
      </c>
      <c r="F626" s="4" t="str">
        <f>IFERROR(VLOOKUP(Tabela32[[#This Row],[Placa]],Planilha2!$A$1:$B$12,2,0),"")</f>
        <v>Jerson</v>
      </c>
      <c r="G626" s="10">
        <v>7009.41</v>
      </c>
      <c r="H626" s="10">
        <v>134716.66</v>
      </c>
      <c r="I626" s="4">
        <v>1037</v>
      </c>
      <c r="J626" s="17">
        <f>IFERROR(Tabela32[[#This Row],[Valor Frete]]/Tabela32[[#This Row],[Valor Mercadoria]],"")</f>
        <v>5.2030758482284223E-2</v>
      </c>
      <c r="K626" s="11">
        <v>0.3125</v>
      </c>
      <c r="L626" s="15">
        <v>0.79166666666666663</v>
      </c>
      <c r="M626" s="15">
        <f>Tabela32[[#This Row],[Hr Chegada]]-Tabela32[[#This Row],[Hr Saida]]</f>
        <v>0.47916666666666663</v>
      </c>
      <c r="N626" s="4">
        <v>282569</v>
      </c>
      <c r="O626" s="4">
        <v>282648</v>
      </c>
      <c r="P626" s="4">
        <f>Tabela32[[#This Row],[Km Chegada]]-Tabela32[[#This Row],[Km Saída]]</f>
        <v>79</v>
      </c>
      <c r="Q626" s="4">
        <v>188</v>
      </c>
      <c r="R626" s="4">
        <v>29</v>
      </c>
      <c r="S626" s="4">
        <v>29</v>
      </c>
      <c r="T626" s="12">
        <f>Tabela32[[#This Row],[Entregas]]-Tabela32[[#This Row],[Realizadas]]</f>
        <v>0</v>
      </c>
      <c r="U626" s="18">
        <f>Tabela32[[#This Row],[Realizadas]]/Tabela32[[#This Row],[Entregas]]</f>
        <v>1</v>
      </c>
      <c r="V626" s="19" t="str">
        <f>IF(Tabela32[[#This Row],[% Entrega]]&gt;=96%,"Atendeu a Meta","Não Atendeu a Meta")</f>
        <v>Atendeu a Meta</v>
      </c>
      <c r="W626" s="4" t="s">
        <v>39</v>
      </c>
      <c r="X626" s="4">
        <v>0</v>
      </c>
      <c r="Y626" s="5">
        <v>0</v>
      </c>
    </row>
    <row r="627" spans="1:25" x14ac:dyDescent="0.25">
      <c r="A627" s="8">
        <v>46318</v>
      </c>
      <c r="B627" s="26">
        <f>YEAR(Tabela32[[#This Row],[Data]])</f>
        <v>2026</v>
      </c>
      <c r="C627" s="26">
        <f>MONTH(Tabela32[[#This Row],[Data]])</f>
        <v>10</v>
      </c>
      <c r="D627" s="4" t="s">
        <v>53</v>
      </c>
      <c r="E627" s="4">
        <v>11</v>
      </c>
      <c r="F627" s="4" t="str">
        <f>IFERROR(VLOOKUP(Tabela32[[#This Row],[Placa]],Planilha2!$A$1:$B$12,2,0),"")</f>
        <v>Arnaldo</v>
      </c>
      <c r="G627" s="10">
        <v>12573.76</v>
      </c>
      <c r="H627" s="10">
        <v>247780.94</v>
      </c>
      <c r="I627" s="4">
        <v>1549</v>
      </c>
      <c r="J627" s="17">
        <f>IFERROR(Tabela32[[#This Row],[Valor Frete]]/Tabela32[[#This Row],[Valor Mercadoria]],"")</f>
        <v>5.0745468961414061E-2</v>
      </c>
      <c r="K627" s="11">
        <v>0.28055555555555556</v>
      </c>
      <c r="L627" s="15">
        <v>0.7368055555555556</v>
      </c>
      <c r="M627" s="15">
        <f>Tabela32[[#This Row],[Hr Chegada]]-Tabela32[[#This Row],[Hr Saida]]</f>
        <v>0.45625000000000004</v>
      </c>
      <c r="N627" s="4">
        <v>15351</v>
      </c>
      <c r="O627" s="4">
        <v>15481</v>
      </c>
      <c r="P627" s="4">
        <f>Tabela32[[#This Row],[Km Chegada]]-Tabela32[[#This Row],[Km Saída]]</f>
        <v>130</v>
      </c>
      <c r="Q627" s="4">
        <v>230</v>
      </c>
      <c r="R627" s="4">
        <v>45</v>
      </c>
      <c r="S627" s="4">
        <v>45</v>
      </c>
      <c r="T627" s="12">
        <f>Tabela32[[#This Row],[Entregas]]-Tabela32[[#This Row],[Realizadas]]</f>
        <v>0</v>
      </c>
      <c r="U627" s="18">
        <f>Tabela32[[#This Row],[Realizadas]]/Tabela32[[#This Row],[Entregas]]</f>
        <v>1</v>
      </c>
      <c r="V627" s="19" t="str">
        <f>IF(Tabela32[[#This Row],[% Entrega]]&gt;=96%,"Atendeu a Meta","Não Atendeu a Meta")</f>
        <v>Atendeu a Meta</v>
      </c>
      <c r="W627" s="4" t="s">
        <v>41</v>
      </c>
      <c r="X627" s="4">
        <v>0</v>
      </c>
      <c r="Y627" s="5">
        <v>38.380000000000003</v>
      </c>
    </row>
    <row r="628" spans="1:25" x14ac:dyDescent="0.25">
      <c r="A628" s="8">
        <v>46318</v>
      </c>
      <c r="B628" s="26">
        <f>YEAR(Tabela32[[#This Row],[Data]])</f>
        <v>2026</v>
      </c>
      <c r="C628" s="26">
        <f>MONTH(Tabela32[[#This Row],[Data]])</f>
        <v>10</v>
      </c>
      <c r="D628" s="4" t="s">
        <v>27</v>
      </c>
      <c r="E628" s="4">
        <v>1</v>
      </c>
      <c r="F628" s="4" t="str">
        <f>IFERROR(VLOOKUP(Tabela32[[#This Row],[Placa]],Planilha2!$A$1:$B$12,2,0),"")</f>
        <v>Rosinaldo</v>
      </c>
      <c r="G628" s="10">
        <v>4628.04</v>
      </c>
      <c r="H628" s="10">
        <v>71220.009999999995</v>
      </c>
      <c r="I628" s="4">
        <v>522</v>
      </c>
      <c r="J628" s="17">
        <f>IFERROR(Tabela32[[#This Row],[Valor Frete]]/Tabela32[[#This Row],[Valor Mercadoria]],"")</f>
        <v>6.4982299216189393E-2</v>
      </c>
      <c r="K628" s="11">
        <v>0.56944444444444442</v>
      </c>
      <c r="L628" s="15">
        <v>0.74791666666666667</v>
      </c>
      <c r="M628" s="15">
        <f>Tabela32[[#This Row],[Hr Chegada]]-Tabela32[[#This Row],[Hr Saida]]</f>
        <v>0.17847222222222225</v>
      </c>
      <c r="N628" s="4">
        <v>293006</v>
      </c>
      <c r="O628" s="4">
        <v>293021</v>
      </c>
      <c r="P628" s="4">
        <f>Tabela32[[#This Row],[Km Chegada]]-Tabela32[[#This Row],[Km Saída]]</f>
        <v>15</v>
      </c>
      <c r="Q628" s="4">
        <v>71</v>
      </c>
      <c r="R628" s="4">
        <v>23</v>
      </c>
      <c r="S628" s="4">
        <v>23</v>
      </c>
      <c r="T628" s="12">
        <f>Tabela32[[#This Row],[Entregas]]-Tabela32[[#This Row],[Realizadas]]</f>
        <v>0</v>
      </c>
      <c r="U628" s="18">
        <f>Tabela32[[#This Row],[Realizadas]]/Tabela32[[#This Row],[Entregas]]</f>
        <v>1</v>
      </c>
      <c r="V628" s="19" t="str">
        <f>IF(Tabela32[[#This Row],[% Entrega]]&gt;=96%,"Atendeu a Meta","Não Atendeu a Meta")</f>
        <v>Atendeu a Meta</v>
      </c>
      <c r="W628" s="4" t="s">
        <v>43</v>
      </c>
      <c r="X628" s="4">
        <v>0</v>
      </c>
      <c r="Y628" s="5">
        <v>0</v>
      </c>
    </row>
    <row r="629" spans="1:25" x14ac:dyDescent="0.25">
      <c r="A629" s="8">
        <v>46318</v>
      </c>
      <c r="B629" s="26">
        <f>YEAR(Tabela32[[#This Row],[Data]])</f>
        <v>2026</v>
      </c>
      <c r="C629" s="26">
        <f>MONTH(Tabela32[[#This Row],[Data]])</f>
        <v>10</v>
      </c>
      <c r="D629" s="4" t="s">
        <v>29</v>
      </c>
      <c r="E629" s="4">
        <v>1</v>
      </c>
      <c r="F629" s="4" t="str">
        <f>IFERROR(VLOOKUP(Tabela32[[#This Row],[Placa]],Planilha2!$A$1:$B$12,2,0),"")</f>
        <v>Sandro</v>
      </c>
      <c r="G629" s="10">
        <v>1228</v>
      </c>
      <c r="H629" s="10">
        <v>8695.44</v>
      </c>
      <c r="I629" s="4">
        <v>4</v>
      </c>
      <c r="J629" s="17">
        <f>IFERROR(Tabela32[[#This Row],[Valor Frete]]/Tabela32[[#This Row],[Valor Mercadoria]],"")</f>
        <v>0.14122344585207877</v>
      </c>
      <c r="K629" s="11">
        <v>0.29166666666666669</v>
      </c>
      <c r="L629" s="15">
        <v>0.72916666666666663</v>
      </c>
      <c r="M629" s="15">
        <f>Tabela32[[#This Row],[Hr Chegada]]-Tabela32[[#This Row],[Hr Saida]]</f>
        <v>0.43749999999999994</v>
      </c>
      <c r="N629" s="4">
        <v>277541</v>
      </c>
      <c r="O629" s="4">
        <v>277599</v>
      </c>
      <c r="P629" s="4">
        <f>Tabela32[[#This Row],[Km Chegada]]-Tabela32[[#This Row],[Km Saída]]</f>
        <v>58</v>
      </c>
      <c r="Q629" s="4">
        <v>4</v>
      </c>
      <c r="R629" s="4">
        <v>2</v>
      </c>
      <c r="S629" s="4">
        <v>2</v>
      </c>
      <c r="T629" s="12">
        <f>Tabela32[[#This Row],[Entregas]]-Tabela32[[#This Row],[Realizadas]]</f>
        <v>0</v>
      </c>
      <c r="U629" s="18">
        <f>Tabela32[[#This Row],[Realizadas]]/Tabela32[[#This Row],[Entregas]]</f>
        <v>1</v>
      </c>
      <c r="V629" s="19" t="str">
        <f>IF(Tabela32[[#This Row],[% Entrega]]&gt;=96%,"Atendeu a Meta","Não Atendeu a Meta")</f>
        <v>Atendeu a Meta</v>
      </c>
      <c r="W629" s="4" t="s">
        <v>40</v>
      </c>
      <c r="X629" s="4">
        <v>0</v>
      </c>
      <c r="Y629" s="5">
        <v>0</v>
      </c>
    </row>
    <row r="630" spans="1:25" x14ac:dyDescent="0.25">
      <c r="A630" s="8">
        <v>46318</v>
      </c>
      <c r="B630" s="26">
        <f>YEAR(Tabela32[[#This Row],[Data]])</f>
        <v>2026</v>
      </c>
      <c r="C630" s="26">
        <f>MONTH(Tabela32[[#This Row],[Data]])</f>
        <v>10</v>
      </c>
      <c r="D630" s="4" t="s">
        <v>25</v>
      </c>
      <c r="E630" s="4">
        <v>4</v>
      </c>
      <c r="F630" s="4" t="str">
        <f>IFERROR(VLOOKUP(Tabela32[[#This Row],[Placa]],Planilha2!$A$1:$B$12,2,0),"")</f>
        <v>Gilberto</v>
      </c>
      <c r="G630" s="10">
        <v>5900.89</v>
      </c>
      <c r="H630" s="10">
        <v>147619.81</v>
      </c>
      <c r="I630" s="4">
        <v>955</v>
      </c>
      <c r="J630" s="17">
        <f>IFERROR(Tabela32[[#This Row],[Valor Frete]]/Tabela32[[#This Row],[Valor Mercadoria]],"")</f>
        <v>3.9973564523623224E-2</v>
      </c>
      <c r="K630" s="11">
        <v>0.29166666666666669</v>
      </c>
      <c r="L630" s="15">
        <v>0.70833333333333337</v>
      </c>
      <c r="M630" s="15">
        <f>Tabela32[[#This Row],[Hr Chegada]]-Tabela32[[#This Row],[Hr Saida]]</f>
        <v>0.41666666666666669</v>
      </c>
      <c r="N630" s="4">
        <v>121402</v>
      </c>
      <c r="O630" s="4">
        <v>121471</v>
      </c>
      <c r="P630" s="4">
        <f>Tabela32[[#This Row],[Km Chegada]]-Tabela32[[#This Row],[Km Saída]]</f>
        <v>69</v>
      </c>
      <c r="Q630" s="4">
        <v>143</v>
      </c>
      <c r="R630" s="4">
        <v>28</v>
      </c>
      <c r="S630" s="4">
        <v>28</v>
      </c>
      <c r="T630" s="12">
        <f>Tabela32[[#This Row],[Entregas]]-Tabela32[[#This Row],[Realizadas]]</f>
        <v>0</v>
      </c>
      <c r="U630" s="18">
        <f>Tabela32[[#This Row],[Realizadas]]/Tabela32[[#This Row],[Entregas]]</f>
        <v>1</v>
      </c>
      <c r="V630" s="19" t="str">
        <f>IF(Tabela32[[#This Row],[% Entrega]]&gt;=96%,"Atendeu a Meta","Não Atendeu a Meta")</f>
        <v>Atendeu a Meta</v>
      </c>
      <c r="W630" s="4" t="s">
        <v>39</v>
      </c>
      <c r="X630" s="4">
        <v>0</v>
      </c>
      <c r="Y630" s="5">
        <v>0</v>
      </c>
    </row>
    <row r="631" spans="1:25" x14ac:dyDescent="0.25">
      <c r="A631" s="8">
        <v>46319</v>
      </c>
      <c r="B631" s="26">
        <f>YEAR(Tabela32[[#This Row],[Data]])</f>
        <v>2026</v>
      </c>
      <c r="C631" s="26">
        <f>MONTH(Tabela32[[#This Row],[Data]])</f>
        <v>10</v>
      </c>
      <c r="D631" s="4" t="s">
        <v>22</v>
      </c>
      <c r="E631" s="4">
        <v>3</v>
      </c>
      <c r="F631" s="4" t="str">
        <f>IFERROR(VLOOKUP(Tabela32[[#This Row],[Placa]],Planilha2!$A$1:$B$12,2,0),"")</f>
        <v>Juscelino</v>
      </c>
      <c r="G631" s="10">
        <v>7160.94</v>
      </c>
      <c r="H631" s="10">
        <v>68056.27</v>
      </c>
      <c r="I631" s="4">
        <v>1468</v>
      </c>
      <c r="J631" s="17">
        <f>IFERROR(Tabela32[[#This Row],[Valor Frete]]/Tabela32[[#This Row],[Valor Mercadoria]],"")</f>
        <v>0.10522087090579603</v>
      </c>
      <c r="K631" s="11">
        <v>0.3125</v>
      </c>
      <c r="L631" s="15">
        <v>0.51111111111111107</v>
      </c>
      <c r="M631" s="15">
        <f>Tabela32[[#This Row],[Hr Chegada]]-Tabela32[[#This Row],[Hr Saida]]</f>
        <v>0.19861111111111107</v>
      </c>
      <c r="N631" s="4">
        <v>307019</v>
      </c>
      <c r="O631" s="4">
        <v>307058</v>
      </c>
      <c r="P631" s="4">
        <f>Tabela32[[#This Row],[Km Chegada]]-Tabela32[[#This Row],[Km Saída]]</f>
        <v>39</v>
      </c>
      <c r="Q631" s="4">
        <v>261</v>
      </c>
      <c r="R631" s="4">
        <v>2</v>
      </c>
      <c r="S631" s="4">
        <v>2</v>
      </c>
      <c r="T631" s="12">
        <f>Tabela32[[#This Row],[Entregas]]-Tabela32[[#This Row],[Realizadas]]</f>
        <v>0</v>
      </c>
      <c r="U631" s="18">
        <f>Tabela32[[#This Row],[Realizadas]]/Tabela32[[#This Row],[Entregas]]</f>
        <v>1</v>
      </c>
      <c r="V631" s="19" t="str">
        <f>IF(Tabela32[[#This Row],[% Entrega]]&gt;=96%,"Atendeu a Meta","Não Atendeu a Meta")</f>
        <v>Atendeu a Meta</v>
      </c>
      <c r="W631" s="4" t="s">
        <v>39</v>
      </c>
      <c r="X631" s="4">
        <v>0</v>
      </c>
      <c r="Y631" s="5">
        <v>0</v>
      </c>
    </row>
    <row r="632" spans="1:25" x14ac:dyDescent="0.25">
      <c r="A632" s="8">
        <v>46319</v>
      </c>
      <c r="B632" s="26">
        <f>YEAR(Tabela32[[#This Row],[Data]])</f>
        <v>2026</v>
      </c>
      <c r="C632" s="26">
        <f>MONTH(Tabela32[[#This Row],[Data]])</f>
        <v>10</v>
      </c>
      <c r="D632" s="4" t="s">
        <v>27</v>
      </c>
      <c r="E632" s="4">
        <v>1</v>
      </c>
      <c r="F632" s="4" t="str">
        <f>IFERROR(VLOOKUP(Tabela32[[#This Row],[Placa]],Planilha2!$A$1:$B$12,2,0),"")</f>
        <v>Rosinaldo</v>
      </c>
      <c r="G632" s="10">
        <v>3879.18</v>
      </c>
      <c r="H632" s="10">
        <v>51649.16</v>
      </c>
      <c r="I632" s="4">
        <v>171</v>
      </c>
      <c r="J632" s="17">
        <f>IFERROR(Tabela32[[#This Row],[Valor Frete]]/Tabela32[[#This Row],[Valor Mercadoria]],"")</f>
        <v>7.5106352165262694E-2</v>
      </c>
      <c r="K632" s="11">
        <v>0.29166666666666669</v>
      </c>
      <c r="L632" s="15">
        <v>0.52500000000000002</v>
      </c>
      <c r="M632" s="15">
        <f>Tabela32[[#This Row],[Hr Chegada]]-Tabela32[[#This Row],[Hr Saida]]</f>
        <v>0.23333333333333334</v>
      </c>
      <c r="N632" s="4">
        <v>293061</v>
      </c>
      <c r="O632" s="4">
        <v>293106</v>
      </c>
      <c r="P632" s="4">
        <f>Tabela32[[#This Row],[Km Chegada]]-Tabela32[[#This Row],[Km Saída]]</f>
        <v>45</v>
      </c>
      <c r="Q632" s="4">
        <v>23</v>
      </c>
      <c r="R632" s="4">
        <v>3</v>
      </c>
      <c r="S632" s="4">
        <v>3</v>
      </c>
      <c r="T632" s="12">
        <f>Tabela32[[#This Row],[Entregas]]-Tabela32[[#This Row],[Realizadas]]</f>
        <v>0</v>
      </c>
      <c r="U632" s="18">
        <f>Tabela32[[#This Row],[Realizadas]]/Tabela32[[#This Row],[Entregas]]</f>
        <v>1</v>
      </c>
      <c r="V632" s="19" t="str">
        <f>IF(Tabela32[[#This Row],[% Entrega]]&gt;=96%,"Atendeu a Meta","Não Atendeu a Meta")</f>
        <v>Atendeu a Meta</v>
      </c>
      <c r="W632" s="4" t="s">
        <v>40</v>
      </c>
      <c r="X632" s="4">
        <v>0</v>
      </c>
      <c r="Y632" s="5">
        <v>0</v>
      </c>
    </row>
    <row r="633" spans="1:25" x14ac:dyDescent="0.25">
      <c r="A633" s="8">
        <v>46319</v>
      </c>
      <c r="B633" s="26">
        <f>YEAR(Tabela32[[#This Row],[Data]])</f>
        <v>2026</v>
      </c>
      <c r="C633" s="26">
        <f>MONTH(Tabela32[[#This Row],[Data]])</f>
        <v>10</v>
      </c>
      <c r="D633" s="4" t="s">
        <v>33</v>
      </c>
      <c r="E633" s="4">
        <v>4</v>
      </c>
      <c r="F633" s="4" t="str">
        <f>IFERROR(VLOOKUP(Tabela32[[#This Row],[Placa]],Planilha2!$A$1:$B$12,2,0),"")</f>
        <v>Paulo</v>
      </c>
      <c r="G633" s="10">
        <v>5178.0200000000004</v>
      </c>
      <c r="H633" s="10">
        <v>38996.370000000003</v>
      </c>
      <c r="I633" s="4">
        <v>1083</v>
      </c>
      <c r="J633" s="17">
        <f>IFERROR(Tabela32[[#This Row],[Valor Frete]]/Tabela32[[#This Row],[Valor Mercadoria]],"")</f>
        <v>0.13278210253928763</v>
      </c>
      <c r="K633" s="11">
        <v>0.3125</v>
      </c>
      <c r="L633" s="15">
        <v>0.45694444444444443</v>
      </c>
      <c r="M633" s="15">
        <f>Tabela32[[#This Row],[Hr Chegada]]-Tabela32[[#This Row],[Hr Saida]]</f>
        <v>0.14444444444444443</v>
      </c>
      <c r="N633" s="4">
        <v>158158</v>
      </c>
      <c r="O633" s="4">
        <v>158213</v>
      </c>
      <c r="P633" s="4">
        <f>Tabela32[[#This Row],[Km Chegada]]-Tabela32[[#This Row],[Km Saída]]</f>
        <v>55</v>
      </c>
      <c r="Q633" s="4">
        <v>168</v>
      </c>
      <c r="R633" s="4">
        <v>1</v>
      </c>
      <c r="S633" s="4">
        <v>1</v>
      </c>
      <c r="T633" s="12">
        <f>Tabela32[[#This Row],[Entregas]]-Tabela32[[#This Row],[Realizadas]]</f>
        <v>0</v>
      </c>
      <c r="U633" s="18">
        <f>Tabela32[[#This Row],[Realizadas]]/Tabela32[[#This Row],[Entregas]]</f>
        <v>1</v>
      </c>
      <c r="V633" s="19" t="str">
        <f>IF(Tabela32[[#This Row],[% Entrega]]&gt;=96%,"Atendeu a Meta","Não Atendeu a Meta")</f>
        <v>Atendeu a Meta</v>
      </c>
      <c r="W633" s="4" t="s">
        <v>39</v>
      </c>
      <c r="X633" s="4">
        <v>0</v>
      </c>
      <c r="Y633" s="5">
        <v>0</v>
      </c>
    </row>
    <row r="634" spans="1:25" x14ac:dyDescent="0.25">
      <c r="A634" s="8">
        <v>46319</v>
      </c>
      <c r="B634" s="26">
        <f>YEAR(Tabela32[[#This Row],[Data]])</f>
        <v>2026</v>
      </c>
      <c r="C634" s="26">
        <f>MONTH(Tabela32[[#This Row],[Data]])</f>
        <v>10</v>
      </c>
      <c r="D634" s="4" t="s">
        <v>53</v>
      </c>
      <c r="E634" s="4">
        <v>11</v>
      </c>
      <c r="F634" s="4" t="str">
        <f>IFERROR(VLOOKUP(Tabela32[[#This Row],[Placa]],Planilha2!$A$1:$B$12,2,0),"")</f>
        <v>Arnaldo</v>
      </c>
      <c r="G634" s="10">
        <v>6066.44</v>
      </c>
      <c r="H634" s="10">
        <v>93360.8</v>
      </c>
      <c r="I634" s="4">
        <v>709</v>
      </c>
      <c r="J634" s="17">
        <f>IFERROR(Tabela32[[#This Row],[Valor Frete]]/Tabela32[[#This Row],[Valor Mercadoria]],"")</f>
        <v>6.4978449199235649E-2</v>
      </c>
      <c r="K634" s="11">
        <v>0.30069444444444443</v>
      </c>
      <c r="L634" s="15">
        <v>0.55000000000000004</v>
      </c>
      <c r="M634" s="15">
        <f>Tabela32[[#This Row],[Hr Chegada]]-Tabela32[[#This Row],[Hr Saida]]</f>
        <v>0.24930555555555561</v>
      </c>
      <c r="N634" s="4">
        <v>15483</v>
      </c>
      <c r="O634" s="4">
        <v>15604</v>
      </c>
      <c r="P634" s="4">
        <f>Tabela32[[#This Row],[Km Chegada]]-Tabela32[[#This Row],[Km Saída]]</f>
        <v>121</v>
      </c>
      <c r="Q634" s="4">
        <v>94</v>
      </c>
      <c r="R634" s="4">
        <v>24</v>
      </c>
      <c r="S634" s="4">
        <v>24</v>
      </c>
      <c r="T634" s="12">
        <f>Tabela32[[#This Row],[Entregas]]-Tabela32[[#This Row],[Realizadas]]</f>
        <v>0</v>
      </c>
      <c r="U634" s="18">
        <f>Tabela32[[#This Row],[Realizadas]]/Tabela32[[#This Row],[Entregas]]</f>
        <v>1</v>
      </c>
      <c r="V634" s="19" t="str">
        <f>IF(Tabela32[[#This Row],[% Entrega]]&gt;=96%,"Atendeu a Meta","Não Atendeu a Meta")</f>
        <v>Atendeu a Meta</v>
      </c>
      <c r="W634" s="4" t="s">
        <v>41</v>
      </c>
      <c r="X634" s="4">
        <v>0</v>
      </c>
      <c r="Y634" s="5">
        <v>0</v>
      </c>
    </row>
    <row r="635" spans="1:25" x14ac:dyDescent="0.25">
      <c r="A635" s="8">
        <v>46319</v>
      </c>
      <c r="B635" s="26">
        <f>YEAR(Tabela32[[#This Row],[Data]])</f>
        <v>2026</v>
      </c>
      <c r="C635" s="26">
        <f>MONTH(Tabela32[[#This Row],[Data]])</f>
        <v>10</v>
      </c>
      <c r="D635" s="4" t="s">
        <v>23</v>
      </c>
      <c r="E635" s="4">
        <v>3</v>
      </c>
      <c r="F635" s="4" t="str">
        <f>IFERROR(VLOOKUP(Tabela32[[#This Row],[Placa]],Planilha2!$A$1:$B$12,2,0),"")</f>
        <v>William</v>
      </c>
      <c r="G635" s="10">
        <v>3234.09</v>
      </c>
      <c r="H635" s="10">
        <v>142339.99</v>
      </c>
      <c r="I635" s="4">
        <v>463</v>
      </c>
      <c r="J635" s="17">
        <f>IFERROR(Tabela32[[#This Row],[Valor Frete]]/Tabela32[[#This Row],[Valor Mercadoria]],"")</f>
        <v>2.2720881180334496E-2</v>
      </c>
      <c r="K635" s="11">
        <v>0.3125</v>
      </c>
      <c r="L635" s="15">
        <v>0.51041666666666663</v>
      </c>
      <c r="M635" s="15">
        <f>Tabela32[[#This Row],[Hr Chegada]]-Tabela32[[#This Row],[Hr Saida]]</f>
        <v>0.19791666666666663</v>
      </c>
      <c r="N635" s="4">
        <v>127533</v>
      </c>
      <c r="O635" s="4">
        <v>127574</v>
      </c>
      <c r="P635" s="4">
        <f>Tabela32[[#This Row],[Km Chegada]]-Tabela32[[#This Row],[Km Saída]]</f>
        <v>41</v>
      </c>
      <c r="Q635" s="4">
        <v>182</v>
      </c>
      <c r="R635" s="4">
        <v>12</v>
      </c>
      <c r="S635" s="4">
        <v>12</v>
      </c>
      <c r="T635" s="12">
        <f>Tabela32[[#This Row],[Entregas]]-Tabela32[[#This Row],[Realizadas]]</f>
        <v>0</v>
      </c>
      <c r="U635" s="18">
        <f>Tabela32[[#This Row],[Realizadas]]/Tabela32[[#This Row],[Entregas]]</f>
        <v>1</v>
      </c>
      <c r="V635" s="19" t="str">
        <f>IF(Tabela32[[#This Row],[% Entrega]]&gt;=96%,"Atendeu a Meta","Não Atendeu a Meta")</f>
        <v>Atendeu a Meta</v>
      </c>
      <c r="W635" s="4" t="s">
        <v>39</v>
      </c>
      <c r="X635" s="4">
        <v>0</v>
      </c>
      <c r="Y635" s="5">
        <v>0</v>
      </c>
    </row>
  </sheetData>
  <conditionalFormatting sqref="J2:J635">
    <cfRule type="cellIs" dxfId="65" priority="1" operator="lessThan">
      <formula>0.05</formula>
    </cfRule>
    <cfRule type="cellIs" dxfId="64" priority="2" operator="greaterThanOrEqual">
      <formula>0.05</formula>
    </cfRule>
  </conditionalFormatting>
  <conditionalFormatting sqref="U2:U635">
    <cfRule type="cellIs" dxfId="63" priority="7" stopIfTrue="1" operator="lessThanOrEqual">
      <formula>0.949</formula>
    </cfRule>
    <cfRule type="cellIs" dxfId="62" priority="8" stopIfTrue="1" operator="greaterThanOrEqual">
      <formula>0.9</formula>
    </cfRule>
    <cfRule type="cellIs" dxfId="61" priority="9" stopIfTrue="1" operator="greaterThanOrEqual">
      <formula>90</formula>
    </cfRule>
    <cfRule type="cellIs" dxfId="60" priority="10" stopIfTrue="1" operator="lessThan">
      <formula>0</formula>
    </cfRule>
    <cfRule type="cellIs" dxfId="59" priority="11" stopIfTrue="1" operator="lessThan">
      <formula>1</formula>
    </cfRule>
    <cfRule type="cellIs" dxfId="58" priority="12" stopIfTrue="1" operator="greaterThan">
      <formula>100</formula>
    </cfRule>
    <cfRule type="cellIs" dxfId="57" priority="13" stopIfTrue="1" operator="greaterThan">
      <formula>1</formula>
    </cfRule>
  </conditionalFormatting>
  <conditionalFormatting sqref="V2:V635">
    <cfRule type="expression" dxfId="56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55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2026-10-26T16:28:21Z</dcterms:modified>
</cp:coreProperties>
</file>