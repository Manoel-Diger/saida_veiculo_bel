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39428DC2-861B-42DC-99E1-AA97B008F0D5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2" i="4" l="1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K11" i="3"/>
  <c r="M11" i="3"/>
  <c r="Q11" i="3"/>
  <c r="R11" i="3"/>
  <c r="S11" i="3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K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<sst xmlns="http://schemas.openxmlformats.org/spreadsheetml/2006/main" count="736" uniqueCount="82">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</sst>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7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1" totalsRowShown="0" headerRowDxfId="144" dataDxfId="142" headerRowBorderDxfId="143" tableBorderDxfId="141" totalsRowBorderDxfId="140" headerRowCellStyle="Normal 2 2 2">
  <autoFilter ref="A1:V11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312" totalsRowShown="0" headerRowDxfId="40" dataDxfId="39" headerRowBorderDxfId="37" tableBorderDxfId="38" totalsRowBorderDxfId="36">
  <tableColumns count="25">
    <tableColumn id="1" xr3:uid="{B118DAB0-A500-46F5-A61D-A15BA1838F69}" name="Data" dataDxfId="35"/>
    <tableColumn id="25" xr3:uid="{DAA903FE-736A-4CBF-95D8-B9E859203B97}" name="Ano" dataDxfId="34">
      <calculatedColumnFormula>YEAR(Tabela32[[#This Row],[Data]])</calculatedColumnFormula>
    </tableColumn>
    <tableColumn id="5" xr3:uid="{90D6CF8C-ACE3-46EA-828E-BB258996DD8F}" name="Mês" dataDxfId="33">
      <calculatedColumnFormula>MONTH(Tabela32[[#This Row],[Data]])</calculatedColumnFormula>
    </tableColumn>
    <tableColumn id="2" xr3:uid="{9E2D603E-103D-4F88-A5C8-5E9A03E2A3EE}" name="Placa" dataDxfId="32"/>
    <tableColumn id="3" xr3:uid="{7935B67B-4456-42E7-8B2D-EAF1D5C1B4F9}" name="Rota" dataDxfId="31"/>
    <tableColumn id="4" xr3:uid="{74C94A9C-B298-4701-847E-59C66BC8BBC2}" name="Motorista" dataDxfId="30">
      <calculatedColumnFormula>IFERROR(VLOOKUP(Tabela32[[#This Row],[Placa]],Planilha2!$A$1:$B$12,2,0),"")</calculatedColumnFormula>
    </tableColumn>
    <tableColumn id="6" xr3:uid="{694C94D7-8F01-480E-AA0C-B9B0FA8D2345}" name="Valor Frete" dataDxfId="29" dataCellStyle="Moeda"/>
    <tableColumn id="7" xr3:uid="{7D623530-7EED-4526-B289-B392FA2EF883}" name="Valor Mercadoria" dataDxfId="28" dataCellStyle="Moeda"/>
    <tableColumn id="8" xr3:uid="{3D927A69-B557-47A5-A269-05DEBEF85C73}" name="Peso" dataDxfId="27"/>
    <tableColumn id="9" xr3:uid="{69BC588C-6D01-4257-B2D9-CF2D843D1C40}" name="% Frete" dataDxfId="26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25"/>
    <tableColumn id="11" xr3:uid="{3B907CC4-B262-4107-87FF-1E75280AC1BF}" name="Hr Chegada" dataDxfId="24"/>
    <tableColumn id="12" xr3:uid="{ED725939-179A-4D21-873C-15774DD68F53}" name="Tempo" dataDxfId="23">
      <calculatedColumnFormula>Tabela32[[#This Row],[Hr Chegada]]-Tabela32[[#This Row],[Hr Saida]]</calculatedColumnFormula>
    </tableColumn>
    <tableColumn id="13" xr3:uid="{74EA350D-6976-4E2D-A058-0785043C5735}" name="Km Saída" dataDxfId="22"/>
    <tableColumn id="14" xr3:uid="{496AFEAD-5BFE-466C-B0AF-20375AAEECFC}" name="Km Chegada" dataDxfId="21"/>
    <tableColumn id="15" xr3:uid="{AB2841F1-639E-4525-98D9-0FAED04E102B}" name="Km/Dia" dataDxfId="20">
      <calculatedColumnFormula>Tabela32[[#This Row],[Km Chegada]]-Tabela32[[#This Row],[Km Saída]]</calculatedColumnFormula>
    </tableColumn>
    <tableColumn id="16" xr3:uid="{D83FBC01-4652-43E1-B278-CE34A958D106}" name="Vols" dataDxfId="19"/>
    <tableColumn id="17" xr3:uid="{CA7BF05C-1770-40EE-89A9-C80AA88EFC06}" name="Entregas" dataDxfId="18"/>
    <tableColumn id="18" xr3:uid="{037F6348-AFD4-431D-99B0-8147EA9E213B}" name="Realizadas" dataDxfId="17"/>
    <tableColumn id="19" xr3:uid="{196A1910-314C-450C-B67A-E51295FA6A18}" name=" Retornadas" dataDxfId="16">
      <calculatedColumnFormula>Tabela32[[#This Row],[Entregas]]-Tabela32[[#This Row],[Realizadas]]</calculatedColumnFormula>
    </tableColumn>
    <tableColumn id="20" xr3:uid="{F0BBC004-BAAB-43E2-A50E-1DD3FAEFD5F0}" name="% Entrega" dataDxfId="15" dataCellStyle="Moeda">
      <calculatedColumnFormula>Tabela32[[#This Row],[Realizadas]]/Tabela32[[#This Row],[Entregas]]</calculatedColumnFormula>
    </tableColumn>
    <tableColumn id="21" xr3:uid="{BB53A276-7721-4934-9C42-DB7E1D2740B3}" name="Meta" dataDxfId="14">
      <calculatedColumnFormula>IF(Tabela32[[#This Row],[% Entrega]]&gt;=96%,"Atendeu a Meta","Não Atendeu a Meta")</calculatedColumnFormula>
    </tableColumn>
    <tableColumn id="22" xr3:uid="{CE1DD687-26CA-4D2F-BCFC-661EB14CAD0F}" name="Cidade Destino" dataDxfId="13"/>
    <tableColumn id="23" xr3:uid="{F8FFD74E-1FF0-45CC-9EA9-8E8EA807957C}" name="Nfs Voltaram" dataDxfId="12"/>
    <tableColumn id="24" xr3:uid="{2EC98F08-AFB3-40A3-B3CE-1C9A788E39CD}" name="Ocorrência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22</v>
      </c>
      <c r="B1" t="s">
        <v>56</v>
      </c>
    </row>
    <row r="2" spans="1:2" x14ac:dyDescent="0.25">
      <c r="A2" t="s">
        <v>23</v>
      </c>
      <c r="B2" t="s">
        <v>79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63</v>
      </c>
    </row>
    <row r="5" spans="1:2" x14ac:dyDescent="0.25">
      <c r="A5" t="s">
        <v>28</v>
      </c>
      <c r="B5" t="s">
        <v>57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55</v>
      </c>
    </row>
    <row r="10" spans="1:2" x14ac:dyDescent="0.25">
      <c r="A10" t="s">
        <v>36</v>
      </c>
      <c r="B10" t="s">
        <v>42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54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11" sqref="M11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47</v>
      </c>
      <c r="M1" s="2" t="s">
        <v>48</v>
      </c>
      <c r="N1" s="2" t="s">
        <v>43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45</v>
      </c>
      <c r="C2" s="4"/>
      <c r="D2" s="4" t="s">
        <v>46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58</v>
      </c>
      <c r="C3" s="4"/>
      <c r="D3" s="4" t="s">
        <v>59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45</v>
      </c>
      <c r="C4" s="4"/>
      <c r="D4" s="4" t="s">
        <v>46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45</v>
      </c>
      <c r="C5" s="4"/>
      <c r="D5" s="4" t="s">
        <v>46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44</v>
      </c>
      <c r="U5" s="4"/>
      <c r="V5" s="5"/>
    </row>
    <row r="6" spans="1:22" x14ac:dyDescent="0.25">
      <c r="A6" s="8">
        <v>46247</v>
      </c>
      <c r="B6" s="8" t="s">
        <v>45</v>
      </c>
      <c r="C6" s="4"/>
      <c r="D6" s="4" t="s">
        <v>46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45</v>
      </c>
      <c r="C7" s="4"/>
      <c r="D7" s="4" t="s">
        <v>46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44</v>
      </c>
      <c r="U7" s="4">
        <v>1</v>
      </c>
      <c r="V7" s="5">
        <v>9</v>
      </c>
    </row>
    <row r="8" spans="1:22" x14ac:dyDescent="0.25">
      <c r="A8" s="8">
        <v>46253</v>
      </c>
      <c r="B8" s="8" t="s">
        <v>66</v>
      </c>
      <c r="C8" s="4"/>
      <c r="D8" s="4" t="s">
        <v>67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58</v>
      </c>
      <c r="C9" s="4"/>
      <c r="D9" s="4" t="s">
        <v>46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58</v>
      </c>
      <c r="C10" s="4"/>
      <c r="D10" s="4" t="s">
        <v>46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45</v>
      </c>
      <c r="C11" s="4"/>
      <c r="D11" s="4" t="s">
        <v>46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</sheetData>
  <conditionalFormatting sqref="H2:H11">
    <cfRule type="cellIs" dxfId="117" priority="1" operator="lessThan">
      <formula>0.05</formula>
    </cfRule>
    <cfRule type="cellIs" dxfId="116" priority="2" operator="greaterThanOrEqual">
      <formula>0.05</formula>
    </cfRule>
  </conditionalFormatting>
  <conditionalFormatting sqref="R2:R11">
    <cfRule type="cellIs" dxfId="115" priority="7" stopIfTrue="1" operator="lessThanOrEqual">
      <formula>0.949</formula>
    </cfRule>
    <cfRule type="cellIs" dxfId="114" priority="8" stopIfTrue="1" operator="greaterThanOrEqual">
      <formula>0.9</formula>
    </cfRule>
    <cfRule type="cellIs" dxfId="113" priority="9" stopIfTrue="1" operator="greaterThanOrEqual">
      <formula>90</formula>
    </cfRule>
    <cfRule type="cellIs" dxfId="112" priority="10" stopIfTrue="1" operator="lessThan">
      <formula>0</formula>
    </cfRule>
    <cfRule type="cellIs" dxfId="111" priority="11" stopIfTrue="1" operator="lessThan">
      <formula>1</formula>
    </cfRule>
    <cfRule type="cellIs" dxfId="110" priority="12" stopIfTrue="1" operator="greaterThan">
      <formula>100</formula>
    </cfRule>
    <cfRule type="cellIs" dxfId="109" priority="13" stopIfTrue="1" operator="greaterThan">
      <formula>1</formula>
    </cfRule>
  </conditionalFormatting>
  <conditionalFormatting sqref="S2:S11">
    <cfRule type="expression" dxfId="10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0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312"/>
  <sheetViews>
    <sheetView showGridLines="0" tabSelected="1" workbookViewId="0">
      <pane xSplit="10" ySplit="1" topLeftCell="W285" activePane="bottomRight" state="frozen"/>
      <selection pane="topRight" activeCell="I1" sqref="I1"/>
      <selection pane="bottomLeft" activeCell="A2" sqref="A2"/>
      <selection pane="bottomRight" activeCell="Y312" sqref="Y312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53</v>
      </c>
      <c r="C1" s="1" t="s">
        <v>52</v>
      </c>
      <c r="D1" s="2" t="s">
        <v>1</v>
      </c>
      <c r="E1" s="2" t="s">
        <v>74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43</v>
      </c>
      <c r="R1" s="2" t="s">
        <v>49</v>
      </c>
      <c r="S1" s="2" t="s">
        <v>50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51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54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44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54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44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44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54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44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44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44</v>
      </c>
      <c r="X38" s="4">
        <v>2</v>
      </c>
      <c r="Y38" s="5" t="s">
        <v>60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44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54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44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44</v>
      </c>
      <c r="X47" s="4">
        <v>2</v>
      </c>
      <c r="Y47" s="5" t="s">
        <v>61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54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62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44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54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70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44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44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54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44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54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44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70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54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54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64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44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44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54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44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64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44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54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65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44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44</v>
      </c>
      <c r="X134" s="4">
        <v>7</v>
      </c>
      <c r="Y134" s="5" t="s">
        <v>69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70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54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54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44</v>
      </c>
      <c r="X142" s="4">
        <v>5</v>
      </c>
      <c r="Y142" s="5" t="s">
        <v>69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44</v>
      </c>
      <c r="X146" s="4">
        <v>3</v>
      </c>
      <c r="Y146" s="5" t="s">
        <v>68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64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54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44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44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54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71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44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44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44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54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72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44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44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54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44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44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44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44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44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54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44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44</v>
      </c>
      <c r="X199" s="4">
        <v>14</v>
      </c>
      <c r="Y199" s="5" t="s">
        <v>73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44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44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54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54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44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64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65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65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44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44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44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75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44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54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44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64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76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54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77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78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44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54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44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54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44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44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54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44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Geber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80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54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44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44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54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26">
        <f>YEAR(Tabela32[[#This Row],[Data]])</f>
        <v>2026</v>
      </c>
      <c r="C301" s="2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44</v>
      </c>
      <c r="X301" s="4">
        <v>2</v>
      </c>
      <c r="Y301" s="5">
        <v>13.13</v>
      </c>
    </row>
    <row r="302" spans="1:25" x14ac:dyDescent="0.25">
      <c r="A302" s="8">
        <v>46279</v>
      </c>
      <c r="B302" s="26">
        <f>YEAR(Tabela32[[#This Row],[Data]])</f>
        <v>2026</v>
      </c>
      <c r="C302" s="2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26">
        <f>YEAR(Tabela32[[#This Row],[Data]])</f>
        <v>2026</v>
      </c>
      <c r="C303" s="2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26">
        <f>YEAR(Tabela32[[#This Row],[Data]])</f>
        <v>2026</v>
      </c>
      <c r="C304" s="2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26">
        <f>YEAR(Tabela32[[#This Row],[Data]])</f>
        <v>2026</v>
      </c>
      <c r="C305" s="2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26">
        <f>YEAR(Tabela32[[#This Row],[Data]])</f>
        <v>2026</v>
      </c>
      <c r="C306" s="2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44</v>
      </c>
      <c r="X306" s="4">
        <v>1</v>
      </c>
      <c r="Y306" s="5">
        <v>10</v>
      </c>
    </row>
    <row r="307" spans="1:25" x14ac:dyDescent="0.25">
      <c r="A307" s="8">
        <v>46279</v>
      </c>
      <c r="B307" s="26">
        <f>YEAR(Tabela32[[#This Row],[Data]])</f>
        <v>2026</v>
      </c>
      <c r="C307" s="2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81</v>
      </c>
    </row>
    <row r="308" spans="1:25" x14ac:dyDescent="0.25">
      <c r="A308" s="8">
        <v>46279</v>
      </c>
      <c r="B308" s="26">
        <f>YEAR(Tabela32[[#This Row],[Data]])</f>
        <v>2026</v>
      </c>
      <c r="C308" s="2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26">
        <f>YEAR(Tabela32[[#This Row],[Data]])</f>
        <v>2026</v>
      </c>
      <c r="C309" s="26">
        <f>MONTH(Tabela32[[#This Row],[Data]])</f>
        <v>9</v>
      </c>
      <c r="D309" s="4" t="s">
        <v>54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26">
        <f>YEAR(Tabela32[[#This Row],[Data]])</f>
        <v>2026</v>
      </c>
      <c r="C310" s="2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26">
        <f>YEAR(Tabela32[[#This Row],[Data]])</f>
        <v>2026</v>
      </c>
      <c r="C311" s="2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26">
        <f>YEAR(Tabela32[[#This Row],[Data]])</f>
        <v>2026</v>
      </c>
      <c r="C312" s="2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Geber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</sheetData>
  <conditionalFormatting sqref="J2:J312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312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312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D2:D312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2026-09-15T16:37:28Z</dcterms:modified>
</cp:coreProperties>
</file>