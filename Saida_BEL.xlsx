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4B49FC9E-10B7-4880-BC83-4BF885AE744E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externalReferences>
    <externalReference r:id="rId4"/>
  </externalReference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J77" i="4"/>
  <c r="J78" i="4"/>
  <c r="J79" i="4"/>
  <c r="J80" i="4"/>
  <c r="J81" i="4"/>
  <c r="J82" i="4"/>
  <c r="J83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P2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9" i="4"/>
  <c r="T40" i="4"/>
  <c r="T41" i="4"/>
  <c r="T43" i="4"/>
  <c r="T44" i="4"/>
  <c r="T45" i="4"/>
  <c r="T46" i="4"/>
  <c r="T48" i="4"/>
  <c r="T49" i="4"/>
  <c r="T51" i="4"/>
  <c r="T52" i="4"/>
  <c r="T53" i="4"/>
  <c r="T54" i="4"/>
  <c r="T55" i="4"/>
  <c r="T56" i="4"/>
  <c r="T57" i="4"/>
  <c r="T58" i="4"/>
  <c r="T59" i="4"/>
  <c r="T60" i="4"/>
  <c r="T61" i="4"/>
  <c r="T62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U2" i="4"/>
  <c r="U3" i="4"/>
  <c r="U4" i="4"/>
  <c r="U5" i="4"/>
  <c r="U6" i="4"/>
  <c r="U7" i="4"/>
  <c r="U8" i="4"/>
  <c r="U9" i="4"/>
  <c r="U10" i="4"/>
  <c r="U11" i="4"/>
  <c r="U12" i="4"/>
  <c r="U13" i="4"/>
  <c r="U14" i="4"/>
  <c r="U15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9" i="4"/>
  <c r="U40" i="4"/>
  <c r="U41" i="4"/>
  <c r="U43" i="4"/>
  <c r="U44" i="4"/>
  <c r="U45" i="4"/>
  <c r="U46" i="4"/>
  <c r="U48" i="4"/>
  <c r="U49" i="4"/>
  <c r="U51" i="4"/>
  <c r="U52" i="4"/>
  <c r="U53" i="4"/>
  <c r="U54" i="4"/>
  <c r="U55" i="4"/>
  <c r="U56" i="4"/>
  <c r="U57" i="4"/>
  <c r="U58" i="4"/>
  <c r="U59" i="4"/>
  <c r="U60" i="4"/>
  <c r="U61" i="4"/>
  <c r="U62" i="4"/>
  <c r="U64" i="4"/>
  <c r="U65" i="4"/>
  <c r="U66" i="4"/>
  <c r="U67" i="4"/>
  <c r="U68" i="4"/>
  <c r="U69" i="4"/>
  <c r="U70" i="4"/>
  <c r="U71" i="4"/>
  <c r="U72" i="4"/>
  <c r="U73" i="4"/>
  <c r="U74" i="4"/>
  <c r="U75" i="4"/>
  <c r="U76" i="4"/>
  <c r="U77" i="4"/>
  <c r="U78" i="4"/>
  <c r="U79" i="4"/>
  <c r="U80" i="4"/>
  <c r="U81" i="4"/>
  <c r="U82" i="4"/>
  <c r="U83" i="4"/>
  <c r="V2" i="4"/>
  <c r="V3" i="4"/>
  <c r="V4" i="4"/>
  <c r="V5" i="4"/>
  <c r="V6" i="4"/>
  <c r="V7" i="4"/>
  <c r="V8" i="4"/>
  <c r="V9" i="4"/>
  <c r="V10" i="4"/>
  <c r="V11" i="4"/>
  <c r="V12" i="4"/>
  <c r="V13" i="4"/>
  <c r="V14" i="4"/>
  <c r="V15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9" i="4"/>
  <c r="V40" i="4"/>
  <c r="V41" i="4"/>
  <c r="V42" i="4"/>
  <c r="V43" i="4"/>
  <c r="V44" i="4"/>
  <c r="V45" i="4"/>
  <c r="V46" i="4"/>
  <c r="V48" i="4"/>
  <c r="V49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H5" i="3"/>
  <c r="K5" i="3"/>
  <c r="M5" i="3"/>
  <c r="Q5" i="3"/>
  <c r="R5" i="3"/>
  <c r="S5" i="3" s="1"/>
  <c r="H4" i="3"/>
  <c r="K4" i="3"/>
  <c r="M4" i="3"/>
  <c r="Q4" i="3"/>
  <c r="R4" i="3"/>
  <c r="S4" i="3" s="1"/>
  <c r="K3" i="3"/>
  <c r="K2" i="3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<sst xmlns="http://schemas.openxmlformats.org/spreadsheetml/2006/main" count="253" uniqueCount="66">
  <si>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</si>
  <si>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</si>
  <si>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</si>
  <si>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</si>
  <si>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</si>
  <si>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</si>
  <si>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</si>
  <si>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</si>
  <si>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</si>
  <si>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</si>
  <si>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</si>
  <si>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</si>
  <si>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</si>
  <si>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</si>
  <si>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</si>
  <si>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</si>
  <si>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</si>
  <si>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</si>
  <si>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</si>
  <si>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</si>
  <si>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</si>
  <si>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</si>
  <si>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</si>
  <si>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Juscelino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</si>
  <si>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</si>
  <si>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</si>
  <si>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</si>
  <si>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</si>
  <si>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</si>
  <si>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</si>
  <si>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</si>
  <si>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</si>
  <si>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</si>
  <si>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</si>
  <si>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</si>
  <si>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</si>
  <si>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</si>
  <si>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</si>
  <si>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</si>
  <si>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</si>
  <si>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</si>
  <si>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</si>
  <si>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</si>
  <si>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Geber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</si>
  <si>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</si>
  <si>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</si>
  <si>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</si>
  <si>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</si>
  <si>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</si>
  <si>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</si>
  <si>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</si>
  <si>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</si>
  <si>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</si>
  <si>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</si>
  <si>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</si>
  <si>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</si>
  <si>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</si>
  <si>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</si>
  <si>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</si>
  <si>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</si>
  <si>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</si>
  <si>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</si>
  <si>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</si>
  <si>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</si>
  <si>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</si>
  <si>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Atendeu a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</si>
</sst>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  <font>
      <u val="singleAccounting"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19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44" fontId="5" fillId="0" borderId="6" xfId="1" applyFont="1" applyBorder="1" applyAlignment="1">
      <alignment horizontal="center"/>
    </xf>
    <xf numFmtId="0" fontId="6" fillId="0" borderId="10" xfId="0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79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numFmt numFmtId="164" formatCode="&quot; R$ &quot;* #,##0.00&quot; &quot;;&quot;-R$ &quot;* #,##0.00&quot; &quot;;&quot; R$ &quot;* &quot;-&quot;00&quot; &quot;;&quot; &quot;@&quot; &quot;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noel\Desktop\Operacional\Frota\Saida_BEL_2.xlsx" TargetMode="External"/><Relationship Id="rId1" Type="http://schemas.openxmlformats.org/officeDocument/2006/relationships/externalLinkPath" Target="/Users/Manoel/Desktop/Operacional/Frota/Saida_BEL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2"/>
      <sheetName val="Terceiros"/>
      <sheetName val="jan_26 (2)"/>
      <sheetName val="Saida_BEL_2"/>
    </sheetNames>
    <sheetDataSet>
      <sheetData sheetId="0">
        <row r="1">
          <cell r="A1" t="str">
            <v>IUG8882</v>
          </cell>
        </row>
      </sheetData>
      <sheetData sheetId="1"/>
      <sheetData sheetId="2"/>
      <sheetData sheetId="3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5" totalsRowShown="0" headerRowDxfId="78" dataDxfId="76" headerRowBorderDxfId="77" tableBorderDxfId="75" totalsRowBorderDxfId="74" headerRowCellStyle="Normal 2 2 2">
  <autoFilter ref="A1:V5" xr:uid="{DCE91C63-7150-4B05-9681-4C03C82B532C}"/>
  <tableColumns count="22">
    <tableColumn id="1" xr3:uid="{26A85748-1AED-4A71-96D3-23AF97AC5D2B}" name="Data" dataDxfId="73"/>
    <tableColumn id="25" xr3:uid="{D413966D-CDFC-4875-A3AE-6AE9D849E75F}" name="Placa" dataDxfId="72"/>
    <tableColumn id="3" xr3:uid="{D30CA2C3-D31F-4082-8392-1A98EB60EDD3}" name="Carreta" dataDxfId="71"/>
    <tableColumn id="4" xr3:uid="{758E5D51-7D49-4A69-8227-C9CE8E4A907A}" name="Motorista" dataDxfId="70"/>
    <tableColumn id="6" xr3:uid="{842361EA-39E1-4EF7-90A4-9BDC9C0966DF}" name="Valor Frete" dataDxfId="69" dataCellStyle="Moeda"/>
    <tableColumn id="7" xr3:uid="{D4C1D57F-C6B7-49EE-9F7B-47EBA6030041}" name="Valor Mercadoria" dataDxfId="68" dataCellStyle="Moeda"/>
    <tableColumn id="8" xr3:uid="{C79AB3D8-0BFF-4FFE-B20B-E81367BFEEFC}" name="Peso" dataDxfId="67"/>
    <tableColumn id="9" xr3:uid="{7D4ACBB5-8F17-463A-A61F-84A8EFF41604}" name="% Frete" dataDxfId="66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65"/>
    <tableColumn id="11" xr3:uid="{DC726A91-384E-47C4-A94A-9095E8138925}" name="Hr Chegada" dataDxfId="64"/>
    <tableColumn id="12" xr3:uid="{9A37D38C-D321-47A3-881E-B95F03E5DB0D}" name="Tempo" dataDxfId="63">
      <calculatedColumnFormula>Tabela35[[#This Row],[Hr Chegada]]-Tabela35[[#This Row],[Hr Saida]]</calculatedColumnFormula>
    </tableColumn>
    <tableColumn id="13" xr3:uid="{E5643091-5008-4800-BF73-88DFC566FBE9}" name="Frete" dataDxfId="62" dataCellStyle="Moeda"/>
    <tableColumn id="14" xr3:uid="{5E8F8636-0E97-4E52-8561-725D1AD8BAF1}" name="% Frete T" dataDxfId="61" dataCellStyle="Porcentagem">
      <calculatedColumnFormula>Tabela35[[#This Row],[Frete]]/Tabela35[[#This Row],[Valor Frete]]</calculatedColumnFormula>
    </tableColumn>
    <tableColumn id="16" xr3:uid="{F64AFFB0-A5D7-49FD-8B66-BD3FBD830A8C}" name="Vols" dataDxfId="60"/>
    <tableColumn id="17" xr3:uid="{36B8097A-82AA-4880-AA26-8A84D3BFDAE9}" name="Qtde Entregas" dataDxfId="59"/>
    <tableColumn id="18" xr3:uid="{8BF06732-0C91-4852-86A9-342D98B30169}" name="Entregas Realizadas" dataDxfId="58"/>
    <tableColumn id="19" xr3:uid="{20BD31A4-57AA-4F11-A73A-2B181C01798B}" name=" Retornadas" dataDxfId="57">
      <calculatedColumnFormula>Tabela35[[#This Row],[Qtde Entregas]]-Tabela35[[#This Row],[Entregas Realizadas]]</calculatedColumnFormula>
    </tableColumn>
    <tableColumn id="20" xr3:uid="{F3EDF45C-B4E9-4FE6-A74A-C49CA0273F75}" name="% Entrega" dataDxfId="56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55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54"/>
    <tableColumn id="23" xr3:uid="{D7BA1AAD-39A7-4F74-8E2B-3DAD30E78669}" name="Nfs Voltaram" dataDxfId="53"/>
    <tableColumn id="24" xr3:uid="{3938B063-E851-4B1A-B457-042DD7442897}" name="Código ocorrência" data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83" totalsRowShown="0" headerRowDxfId="51" dataDxfId="49" headerRowBorderDxfId="50" tableBorderDxfId="48" totalsRowBorderDxfId="47" headerRowCellStyle="Normal 2 2 2">
  <autoFilter ref="A1:Y83" xr:uid="{82009C12-8110-4F05-A50D-013940C9873F}"/>
  <tableColumns count="25">
    <tableColumn id="1" xr3:uid="{B118DAB0-A500-46F5-A61D-A15BA1838F69}" name="Data" dataDxfId="46"/>
    <tableColumn id="25" xr3:uid="{DAA903FE-736A-4CBF-95D8-B9E859203B97}" name="Ano" dataDxfId="45">
      <calculatedColumnFormula>YEAR([1]!Tabela32[[#This Row],[Data]])</calculatedColumnFormula>
    </tableColumn>
    <tableColumn id="5" xr3:uid="{90D6CF8C-ACE3-46EA-828E-BB258996DD8F}" name="Mês" dataDxfId="44">
      <calculatedColumnFormula>MONTH([1]!Tabela32[[#This Row],[Data]])</calculatedColumnFormula>
    </tableColumn>
    <tableColumn id="2" xr3:uid="{9E2D603E-103D-4F88-A5C8-5E9A03E2A3EE}" name="Placa" dataDxfId="43"/>
    <tableColumn id="3" xr3:uid="{7935B67B-4456-42E7-8B2D-EAF1D5C1B4F9}" name="Carreta" dataDxfId="42"/>
    <tableColumn id="4" xr3:uid="{74C94A9C-B298-4701-847E-59C66BC8BBC2}" name="Motorista" dataDxfId="41">
      <calculatedColumnFormula>IFERROR(VLOOKUP([1]!Tabela32[[#This Row],[Placa]],[1]Planilha2!$A$1:$B$12,2,0),"")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Porcentagem">
      <calculatedColumnFormula>IFERROR([1]!Tabela32[[#This Row],[Valor Frete]]/[1]!Tabela32[[#This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[1]!Tabela32[[#This Row],[Hr Chegada]]-[1]!Tabela32[[#This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[1]!Tabela32[[#This Row],[Km Chegada]]-[1]!Tabela32[[#This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[1]!Tabela32[[#This Row],[Entregas]]-[1]!Tabela32[[#This Row],[Realizadas]]</calculatedColumnFormula>
    </tableColumn>
    <tableColumn id="20" xr3:uid="{F0BBC004-BAAB-43E2-A50E-1DD3FAEFD5F0}" name="% Entrega" dataDxfId="26" dataCellStyle="Moeda 2 2">
      <calculatedColumnFormula>[1]!Tabela32[[#This Row],[Realizadas]]/[1]!Tabela32[[#This Row],[Entregas]]</calculatedColumnFormula>
    </tableColumn>
    <tableColumn id="21" xr3:uid="{BB53A276-7721-4934-9C42-DB7E1D2740B3}" name="Meta" dataDxfId="25" dataCellStyle="Moeda 3">
      <calculatedColumnFormula>IF([1]!Tabela32[[#This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6" sqref="B6"/>
    </sheetView>
  </sheetViews>
  <sheetFormatPr defaultRowHeight="15" x14ac:dyDescent="0.25"/>
  <sheetData>
    <row r="1" spans="1:2" x14ac:dyDescent="0.25">
      <c r="A1" t="s">
        <v>22</v>
      </c>
      <c r="B1" t="s">
        <v>23</v>
      </c>
    </row>
    <row r="2" spans="1:2" x14ac:dyDescent="0.25">
      <c r="A2" t="s">
        <v>24</v>
      </c>
      <c r="B2" t="s">
        <v>57</v>
      </c>
    </row>
    <row r="3" spans="1:2" x14ac:dyDescent="0.25">
      <c r="A3" t="s">
        <v>26</v>
      </c>
      <c r="B3" t="s">
        <v>27</v>
      </c>
    </row>
    <row r="4" spans="1:2" x14ac:dyDescent="0.25">
      <c r="A4" t="s">
        <v>28</v>
      </c>
      <c r="B4" t="s">
        <v>64</v>
      </c>
    </row>
    <row r="5" spans="1:2" x14ac:dyDescent="0.25">
      <c r="A5" t="s">
        <v>29</v>
      </c>
      <c r="B5" t="s">
        <v>58</v>
      </c>
    </row>
    <row r="6" spans="1:2" x14ac:dyDescent="0.25">
      <c r="A6" t="s">
        <v>30</v>
      </c>
      <c r="B6" t="s">
        <v>31</v>
      </c>
    </row>
    <row r="7" spans="1:2" x14ac:dyDescent="0.25">
      <c r="A7" t="s">
        <v>32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36</v>
      </c>
      <c r="B9" t="s">
        <v>56</v>
      </c>
    </row>
    <row r="10" spans="1:2" x14ac:dyDescent="0.25">
      <c r="A10" t="s">
        <v>37</v>
      </c>
      <c r="B10" t="s">
        <v>43</v>
      </c>
    </row>
    <row r="11" spans="1:2" x14ac:dyDescent="0.25">
      <c r="A11" t="s">
        <v>38</v>
      </c>
      <c r="B11" t="s">
        <v>39</v>
      </c>
    </row>
    <row r="12" spans="1:2" x14ac:dyDescent="0.25">
      <c r="A12" t="s">
        <v>55</v>
      </c>
      <c r="B12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5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5" sqref="U5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9.5703125" customWidth="1"/>
    <col min="4" max="4" width="11.85546875" customWidth="1"/>
    <col min="5" max="5" width="13" customWidth="1"/>
    <col min="6" max="6" width="18.425781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48</v>
      </c>
      <c r="M1" s="2" t="s">
        <v>49</v>
      </c>
      <c r="N1" s="2" t="s">
        <v>44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46</v>
      </c>
      <c r="C2" s="4"/>
      <c r="D2" s="4" t="s">
        <v>47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>
        <v>0.25</v>
      </c>
      <c r="J2" s="11">
        <v>0.77083333333333337</v>
      </c>
      <c r="K2" s="11">
        <f>Tabela35[[#This Row],[Hr Chegada]]-Tabela35[[#This Row],[Hr Saida]]</f>
        <v>0.52083333333333337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40</v>
      </c>
      <c r="U2" s="4">
        <v>0</v>
      </c>
      <c r="V2" s="5">
        <v>0</v>
      </c>
    </row>
    <row r="3" spans="1:22" x14ac:dyDescent="0.25">
      <c r="A3" s="8">
        <v>46238</v>
      </c>
      <c r="B3" s="8" t="s">
        <v>59</v>
      </c>
      <c r="C3" s="4"/>
      <c r="D3" s="4" t="s">
        <v>60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46</v>
      </c>
      <c r="C4" s="4"/>
      <c r="D4" s="4" t="s">
        <v>47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40</v>
      </c>
      <c r="U4" s="4">
        <v>2</v>
      </c>
      <c r="V4" s="5">
        <v>0</v>
      </c>
    </row>
    <row r="5" spans="1:22" x14ac:dyDescent="0.25">
      <c r="A5" s="8">
        <v>46245</v>
      </c>
      <c r="B5" s="8" t="s">
        <v>46</v>
      </c>
      <c r="C5" s="4"/>
      <c r="D5" s="4" t="s">
        <v>47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45</v>
      </c>
      <c r="U5" s="4"/>
      <c r="V5" s="5"/>
    </row>
  </sheetData>
  <conditionalFormatting sqref="H2:H5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R2:R5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S2:S5">
    <cfRule type="expression" dxfId="12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1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83"/>
  <sheetViews>
    <sheetView showGridLines="0" tabSelected="1" workbookViewId="0">
      <pane xSplit="10" ySplit="1" topLeftCell="K13" activePane="bottomRight" state="frozen"/>
      <selection pane="topRight" activeCell="I1" sqref="I1"/>
      <selection pane="bottomLeft" activeCell="A2" sqref="A2"/>
      <selection pane="bottomRight" activeCell="V63" sqref="V63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bestFit="1" customWidth="1"/>
    <col min="8" max="8" width="18.42578125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24.140625" bestFit="1" customWidth="1"/>
    <col min="25" max="25" width="15.140625" bestFit="1" customWidth="1"/>
  </cols>
  <sheetData>
    <row r="1" spans="1:25" x14ac:dyDescent="0.25">
      <c r="A1" s="1" t="s">
        <v>0</v>
      </c>
      <c r="B1" s="1" t="s">
        <v>54</v>
      </c>
      <c r="C1" s="1" t="s">
        <v>53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44</v>
      </c>
      <c r="R1" s="2" t="s">
        <v>50</v>
      </c>
      <c r="S1" s="2" t="s">
        <v>51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52</v>
      </c>
    </row>
    <row r="2" spans="1:25" x14ac:dyDescent="0.25">
      <c r="A2" s="8">
        <v>46237</v>
      </c>
      <c r="B2" s="16">
        <f>YEAR([1]!Tabela32[[#This Row],[Data]])</f>
        <v>2026</v>
      </c>
      <c r="C2" s="16">
        <f>MONTH([1]!Tabela32[[#This Row],[Data]])</f>
        <v>8</v>
      </c>
      <c r="D2" s="4" t="s">
        <v>24</v>
      </c>
      <c r="E2" s="4"/>
      <c r="F2" s="4" t="str">
        <f>IFERROR(VLOOKUP([1]!Tabela32[[#This Row],[Placa]],[1]Planilha2!$A$1:$B$12,2,0),"")</f>
        <v>Wesley</v>
      </c>
      <c r="G2" s="10">
        <v>8845.4</v>
      </c>
      <c r="H2" s="10">
        <v>229478.26</v>
      </c>
      <c r="I2" s="4">
        <v>2224</v>
      </c>
      <c r="J2" s="9">
        <f>IFERROR([1]!Tabela32[[#This Row],[Valor Frete]]/[1]!Tabela32[[#This Row],[Valor Mercadoria]],"")</f>
        <v>3.8545699274519507E-2</v>
      </c>
      <c r="K2" s="11">
        <v>0.27083333333333331</v>
      </c>
      <c r="L2" s="15">
        <v>0.75694444444444442</v>
      </c>
      <c r="M2" s="15">
        <f>[1]!Tabela32[[#This Row],[Hr Chegada]]-[1]!Tabela32[[#This Row],[Hr Saida]]</f>
        <v>0.4861111111111111</v>
      </c>
      <c r="N2" s="4">
        <v>123165</v>
      </c>
      <c r="O2" s="4">
        <v>123227</v>
      </c>
      <c r="P2" s="4">
        <f>[1]!Tabela32[[#This Row],[Km Chegada]]-[1]!Tabela32[[#This Row],[Km Saída]]</f>
        <v>62</v>
      </c>
      <c r="Q2" s="4">
        <v>208</v>
      </c>
      <c r="R2" s="4">
        <v>17</v>
      </c>
      <c r="S2" s="4">
        <v>17</v>
      </c>
      <c r="T2" s="12">
        <f>[1]!Tabela32[[#This Row],[Entregas]]-[1]!Tabela32[[#This Row],[Realizadas]]</f>
        <v>0</v>
      </c>
      <c r="U2" s="13">
        <f>[1]!Tabela32[[#This Row],[Realizadas]]/[1]!Tabela32[[#This Row],[Entregas]]</f>
        <v>1</v>
      </c>
      <c r="V2" s="14" t="str">
        <f>IF([1]!Tabela32[[#This Row],[% Entrega]]&gt;=96%,"Atendeu a Meta","Não Atendeu a Meta")</f>
        <v>Atendeu a Meta</v>
      </c>
      <c r="W2" s="4" t="s">
        <v>40</v>
      </c>
      <c r="X2" s="4">
        <v>0</v>
      </c>
      <c r="Y2" s="5">
        <v>0</v>
      </c>
    </row>
    <row r="3" spans="1:25" x14ac:dyDescent="0.25">
      <c r="A3" s="8">
        <v>46237</v>
      </c>
      <c r="B3" s="16">
        <f>YEAR([1]!Tabela32[[#This Row],[Data]])</f>
        <v>2026</v>
      </c>
      <c r="C3" s="16">
        <f>MONTH([1]!Tabela32[[#This Row],[Data]])</f>
        <v>8</v>
      </c>
      <c r="D3" s="4" t="s">
        <v>34</v>
      </c>
      <c r="E3" s="4"/>
      <c r="F3" s="4" t="str">
        <f>IFERROR(VLOOKUP([1]!Tabela32[[#This Row],[Placa]],[1]Planilha2!$A$1:$B$12,2,0),"")</f>
        <v>Paulo</v>
      </c>
      <c r="G3" s="10">
        <v>4361.26</v>
      </c>
      <c r="H3" s="10">
        <v>46788.62</v>
      </c>
      <c r="I3" s="4">
        <v>519</v>
      </c>
      <c r="J3" s="9">
        <f>IFERROR([1]!Tabela32[[#This Row],[Valor Frete]]/[1]!Tabela32[[#This Row],[Valor Mercadoria]],"")</f>
        <v>9.3211981887903514E-2</v>
      </c>
      <c r="K3" s="11">
        <v>0.29166666666666669</v>
      </c>
      <c r="L3" s="15">
        <v>0.70833333333333337</v>
      </c>
      <c r="M3" s="15">
        <f>[1]!Tabela32[[#This Row],[Hr Chegada]]-[1]!Tabela32[[#This Row],[Hr Saida]]</f>
        <v>0.41666666666666669</v>
      </c>
      <c r="N3" s="4">
        <v>153358</v>
      </c>
      <c r="O3" s="4">
        <v>153447</v>
      </c>
      <c r="P3" s="4">
        <f>[1]!Tabela32[[#This Row],[Km Chegada]]-[1]!Tabela32[[#This Row],[Km Saída]]</f>
        <v>89</v>
      </c>
      <c r="Q3" s="4">
        <v>100</v>
      </c>
      <c r="R3" s="4">
        <v>14</v>
      </c>
      <c r="S3" s="4">
        <v>14</v>
      </c>
      <c r="T3" s="12">
        <f>[1]!Tabela32[[#This Row],[Entregas]]-[1]!Tabela32[[#This Row],[Realizadas]]</f>
        <v>0</v>
      </c>
      <c r="U3" s="13">
        <f>[1]!Tabela32[[#This Row],[Realizadas]]/[1]!Tabela32[[#This Row],[Entregas]]</f>
        <v>1</v>
      </c>
      <c r="V3" s="14" t="str">
        <f>IF([1]!Tabela32[[#This Row],[% Entrega]]&gt;=96%,"Atendeu a Meta","Não Atendeu a Meta")</f>
        <v>Atendeu a Meta</v>
      </c>
      <c r="W3" s="4" t="s">
        <v>40</v>
      </c>
      <c r="X3" s="4">
        <v>0</v>
      </c>
      <c r="Y3" s="5">
        <v>0</v>
      </c>
    </row>
    <row r="4" spans="1:25" x14ac:dyDescent="0.25">
      <c r="A4" s="8">
        <v>46237</v>
      </c>
      <c r="B4" s="16">
        <f>YEAR([1]!Tabela32[[#This Row],[Data]])</f>
        <v>2026</v>
      </c>
      <c r="C4" s="16">
        <f>MONTH([1]!Tabela32[[#This Row],[Data]])</f>
        <v>8</v>
      </c>
      <c r="D4" s="4" t="s">
        <v>55</v>
      </c>
      <c r="E4" s="4"/>
      <c r="F4" s="4" t="str">
        <f>IFERROR(VLOOKUP([1]!Tabela32[[#This Row],[Placa]],[1]Planilha2!$A$1:$B$12,2,0),"")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IFERROR([1]!Tabela32[[#This Row],[Valor Frete]]/[1]!Tabela32[[#This Row],[Valor Mercadoria]],"")</f>
        <v>4.5853646691834012E-2</v>
      </c>
      <c r="K4" s="11">
        <v>0.29166666666666669</v>
      </c>
      <c r="L4" s="15">
        <v>0.75</v>
      </c>
      <c r="M4" s="15">
        <f>[1]!Tabela32[[#This Row],[Hr Chegada]]-[1]!Tabela32[[#This Row],[Hr Saida]]</f>
        <v>0.45833333333333331</v>
      </c>
      <c r="N4" s="4">
        <v>11485</v>
      </c>
      <c r="O4" s="4">
        <v>11546</v>
      </c>
      <c r="P4" s="4">
        <f>[1]!Tabela32[[#This Row],[Km Chegada]]-[1]!Tabela32[[#This Row],[Km Saída]]</f>
        <v>61</v>
      </c>
      <c r="Q4" s="4">
        <v>315</v>
      </c>
      <c r="R4" s="4">
        <v>34</v>
      </c>
      <c r="S4" s="4">
        <v>34</v>
      </c>
      <c r="T4" s="12">
        <f>[1]!Tabela32[[#This Row],[Entregas]]-[1]!Tabela32[[#This Row],[Realizadas]]</f>
        <v>0</v>
      </c>
      <c r="U4" s="13">
        <f>[1]!Tabela32[[#This Row],[Realizadas]]/[1]!Tabela32[[#This Row],[Entregas]]</f>
        <v>1</v>
      </c>
      <c r="V4" s="14" t="str">
        <f>IF([1]!Tabela32[[#This Row],[% Entrega]]&gt;=96%,"Atendeu a Meta","Não Atendeu a Meta")</f>
        <v>Atendeu a Meta</v>
      </c>
      <c r="W4" s="4" t="s">
        <v>40</v>
      </c>
      <c r="X4" s="4">
        <v>0</v>
      </c>
      <c r="Y4" s="5">
        <v>0</v>
      </c>
    </row>
    <row r="5" spans="1:25" x14ac:dyDescent="0.25">
      <c r="A5" s="8">
        <v>46237</v>
      </c>
      <c r="B5" s="16">
        <f>YEAR([1]!Tabela32[[#This Row],[Data]])</f>
        <v>2026</v>
      </c>
      <c r="C5" s="16">
        <f>MONTH([1]!Tabela32[[#This Row],[Data]])</f>
        <v>8</v>
      </c>
      <c r="D5" s="4" t="s">
        <v>26</v>
      </c>
      <c r="E5" s="4"/>
      <c r="F5" s="4" t="str">
        <f>IFERROR(VLOOKUP([1]!Tabela32[[#This Row],[Placa]],[1]Planilha2!$A$1:$B$12,2,0),"")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IFERROR([1]!Tabela32[[#This Row],[Valor Frete]]/[1]!Tabela32[[#This Row],[Valor Mercadoria]],"")</f>
        <v>5.7971096064583387E-2</v>
      </c>
      <c r="K5" s="11">
        <v>0.29166666666666669</v>
      </c>
      <c r="L5" s="15">
        <v>0.75</v>
      </c>
      <c r="M5" s="15">
        <f>[1]!Tabela32[[#This Row],[Hr Chegada]]-[1]!Tabela32[[#This Row],[Hr Saida]]</f>
        <v>0.45833333333333331</v>
      </c>
      <c r="N5" s="4">
        <v>117070</v>
      </c>
      <c r="O5" s="4">
        <v>117125</v>
      </c>
      <c r="P5" s="4">
        <f>[1]!Tabela32[[#This Row],[Km Chegada]]-[1]!Tabela32[[#This Row],[Km Saída]]</f>
        <v>55</v>
      </c>
      <c r="Q5" s="4">
        <v>383</v>
      </c>
      <c r="R5" s="4">
        <v>42</v>
      </c>
      <c r="S5" s="4">
        <v>42</v>
      </c>
      <c r="T5" s="12">
        <f>[1]!Tabela32[[#This Row],[Entregas]]-[1]!Tabela32[[#This Row],[Realizadas]]</f>
        <v>0</v>
      </c>
      <c r="U5" s="13">
        <f>[1]!Tabela32[[#This Row],[Realizadas]]/[1]!Tabela32[[#This Row],[Entregas]]</f>
        <v>1</v>
      </c>
      <c r="V5" s="14" t="str">
        <f>IF([1]!Tabela32[[#This Row],[% Entrega]]&gt;=96%,"Atendeu a Meta","Não Atendeu a Meta")</f>
        <v>Atendeu a Meta</v>
      </c>
      <c r="W5" s="4" t="s">
        <v>40</v>
      </c>
      <c r="X5" s="4">
        <v>0</v>
      </c>
      <c r="Y5" s="5">
        <v>0</v>
      </c>
    </row>
    <row r="6" spans="1:25" x14ac:dyDescent="0.25">
      <c r="A6" s="8">
        <v>46237</v>
      </c>
      <c r="B6" s="16">
        <f>YEAR([1]!Tabela32[[#This Row],[Data]])</f>
        <v>2026</v>
      </c>
      <c r="C6" s="16">
        <f>MONTH([1]!Tabela32[[#This Row],[Data]])</f>
        <v>8</v>
      </c>
      <c r="D6" s="4" t="s">
        <v>36</v>
      </c>
      <c r="E6" s="4"/>
      <c r="F6" s="4" t="str">
        <f>IFERROR(VLOOKUP([1]!Tabela32[[#This Row],[Placa]],[1]Planilha2!$A$1:$B$12,2,0),"")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IFERROR([1]!Tabela32[[#This Row],[Valor Frete]]/[1]!Tabela32[[#This Row],[Valor Mercadoria]],"")</f>
        <v>4.801281622473675E-2</v>
      </c>
      <c r="K6" s="11">
        <v>0.29166666666666669</v>
      </c>
      <c r="L6" s="15">
        <v>0.70833333333333337</v>
      </c>
      <c r="M6" s="15">
        <f>[1]!Tabela32[[#This Row],[Hr Chegada]]-[1]!Tabela32[[#This Row],[Hr Saida]]</f>
        <v>0.41666666666666669</v>
      </c>
      <c r="N6" s="4">
        <v>140571</v>
      </c>
      <c r="O6" s="4">
        <v>140635</v>
      </c>
      <c r="P6" s="4">
        <f>[1]!Tabela32[[#This Row],[Km Chegada]]-[1]!Tabela32[[#This Row],[Km Saída]]</f>
        <v>64</v>
      </c>
      <c r="Q6" s="4">
        <v>3</v>
      </c>
      <c r="R6" s="4">
        <v>2</v>
      </c>
      <c r="S6" s="4">
        <v>2</v>
      </c>
      <c r="T6" s="12">
        <f>[1]!Tabela32[[#This Row],[Entregas]]-[1]!Tabela32[[#This Row],[Realizadas]]</f>
        <v>0</v>
      </c>
      <c r="U6" s="13">
        <f>[1]!Tabela32[[#This Row],[Realizadas]]/[1]!Tabela32[[#This Row],[Entregas]]</f>
        <v>1</v>
      </c>
      <c r="V6" s="14" t="str">
        <f>IF([1]!Tabela32[[#This Row],[% Entrega]]&gt;=96%,"Atendeu a Meta","Não Atendeu a Meta")</f>
        <v>Atendeu a Meta</v>
      </c>
      <c r="W6" s="4" t="s">
        <v>40</v>
      </c>
      <c r="X6" s="4">
        <v>0</v>
      </c>
      <c r="Y6" s="5">
        <v>0</v>
      </c>
    </row>
    <row r="7" spans="1:25" x14ac:dyDescent="0.25">
      <c r="A7" s="8">
        <v>46237</v>
      </c>
      <c r="B7" s="16">
        <f>YEAR([1]!Tabela32[[#This Row],[Data]])</f>
        <v>2026</v>
      </c>
      <c r="C7" s="16">
        <f>MONTH([1]!Tabela32[[#This Row],[Data]])</f>
        <v>8</v>
      </c>
      <c r="D7" s="4" t="s">
        <v>32</v>
      </c>
      <c r="E7" s="4"/>
      <c r="F7" s="4" t="str">
        <f>IFERROR(VLOOKUP([1]!Tabela32[[#This Row],[Placa]],[1]Planilha2!$A$1:$B$12,2,0),"")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IFERROR([1]!Tabela32[[#This Row],[Valor Frete]]/[1]!Tabela32[[#This Row],[Valor Mercadoria]],"")</f>
        <v>6.1196562302592621E-2</v>
      </c>
      <c r="K7" s="11">
        <v>0.29166666666666669</v>
      </c>
      <c r="L7" s="15">
        <v>0.75</v>
      </c>
      <c r="M7" s="15">
        <f>[1]!Tabela32[[#This Row],[Hr Chegada]]-[1]!Tabela32[[#This Row],[Hr Saida]]</f>
        <v>0.45833333333333331</v>
      </c>
      <c r="N7" s="4">
        <v>278755</v>
      </c>
      <c r="O7" s="4">
        <v>278800</v>
      </c>
      <c r="P7" s="4">
        <f>[1]!Tabela32[[#This Row],[Km Chegada]]-[1]!Tabela32[[#This Row],[Km Saída]]</f>
        <v>45</v>
      </c>
      <c r="Q7" s="4">
        <v>297</v>
      </c>
      <c r="R7" s="4">
        <v>22</v>
      </c>
      <c r="S7" s="4">
        <v>22</v>
      </c>
      <c r="T7" s="12">
        <f>[1]!Tabela32[[#This Row],[Entregas]]-[1]!Tabela32[[#This Row],[Realizadas]]</f>
        <v>0</v>
      </c>
      <c r="U7" s="13">
        <f>[1]!Tabela32[[#This Row],[Realizadas]]/[1]!Tabela32[[#This Row],[Entregas]]</f>
        <v>1</v>
      </c>
      <c r="V7" s="14" t="str">
        <f>IF([1]!Tabela32[[#This Row],[% Entrega]]&gt;=96%,"Atendeu a Meta","Não Atendeu a Meta")</f>
        <v>Atendeu a Meta</v>
      </c>
      <c r="W7" s="4" t="s">
        <v>45</v>
      </c>
      <c r="X7" s="4">
        <v>0</v>
      </c>
      <c r="Y7" s="5">
        <v>0</v>
      </c>
    </row>
    <row r="8" spans="1:25" x14ac:dyDescent="0.25">
      <c r="A8" s="8">
        <v>46237</v>
      </c>
      <c r="B8" s="16">
        <f>YEAR([1]!Tabela32[[#This Row],[Data]])</f>
        <v>2026</v>
      </c>
      <c r="C8" s="16">
        <f>MONTH([1]!Tabela32[[#This Row],[Data]])</f>
        <v>8</v>
      </c>
      <c r="D8" s="4" t="s">
        <v>30</v>
      </c>
      <c r="E8" s="4"/>
      <c r="F8" s="4" t="str">
        <f>IFERROR(VLOOKUP([1]!Tabela32[[#This Row],[Placa]],[1]Planilha2!$A$1:$B$12,2,0),"")</f>
        <v>Sandro</v>
      </c>
      <c r="G8" s="10">
        <v>2038.29</v>
      </c>
      <c r="H8" s="10">
        <v>29918.46</v>
      </c>
      <c r="I8" s="4">
        <v>402</v>
      </c>
      <c r="J8" s="9">
        <f>IFERROR([1]!Tabela32[[#This Row],[Valor Frete]]/[1]!Tabela32[[#This Row],[Valor Mercadoria]],"")</f>
        <v>6.8128172372508483E-2</v>
      </c>
      <c r="K8" s="11">
        <v>0.29166666666666669</v>
      </c>
      <c r="L8" s="15">
        <v>0.75694444444444442</v>
      </c>
      <c r="M8" s="15">
        <f>[1]!Tabela32[[#This Row],[Hr Chegada]]-[1]!Tabela32[[#This Row],[Hr Saida]]</f>
        <v>0.46527777777777773</v>
      </c>
      <c r="N8" s="4">
        <v>273803</v>
      </c>
      <c r="O8" s="4">
        <v>273946</v>
      </c>
      <c r="P8" s="4">
        <f>[1]!Tabela32[[#This Row],[Km Chegada]]-[1]!Tabela32[[#This Row],[Km Saída]]</f>
        <v>143</v>
      </c>
      <c r="Q8" s="4">
        <v>25</v>
      </c>
      <c r="R8" s="4">
        <v>7</v>
      </c>
      <c r="S8" s="4">
        <v>7</v>
      </c>
      <c r="T8" s="12">
        <f>[1]!Tabela32[[#This Row],[Entregas]]-[1]!Tabela32[[#This Row],[Realizadas]]</f>
        <v>0</v>
      </c>
      <c r="U8" s="13">
        <f>[1]!Tabela32[[#This Row],[Realizadas]]/[1]!Tabela32[[#This Row],[Entregas]]</f>
        <v>1</v>
      </c>
      <c r="V8" s="14" t="str">
        <f>IF([1]!Tabela32[[#This Row],[% Entrega]]&gt;=96%,"Atendeu a Meta","Não Atendeu a Meta")</f>
        <v>Atendeu a Meta</v>
      </c>
      <c r="W8" s="4" t="s">
        <v>40</v>
      </c>
      <c r="X8" s="4">
        <v>0</v>
      </c>
      <c r="Y8" s="5">
        <v>0</v>
      </c>
    </row>
    <row r="9" spans="1:25" x14ac:dyDescent="0.25">
      <c r="A9" s="8">
        <v>46237</v>
      </c>
      <c r="B9" s="16">
        <f>YEAR([1]!Tabela32[[#This Row],[Data]])</f>
        <v>2026</v>
      </c>
      <c r="C9" s="16">
        <f>MONTH([1]!Tabela32[[#This Row],[Data]])</f>
        <v>8</v>
      </c>
      <c r="D9" s="4" t="s">
        <v>22</v>
      </c>
      <c r="E9" s="4"/>
      <c r="F9" s="4" t="str">
        <f>IFERROR(VLOOKUP([1]!Tabela32[[#This Row],[Placa]],[1]Planilha2!$A$1:$B$12,2,0),"")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IFERROR([1]!Tabela32[[#This Row],[Valor Frete]]/[1]!Tabela32[[#This Row],[Valor Mercadoria]],"")</f>
        <v>5.1286896194604435E-2</v>
      </c>
      <c r="K9" s="11">
        <v>0.29166666666666669</v>
      </c>
      <c r="L9" s="15">
        <v>0.75347222222222221</v>
      </c>
      <c r="M9" s="15">
        <f>[1]!Tabela32[[#This Row],[Hr Chegada]]-[1]!Tabela32[[#This Row],[Hr Saida]]</f>
        <v>0.46180555555555552</v>
      </c>
      <c r="N9" s="4">
        <v>302136</v>
      </c>
      <c r="O9" s="4">
        <v>302272</v>
      </c>
      <c r="P9" s="4">
        <f>[1]!Tabela32[[#This Row],[Km Chegada]]-[1]!Tabela32[[#This Row],[Km Saída]]</f>
        <v>136</v>
      </c>
      <c r="Q9" s="4">
        <v>116</v>
      </c>
      <c r="R9" s="4">
        <v>30</v>
      </c>
      <c r="S9" s="4">
        <v>30</v>
      </c>
      <c r="T9" s="12">
        <f>[1]!Tabela32[[#This Row],[Entregas]]-[1]!Tabela32[[#This Row],[Realizadas]]</f>
        <v>0</v>
      </c>
      <c r="U9" s="13">
        <f>[1]!Tabela32[[#This Row],[Realizadas]]/[1]!Tabela32[[#This Row],[Entregas]]</f>
        <v>1</v>
      </c>
      <c r="V9" s="14" t="str">
        <f>IF([1]!Tabela32[[#This Row],[% Entrega]]&gt;=96%,"Atendeu a Meta","Não Atendeu a Meta")</f>
        <v>Atendeu a Meta</v>
      </c>
      <c r="W9" s="4" t="s">
        <v>42</v>
      </c>
      <c r="X9" s="4">
        <v>0</v>
      </c>
      <c r="Y9" s="5">
        <v>0</v>
      </c>
    </row>
    <row r="10" spans="1:25" x14ac:dyDescent="0.25">
      <c r="A10" s="8">
        <v>46237</v>
      </c>
      <c r="B10" s="16">
        <f>YEAR([1]!Tabela32[[#This Row],[Data]])</f>
        <v>2026</v>
      </c>
      <c r="C10" s="16">
        <f>MONTH([1]!Tabela32[[#This Row],[Data]])</f>
        <v>8</v>
      </c>
      <c r="D10" s="4" t="s">
        <v>37</v>
      </c>
      <c r="E10" s="4"/>
      <c r="F10" s="4" t="str">
        <f>IFERROR(VLOOKUP([1]!Tabela32[[#This Row],[Placa]],[1]Planilha2!$A$1:$B$12,2,0),"")</f>
        <v>Geber</v>
      </c>
      <c r="G10" s="10">
        <v>32724.35</v>
      </c>
      <c r="H10" s="10">
        <v>808017.95</v>
      </c>
      <c r="I10" s="4">
        <v>101</v>
      </c>
      <c r="J10" s="9">
        <f>IFERROR([1]!Tabela32[[#This Row],[Valor Frete]]/[1]!Tabela32[[#This Row],[Valor Mercadoria]],"")</f>
        <v>4.0499533457146589E-2</v>
      </c>
      <c r="K10" s="11">
        <v>0.25</v>
      </c>
      <c r="L10" s="15">
        <v>0.75</v>
      </c>
      <c r="M10" s="15">
        <f>[1]!Tabela32[[#This Row],[Hr Chegada]]-[1]!Tabela32[[#This Row],[Hr Saida]]</f>
        <v>0.5</v>
      </c>
      <c r="N10" s="4"/>
      <c r="O10" s="4"/>
      <c r="P10" s="4">
        <f>[1]!Tabela32[[#This Row],[Km Chegada]]-[1]!Tabela32[[#This Row],[Km Saída]]</f>
        <v>0</v>
      </c>
      <c r="Q10" s="4">
        <v>101</v>
      </c>
      <c r="R10" s="4">
        <v>6</v>
      </c>
      <c r="S10" s="4">
        <v>6</v>
      </c>
      <c r="T10" s="12">
        <f>[1]!Tabela32[[#This Row],[Entregas]]-[1]!Tabela32[[#This Row],[Realizadas]]</f>
        <v>0</v>
      </c>
      <c r="U10" s="13">
        <f>[1]!Tabela32[[#This Row],[Realizadas]]/[1]!Tabela32[[#This Row],[Entregas]]</f>
        <v>1</v>
      </c>
      <c r="V10" s="14" t="str">
        <f>IF([1]!Tabela32[[#This Row],[% Entrega]]&gt;=96%,"Atendeu a Meta","Não Atendeu a Meta")</f>
        <v>Atendeu a Meta</v>
      </c>
      <c r="W10" s="4" t="s">
        <v>42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YEAR([1]!Tabela32[[#This Row],[Data]])</f>
        <v>2026</v>
      </c>
      <c r="C11" s="16">
        <f>MONTH([1]!Tabela32[[#This Row],[Data]])</f>
        <v>8</v>
      </c>
      <c r="D11" s="4" t="s">
        <v>28</v>
      </c>
      <c r="E11" s="4"/>
      <c r="F11" s="4" t="str">
        <f>IFERROR(VLOOKUP([1]!Tabela32[[#This Row],[Placa]],[1]Planilha2!$A$1:$B$12,2,0),"")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IFERROR([1]!Tabela32[[#This Row],[Valor Frete]]/[1]!Tabela32[[#This Row],[Valor Mercadoria]],"")</f>
        <v>2.6423066134030865E-2</v>
      </c>
      <c r="K11" s="11">
        <v>0.29166666666666669</v>
      </c>
      <c r="L11" s="15">
        <v>0.70833333333333337</v>
      </c>
      <c r="M11" s="15">
        <f>[1]!Tabela32[[#This Row],[Hr Chegada]]-[1]!Tabela32[[#This Row],[Hr Saida]]</f>
        <v>0.41666666666666669</v>
      </c>
      <c r="N11" s="4">
        <v>289370</v>
      </c>
      <c r="O11" s="4">
        <v>289406</v>
      </c>
      <c r="P11" s="4">
        <f>[1]!Tabela32[[#This Row],[Km Chegada]]-[1]!Tabela32[[#This Row],[Km Saída]]</f>
        <v>36</v>
      </c>
      <c r="Q11" s="4">
        <v>212</v>
      </c>
      <c r="R11" s="4">
        <v>7</v>
      </c>
      <c r="S11" s="4">
        <v>7</v>
      </c>
      <c r="T11" s="12">
        <f>[1]!Tabela32[[#This Row],[Entregas]]-[1]!Tabela32[[#This Row],[Realizadas]]</f>
        <v>0</v>
      </c>
      <c r="U11" s="13">
        <f>[1]!Tabela32[[#This Row],[Realizadas]]/[1]!Tabela32[[#This Row],[Entregas]]</f>
        <v>1</v>
      </c>
      <c r="V11" s="14" t="str">
        <f>IF([1]!Tabela32[[#This Row],[% Entrega]]&gt;=96%,"Atendeu a Meta","Não Atendeu a Meta")</f>
        <v>Atendeu a Meta</v>
      </c>
      <c r="W11" s="4" t="s">
        <v>40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YEAR([1]!Tabela32[[#This Row],[Data]])</f>
        <v>2026</v>
      </c>
      <c r="C12" s="16">
        <f>MONTH([1]!Tabela32[[#This Row],[Data]])</f>
        <v>8</v>
      </c>
      <c r="D12" s="4" t="s">
        <v>29</v>
      </c>
      <c r="E12" s="4"/>
      <c r="F12" s="4" t="str">
        <f>IFERROR(VLOOKUP([1]!Tabela32[[#This Row],[Placa]],[1]Planilha2!$A$1:$B$12,2,0),"")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IFERROR([1]!Tabela32[[#This Row],[Valor Frete]]/[1]!Tabela32[[#This Row],[Valor Mercadoria]],"")</f>
        <v>0.17851393945457206</v>
      </c>
      <c r="K12" s="11">
        <v>0.25</v>
      </c>
      <c r="L12" s="15">
        <v>0.70833333333333337</v>
      </c>
      <c r="M12" s="15">
        <f>[1]!Tabela32[[#This Row],[Hr Chegada]]-[1]!Tabela32[[#This Row],[Hr Saida]]</f>
        <v>0.45833333333333337</v>
      </c>
      <c r="N12" s="4">
        <v>102828</v>
      </c>
      <c r="O12" s="4">
        <v>102859</v>
      </c>
      <c r="P12" s="4">
        <f>[1]!Tabela32[[#This Row],[Km Chegada]]-[1]!Tabela32[[#This Row],[Km Saída]]</f>
        <v>31</v>
      </c>
      <c r="Q12" s="4">
        <v>613</v>
      </c>
      <c r="R12" s="4">
        <v>6</v>
      </c>
      <c r="S12" s="4">
        <v>6</v>
      </c>
      <c r="T12" s="12">
        <f>[1]!Tabela32[[#This Row],[Entregas]]-[1]!Tabela32[[#This Row],[Realizadas]]</f>
        <v>0</v>
      </c>
      <c r="U12" s="13">
        <f>[1]!Tabela32[[#This Row],[Realizadas]]/[1]!Tabela32[[#This Row],[Entregas]]</f>
        <v>1</v>
      </c>
      <c r="V12" s="14" t="str">
        <f>IF([1]!Tabela32[[#This Row],[% Entrega]]&gt;=96%,"Atendeu a Meta","Não Atendeu a Meta")</f>
        <v>Atendeu a Meta</v>
      </c>
      <c r="W12" s="4" t="s">
        <v>41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YEAR([1]!Tabela32[[#This Row],[Data]])</f>
        <v>2026</v>
      </c>
      <c r="C13" s="16">
        <f>MONTH([1]!Tabela32[[#This Row],[Data]])</f>
        <v>8</v>
      </c>
      <c r="D13" s="4" t="s">
        <v>26</v>
      </c>
      <c r="E13" s="4"/>
      <c r="F13" s="4" t="str">
        <f>IFERROR(VLOOKUP([1]!Tabela32[[#This Row],[Placa]],[1]Planilha2!$A$1:$B$12,2,0),"")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IFERROR([1]!Tabela32[[#This Row],[Valor Frete]]/[1]!Tabela32[[#This Row],[Valor Mercadoria]],"")</f>
        <v>6.8873290920448027E-2</v>
      </c>
      <c r="K13" s="11">
        <v>0.25</v>
      </c>
      <c r="L13" s="15">
        <v>0.66666666666666663</v>
      </c>
      <c r="M13" s="15">
        <f>[1]!Tabela32[[#This Row],[Hr Chegada]]-[1]!Tabela32[[#This Row],[Hr Saida]]</f>
        <v>0.41666666666666663</v>
      </c>
      <c r="N13" s="4">
        <v>117009</v>
      </c>
      <c r="O13" s="4">
        <v>117070</v>
      </c>
      <c r="P13" s="4">
        <f>[1]!Tabela32[[#This Row],[Km Chegada]]-[1]!Tabela32[[#This Row],[Km Saída]]</f>
        <v>61</v>
      </c>
      <c r="Q13" s="4">
        <v>296</v>
      </c>
      <c r="R13" s="4">
        <v>33</v>
      </c>
      <c r="S13" s="4">
        <v>33</v>
      </c>
      <c r="T13" s="12">
        <f>[1]!Tabela32[[#This Row],[Entregas]]-[1]!Tabela32[[#This Row],[Realizadas]]</f>
        <v>0</v>
      </c>
      <c r="U13" s="13">
        <f>[1]!Tabela32[[#This Row],[Realizadas]]/[1]!Tabela32[[#This Row],[Entregas]]</f>
        <v>1</v>
      </c>
      <c r="V13" s="14" t="str">
        <f>IF([1]!Tabela32[[#This Row],[% Entrega]]&gt;=96%,"Atendeu a Meta","Não Atendeu a Meta")</f>
        <v>Atendeu a Meta</v>
      </c>
      <c r="W13" s="4" t="s">
        <v>40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YEAR([1]!Tabela32[[#This Row],[Data]])</f>
        <v>2026</v>
      </c>
      <c r="C14" s="16">
        <f>MONTH([1]!Tabela32[[#This Row],[Data]])</f>
        <v>8</v>
      </c>
      <c r="D14" s="4" t="s">
        <v>22</v>
      </c>
      <c r="E14" s="4"/>
      <c r="F14" s="4" t="str">
        <f>IFERROR(VLOOKUP([1]!Tabela32[[#This Row],[Placa]],[1]Planilha2!$A$1:$B$12,2,0),"")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IFERROR([1]!Tabela32[[#This Row],[Valor Frete]]/[1]!Tabela32[[#This Row],[Valor Mercadoria]],"")</f>
        <v>6.1476123237158002E-2</v>
      </c>
      <c r="K14" s="11">
        <v>0.29166666666666669</v>
      </c>
      <c r="L14" s="15">
        <v>0.70833333333333337</v>
      </c>
      <c r="M14" s="15">
        <f>[1]!Tabela32[[#This Row],[Hr Chegada]]-[1]!Tabela32[[#This Row],[Hr Saida]]</f>
        <v>0.41666666666666669</v>
      </c>
      <c r="N14" s="4">
        <v>302272</v>
      </c>
      <c r="O14" s="4">
        <v>302430</v>
      </c>
      <c r="P14" s="4">
        <f>[1]!Tabela32[[#This Row],[Km Chegada]]-[1]!Tabela32[[#This Row],[Km Saída]]</f>
        <v>158</v>
      </c>
      <c r="Q14" s="4">
        <v>557</v>
      </c>
      <c r="R14" s="4">
        <v>26</v>
      </c>
      <c r="S14" s="4">
        <v>26</v>
      </c>
      <c r="T14" s="12">
        <f>[1]!Tabela32[[#This Row],[Entregas]]-[1]!Tabela32[[#This Row],[Realizadas]]</f>
        <v>0</v>
      </c>
      <c r="U14" s="13">
        <f>[1]!Tabela32[[#This Row],[Realizadas]]/[1]!Tabela32[[#This Row],[Entregas]]</f>
        <v>1</v>
      </c>
      <c r="V14" s="14" t="str">
        <f>IF([1]!Tabela32[[#This Row],[% Entrega]]&gt;=96%,"Atendeu a Meta","Não Atendeu a Meta")</f>
        <v>Atendeu a Meta</v>
      </c>
      <c r="W14" s="4" t="s">
        <v>42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YEAR([1]!Tabela32[[#This Row],[Data]])</f>
        <v>2026</v>
      </c>
      <c r="C15" s="16">
        <f>MONTH([1]!Tabela32[[#This Row],[Data]])</f>
        <v>8</v>
      </c>
      <c r="D15" s="4" t="s">
        <v>55</v>
      </c>
      <c r="E15" s="4"/>
      <c r="F15" s="4" t="str">
        <f>IFERROR(VLOOKUP([1]!Tabela32[[#This Row],[Placa]],[1]Planilha2!$A$1:$B$12,2,0),"")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IFERROR([1]!Tabela32[[#This Row],[Valor Frete]]/[1]!Tabela32[[#This Row],[Valor Mercadoria]],"")</f>
        <v>6.7918005242363216E-2</v>
      </c>
      <c r="K15" s="11">
        <v>0.25</v>
      </c>
      <c r="L15" s="15">
        <v>0.76458333333333328</v>
      </c>
      <c r="M15" s="15">
        <f>[1]!Tabela32[[#This Row],[Hr Chegada]]-[1]!Tabela32[[#This Row],[Hr Saida]]</f>
        <v>0.51458333333333328</v>
      </c>
      <c r="N15" s="4">
        <v>11546</v>
      </c>
      <c r="O15" s="4">
        <v>11570</v>
      </c>
      <c r="P15" s="4">
        <f>[1]!Tabela32[[#This Row],[Km Chegada]]-[1]!Tabela32[[#This Row],[Km Saída]]</f>
        <v>24</v>
      </c>
      <c r="Q15" s="4">
        <v>89</v>
      </c>
      <c r="R15" s="4">
        <v>24</v>
      </c>
      <c r="S15" s="4">
        <v>24</v>
      </c>
      <c r="T15" s="12">
        <f>[1]!Tabela32[[#This Row],[Entregas]]-[1]!Tabela32[[#This Row],[Realizadas]]</f>
        <v>0</v>
      </c>
      <c r="U15" s="13">
        <f>[1]!Tabela32[[#This Row],[Realizadas]]/[1]!Tabela32[[#This Row],[Entregas]]</f>
        <v>1</v>
      </c>
      <c r="V15" s="14" t="str">
        <f>IF([1]!Tabela32[[#This Row],[% Entrega]]&gt;=96%,"Atendeu a Meta","Não Atendeu a Meta")</f>
        <v>Atendeu a Meta</v>
      </c>
      <c r="W15" s="4" t="s">
        <v>41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YEAR([1]!Tabela32[[#This Row],[Data]])</f>
        <v>2026</v>
      </c>
      <c r="C16" s="16">
        <f>MONTH([1]!Tabela32[[#This Row],[Data]])</f>
        <v>8</v>
      </c>
      <c r="D16" s="4" t="s">
        <v>36</v>
      </c>
      <c r="E16" s="4"/>
      <c r="F16" s="4" t="str">
        <f>IFERROR(VLOOKUP([1]!Tabela32[[#This Row],[Placa]],[1]Planilha2!$A$1:$B$12,2,0),"")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IFERROR([1]!Tabela32[[#This Row],[Valor Frete]]/[1]!Tabela32[[#This Row],[Valor Mercadoria]],"")</f>
        <v>0.12070221234511309</v>
      </c>
      <c r="K16" s="11">
        <v>0.29166666666666669</v>
      </c>
      <c r="L16" s="15">
        <v>0.75</v>
      </c>
      <c r="M16" s="15">
        <f>[1]!Tabela32[[#This Row],[Hr Chegada]]-[1]!Tabela32[[#This Row],[Hr Saida]]</f>
        <v>0.45833333333333331</v>
      </c>
      <c r="N16" s="4">
        <v>140635</v>
      </c>
      <c r="O16" s="4">
        <v>140739</v>
      </c>
      <c r="P16" s="4">
        <f>[1]!Tabela32[[#This Row],[Km Chegada]]-[1]!Tabela32[[#This Row],[Km Saída]]</f>
        <v>104</v>
      </c>
      <c r="Q16" s="4">
        <v>333</v>
      </c>
      <c r="R16" s="4">
        <v>19</v>
      </c>
      <c r="S16" s="4">
        <v>19</v>
      </c>
      <c r="T16" s="12">
        <v>0</v>
      </c>
      <c r="U16" s="13">
        <v>1</v>
      </c>
      <c r="V16" s="14" t="s">
        <v>65</v>
      </c>
      <c r="W16" s="4" t="s">
        <v>40</v>
      </c>
      <c r="X16" s="4">
        <v>179020.48859299999</v>
      </c>
      <c r="Y16" s="5">
        <v>10</v>
      </c>
    </row>
    <row r="17" spans="1:25" x14ac:dyDescent="0.25">
      <c r="A17" s="8">
        <v>46239</v>
      </c>
      <c r="B17" s="16">
        <f>YEAR([1]!Tabela32[[#This Row],[Data]])</f>
        <v>2026</v>
      </c>
      <c r="C17" s="16">
        <f>MONTH([1]!Tabela32[[#This Row],[Data]])</f>
        <v>8</v>
      </c>
      <c r="D17" s="4" t="s">
        <v>29</v>
      </c>
      <c r="E17" s="4"/>
      <c r="F17" s="4" t="str">
        <f>IFERROR(VLOOKUP([1]!Tabela32[[#This Row],[Placa]],[1]Planilha2!$A$1:$B$12,2,0),"")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IFERROR([1]!Tabela32[[#This Row],[Valor Frete]]/[1]!Tabela32[[#This Row],[Valor Mercadoria]],"")</f>
        <v>9.5632556871945273E-2</v>
      </c>
      <c r="K17" s="11">
        <v>0.25</v>
      </c>
      <c r="L17" s="15">
        <v>0.75</v>
      </c>
      <c r="M17" s="15">
        <f>[1]!Tabela32[[#This Row],[Hr Chegada]]-[1]!Tabela32[[#This Row],[Hr Saida]]</f>
        <v>0.5</v>
      </c>
      <c r="N17" s="4">
        <v>102869</v>
      </c>
      <c r="O17" s="4">
        <v>102890</v>
      </c>
      <c r="P17" s="4">
        <f>[1]!Tabela32[[#This Row],[Km Chegada]]-[1]!Tabela32[[#This Row],[Km Saída]]</f>
        <v>21</v>
      </c>
      <c r="Q17" s="4">
        <v>1431</v>
      </c>
      <c r="R17" s="4">
        <v>8</v>
      </c>
      <c r="S17" s="4">
        <v>8</v>
      </c>
      <c r="T17" s="12">
        <f>[1]!Tabela32[[#This Row],[Entregas]]-[1]!Tabela32[[#This Row],[Realizadas]]</f>
        <v>0</v>
      </c>
      <c r="U17" s="13">
        <f>[1]!Tabela32[[#This Row],[Realizadas]]/[1]!Tabela32[[#This Row],[Entregas]]</f>
        <v>1</v>
      </c>
      <c r="V17" s="14" t="str">
        <f>IF([1]!Tabela32[[#This Row],[% Entrega]]&gt;=96%,"Atendeu a Meta","Não Atendeu a Meta")</f>
        <v>Atendeu a Meta</v>
      </c>
      <c r="W17" s="4" t="s">
        <v>41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YEAR([1]!Tabela32[[#This Row],[Data]])</f>
        <v>2026</v>
      </c>
      <c r="C18" s="16">
        <f>MONTH([1]!Tabela32[[#This Row],[Data]])</f>
        <v>8</v>
      </c>
      <c r="D18" s="4" t="s">
        <v>24</v>
      </c>
      <c r="E18" s="4"/>
      <c r="F18" s="4" t="str">
        <f>IFERROR(VLOOKUP([1]!Tabela32[[#This Row],[Placa]],[1]Planilha2!$A$1:$B$12,2,0),"")</f>
        <v>Wesley</v>
      </c>
      <c r="G18" s="10">
        <v>6579.78</v>
      </c>
      <c r="H18" s="10">
        <v>119507.37</v>
      </c>
      <c r="I18" s="4">
        <v>1482</v>
      </c>
      <c r="J18" s="9">
        <f>IFERROR([1]!Tabela32[[#This Row],[Valor Frete]]/[1]!Tabela32[[#This Row],[Valor Mercadoria]],"")</f>
        <v>5.5057524904112608E-2</v>
      </c>
      <c r="K18" s="11">
        <v>0.29166666666666669</v>
      </c>
      <c r="L18" s="15">
        <v>0.75694444444444442</v>
      </c>
      <c r="M18" s="15">
        <f>[1]!Tabela32[[#This Row],[Hr Chegada]]-[1]!Tabela32[[#This Row],[Hr Saida]]</f>
        <v>0.46527777777777773</v>
      </c>
      <c r="N18" s="4">
        <v>123220</v>
      </c>
      <c r="O18" s="4">
        <v>123287</v>
      </c>
      <c r="P18" s="4">
        <f>[1]!Tabela32[[#This Row],[Km Chegada]]-[1]!Tabela32[[#This Row],[Km Saída]]</f>
        <v>67</v>
      </c>
      <c r="Q18" s="4">
        <v>264</v>
      </c>
      <c r="R18" s="4">
        <v>19</v>
      </c>
      <c r="S18" s="4">
        <v>19</v>
      </c>
      <c r="T18" s="12">
        <f>[1]!Tabela32[[#This Row],[Entregas]]-[1]!Tabela32[[#This Row],[Realizadas]]</f>
        <v>0</v>
      </c>
      <c r="U18" s="13">
        <f>[1]!Tabela32[[#This Row],[Realizadas]]/[1]!Tabela32[[#This Row],[Entregas]]</f>
        <v>1</v>
      </c>
      <c r="V18" s="14" t="str">
        <f>IF([1]!Tabela32[[#This Row],[% Entrega]]&gt;=96%,"Atendeu a Meta","Não Atendeu a Meta")</f>
        <v>Atendeu a Meta</v>
      </c>
      <c r="W18" s="4" t="s">
        <v>40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YEAR([1]!Tabela32[[#This Row],[Data]])</f>
        <v>2026</v>
      </c>
      <c r="C19" s="16">
        <f>MONTH([1]!Tabela32[[#This Row],[Data]])</f>
        <v>8</v>
      </c>
      <c r="D19" s="4" t="s">
        <v>34</v>
      </c>
      <c r="E19" s="4"/>
      <c r="F19" s="4" t="str">
        <f>IFERROR(VLOOKUP([1]!Tabela32[[#This Row],[Placa]],[1]Planilha2!$A$1:$B$12,2,0),"")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IFERROR([1]!Tabela32[[#This Row],[Valor Frete]]/[1]!Tabela32[[#This Row],[Valor Mercadoria]],"")</f>
        <v>8.005985954856347E-2</v>
      </c>
      <c r="K19" s="11">
        <v>0.29166666666666669</v>
      </c>
      <c r="L19" s="15">
        <v>0.58333333333333337</v>
      </c>
      <c r="M19" s="15">
        <f>[1]!Tabela32[[#This Row],[Hr Chegada]]-[1]!Tabela32[[#This Row],[Hr Saida]]</f>
        <v>0.29166666666666669</v>
      </c>
      <c r="N19" s="4">
        <v>153448</v>
      </c>
      <c r="O19" s="4">
        <v>153483</v>
      </c>
      <c r="P19" s="4">
        <f>[1]!Tabela32[[#This Row],[Km Chegada]]-[1]!Tabela32[[#This Row],[Km Saída]]</f>
        <v>35</v>
      </c>
      <c r="Q19" s="4">
        <v>18</v>
      </c>
      <c r="R19" s="4">
        <v>3</v>
      </c>
      <c r="S19" s="4">
        <v>3</v>
      </c>
      <c r="T19" s="12">
        <f>[1]!Tabela32[[#This Row],[Entregas]]-[1]!Tabela32[[#This Row],[Realizadas]]</f>
        <v>0</v>
      </c>
      <c r="U19" s="13">
        <f>[1]!Tabela32[[#This Row],[Realizadas]]/[1]!Tabela32[[#This Row],[Entregas]]</f>
        <v>1</v>
      </c>
      <c r="V19" s="14" t="str">
        <f>IF([1]!Tabela32[[#This Row],[% Entrega]]&gt;=96%,"Atendeu a Meta","Não Atendeu a Meta")</f>
        <v>Atendeu a Meta</v>
      </c>
      <c r="W19" s="4" t="s">
        <v>41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YEAR([1]!Tabela32[[#This Row],[Data]])</f>
        <v>2026</v>
      </c>
      <c r="C20" s="16">
        <f>MONTH([1]!Tabela32[[#This Row],[Data]])</f>
        <v>8</v>
      </c>
      <c r="D20" s="4" t="s">
        <v>34</v>
      </c>
      <c r="E20" s="4"/>
      <c r="F20" s="4" t="str">
        <f>IFERROR(VLOOKUP([1]!Tabela32[[#This Row],[Placa]],[1]Planilha2!$A$1:$B$12,2,0),"")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IFERROR([1]!Tabela32[[#This Row],[Valor Frete]]/[1]!Tabela32[[#This Row],[Valor Mercadoria]],"")</f>
        <v>6.8301509044720737E-2</v>
      </c>
      <c r="K20" s="11">
        <v>0.625</v>
      </c>
      <c r="L20" s="15">
        <v>0.74305555555555558</v>
      </c>
      <c r="M20" s="15">
        <f>[1]!Tabela32[[#This Row],[Hr Chegada]]-[1]!Tabela32[[#This Row],[Hr Saida]]</f>
        <v>0.11805555555555558</v>
      </c>
      <c r="N20" s="4">
        <v>153483</v>
      </c>
      <c r="O20" s="4">
        <v>153515</v>
      </c>
      <c r="P20" s="4">
        <f>[1]!Tabela32[[#This Row],[Km Chegada]]-[1]!Tabela32[[#This Row],[Km Saída]]</f>
        <v>32</v>
      </c>
      <c r="Q20" s="4">
        <v>64</v>
      </c>
      <c r="R20" s="4">
        <v>7</v>
      </c>
      <c r="S20" s="4">
        <v>7</v>
      </c>
      <c r="T20" s="12">
        <f>[1]!Tabela32[[#This Row],[Entregas]]-[1]!Tabela32[[#This Row],[Realizadas]]</f>
        <v>0</v>
      </c>
      <c r="U20" s="13">
        <f>[1]!Tabela32[[#This Row],[Realizadas]]/[1]!Tabela32[[#This Row],[Entregas]]</f>
        <v>1</v>
      </c>
      <c r="V20" s="14" t="str">
        <f>IF([1]!Tabela32[[#This Row],[% Entrega]]&gt;=96%,"Atendeu a Meta","Não Atendeu a Meta")</f>
        <v>Atendeu a Meta</v>
      </c>
      <c r="W20" s="4" t="s">
        <v>40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YEAR([1]!Tabela32[[#This Row],[Data]])</f>
        <v>2026</v>
      </c>
      <c r="C21" s="16">
        <f>MONTH([1]!Tabela32[[#This Row],[Data]])</f>
        <v>8</v>
      </c>
      <c r="D21" s="4" t="s">
        <v>32</v>
      </c>
      <c r="E21" s="4"/>
      <c r="F21" s="4" t="str">
        <f>IFERROR(VLOOKUP([1]!Tabela32[[#This Row],[Placa]],[1]Planilha2!$A$1:$B$12,2,0),"")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IFERROR([1]!Tabela32[[#This Row],[Valor Frete]]/[1]!Tabela32[[#This Row],[Valor Mercadoria]],"")</f>
        <v>6.5232407837382614E-2</v>
      </c>
      <c r="K21" s="11">
        <v>0.29166666666666669</v>
      </c>
      <c r="L21" s="15">
        <v>0.77083333333333337</v>
      </c>
      <c r="M21" s="15">
        <f>[1]!Tabela32[[#This Row],[Hr Chegada]]-[1]!Tabela32[[#This Row],[Hr Saida]]</f>
        <v>0.47916666666666669</v>
      </c>
      <c r="N21" s="4">
        <v>278800</v>
      </c>
      <c r="O21" s="4">
        <v>278869</v>
      </c>
      <c r="P21" s="4">
        <f>[1]!Tabela32[[#This Row],[Km Chegada]]-[1]!Tabela32[[#This Row],[Km Saída]]</f>
        <v>69</v>
      </c>
      <c r="Q21" s="4">
        <v>359</v>
      </c>
      <c r="R21" s="4">
        <v>43</v>
      </c>
      <c r="S21" s="4">
        <v>43</v>
      </c>
      <c r="T21" s="12">
        <f>[1]!Tabela32[[#This Row],[Entregas]]-[1]!Tabela32[[#This Row],[Realizadas]]</f>
        <v>0</v>
      </c>
      <c r="U21" s="13">
        <f>[1]!Tabela32[[#This Row],[Realizadas]]/[1]!Tabela32[[#This Row],[Entregas]]</f>
        <v>1</v>
      </c>
      <c r="V21" s="14" t="str">
        <f>IF([1]!Tabela32[[#This Row],[% Entrega]]&gt;=96%,"Atendeu a Meta","Não Atendeu a Meta")</f>
        <v>Atendeu a Meta</v>
      </c>
      <c r="W21" s="4" t="s">
        <v>45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YEAR([1]!Tabela32[[#This Row],[Data]])</f>
        <v>2026</v>
      </c>
      <c r="C22" s="16">
        <f>MONTH([1]!Tabela32[[#This Row],[Data]])</f>
        <v>8</v>
      </c>
      <c r="D22" s="4" t="s">
        <v>26</v>
      </c>
      <c r="E22" s="4"/>
      <c r="F22" s="4" t="str">
        <f>IFERROR(VLOOKUP([1]!Tabela32[[#This Row],[Placa]],[1]Planilha2!$A$1:$B$12,2,0),"")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IFERROR([1]!Tabela32[[#This Row],[Valor Frete]]/[1]!Tabela32[[#This Row],[Valor Mercadoria]],"")</f>
        <v>6.9317278939742877E-2</v>
      </c>
      <c r="K22" s="11">
        <v>0.29166666666666669</v>
      </c>
      <c r="L22" s="15">
        <v>0.73611111111111116</v>
      </c>
      <c r="M22" s="15">
        <f>[1]!Tabela32[[#This Row],[Hr Chegada]]-[1]!Tabela32[[#This Row],[Hr Saida]]</f>
        <v>0.44444444444444448</v>
      </c>
      <c r="N22" s="4">
        <v>117125</v>
      </c>
      <c r="O22" s="4">
        <v>117184</v>
      </c>
      <c r="P22" s="4">
        <f>[1]!Tabela32[[#This Row],[Km Chegada]]-[1]!Tabela32[[#This Row],[Km Saída]]</f>
        <v>59</v>
      </c>
      <c r="Q22" s="4">
        <v>349</v>
      </c>
      <c r="R22" s="4">
        <v>27</v>
      </c>
      <c r="S22" s="4">
        <v>27</v>
      </c>
      <c r="T22" s="12">
        <f>[1]!Tabela32[[#This Row],[Entregas]]-[1]!Tabela32[[#This Row],[Realizadas]]</f>
        <v>0</v>
      </c>
      <c r="U22" s="13">
        <f>[1]!Tabela32[[#This Row],[Realizadas]]/[1]!Tabela32[[#This Row],[Entregas]]</f>
        <v>1</v>
      </c>
      <c r="V22" s="14" t="str">
        <f>IF([1]!Tabela32[[#This Row],[% Entrega]]&gt;=96%,"Atendeu a Meta","Não Atendeu a Meta")</f>
        <v>Atendeu a Meta</v>
      </c>
      <c r="W22" s="4" t="s">
        <v>40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YEAR([1]!Tabela32[[#This Row],[Data]])</f>
        <v>2026</v>
      </c>
      <c r="C23" s="16">
        <f>MONTH([1]!Tabela32[[#This Row],[Data]])</f>
        <v>8</v>
      </c>
      <c r="D23" s="4" t="s">
        <v>30</v>
      </c>
      <c r="E23" s="4"/>
      <c r="F23" s="4" t="str">
        <f>IFERROR(VLOOKUP([1]!Tabela32[[#This Row],[Placa]],[1]Planilha2!$A$1:$B$12,2,0),"")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IFERROR([1]!Tabela32[[#This Row],[Valor Frete]]/[1]!Tabela32[[#This Row],[Valor Mercadoria]],"")</f>
        <v>3.0523748058616632E-2</v>
      </c>
      <c r="K23" s="11">
        <v>0.29166666666666669</v>
      </c>
      <c r="L23" s="15">
        <v>0.72916666666666663</v>
      </c>
      <c r="M23" s="15">
        <f>[1]!Tabela32[[#This Row],[Hr Chegada]]-[1]!Tabela32[[#This Row],[Hr Saida]]</f>
        <v>0.43749999999999994</v>
      </c>
      <c r="N23" s="4">
        <v>273947</v>
      </c>
      <c r="O23" s="4">
        <v>273990</v>
      </c>
      <c r="P23" s="4">
        <f>[1]!Tabela32[[#This Row],[Km Chegada]]-[1]!Tabela32[[#This Row],[Km Saída]]</f>
        <v>43</v>
      </c>
      <c r="Q23" s="4">
        <v>49</v>
      </c>
      <c r="R23" s="4">
        <v>3</v>
      </c>
      <c r="S23" s="4">
        <v>3</v>
      </c>
      <c r="T23" s="12">
        <f>[1]!Tabela32[[#This Row],[Entregas]]-[1]!Tabela32[[#This Row],[Realizadas]]</f>
        <v>0</v>
      </c>
      <c r="U23" s="13">
        <f>[1]!Tabela32[[#This Row],[Realizadas]]/[1]!Tabela32[[#This Row],[Entregas]]</f>
        <v>1</v>
      </c>
      <c r="V23" s="14" t="str">
        <f>IF([1]!Tabela32[[#This Row],[% Entrega]]&gt;=96%,"Atendeu a Meta","Não Atendeu a Meta")</f>
        <v>Atendeu a Meta</v>
      </c>
      <c r="W23" s="4" t="s">
        <v>41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YEAR([1]!Tabela32[[#This Row],[Data]])</f>
        <v>2026</v>
      </c>
      <c r="C24" s="16">
        <f>MONTH([1]!Tabela32[[#This Row],[Data]])</f>
        <v>8</v>
      </c>
      <c r="D24" s="4" t="s">
        <v>28</v>
      </c>
      <c r="E24" s="4"/>
      <c r="F24" s="4" t="str">
        <f>IFERROR(VLOOKUP([1]!Tabela32[[#This Row],[Placa]],[1]Planilha2!$A$1:$B$12,2,0),"")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IFERROR([1]!Tabela32[[#This Row],[Valor Frete]]/[1]!Tabela32[[#This Row],[Valor Mercadoria]],"")</f>
        <v>7.243385320181317E-2</v>
      </c>
      <c r="K24" s="11">
        <v>0.25</v>
      </c>
      <c r="L24" s="15">
        <v>0.75</v>
      </c>
      <c r="M24" s="15">
        <f>[1]!Tabela32[[#This Row],[Hr Chegada]]-[1]!Tabela32[[#This Row],[Hr Saida]]</f>
        <v>0.5</v>
      </c>
      <c r="N24" s="4">
        <v>289406</v>
      </c>
      <c r="O24" s="4">
        <v>289546</v>
      </c>
      <c r="P24" s="4">
        <f>[1]!Tabela32[[#This Row],[Km Chegada]]-[1]!Tabela32[[#This Row],[Km Saída]]</f>
        <v>140</v>
      </c>
      <c r="Q24" s="4">
        <v>316</v>
      </c>
      <c r="R24" s="4">
        <v>16</v>
      </c>
      <c r="S24" s="4">
        <v>16</v>
      </c>
      <c r="T24" s="12">
        <f>[1]!Tabela32[[#This Row],[Entregas]]-[1]!Tabela32[[#This Row],[Realizadas]]</f>
        <v>0</v>
      </c>
      <c r="U24" s="13">
        <f>[1]!Tabela32[[#This Row],[Realizadas]]/[1]!Tabela32[[#This Row],[Entregas]]</f>
        <v>1</v>
      </c>
      <c r="V24" s="14" t="str">
        <f>IF([1]!Tabela32[[#This Row],[% Entrega]]&gt;=96%,"Atendeu a Meta","Não Atendeu a Meta")</f>
        <v>Atendeu a Meta</v>
      </c>
      <c r="W24" s="4" t="s">
        <v>42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YEAR([1]!Tabela32[[#This Row],[Data]])</f>
        <v>2026</v>
      </c>
      <c r="C25" s="16">
        <f>MONTH([1]!Tabela32[[#This Row],[Data]])</f>
        <v>8</v>
      </c>
      <c r="D25" s="4" t="s">
        <v>29</v>
      </c>
      <c r="E25" s="4"/>
      <c r="F25" s="4" t="str">
        <f>IFERROR(VLOOKUP([1]!Tabela32[[#This Row],[Placa]],[1]Planilha2!$A$1:$B$12,2,0),"")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IFERROR([1]!Tabela32[[#This Row],[Valor Frete]]/[1]!Tabela32[[#This Row],[Valor Mercadoria]],"")</f>
        <v>0.15509193746303343</v>
      </c>
      <c r="K25" s="11">
        <v>0.25</v>
      </c>
      <c r="L25" s="15">
        <v>0.75</v>
      </c>
      <c r="M25" s="15">
        <f>[1]!Tabela32[[#This Row],[Hr Chegada]]-[1]!Tabela32[[#This Row],[Hr Saida]]</f>
        <v>0.5</v>
      </c>
      <c r="N25" s="4">
        <v>102890</v>
      </c>
      <c r="O25" s="4">
        <v>102921</v>
      </c>
      <c r="P25" s="4">
        <f>[1]!Tabela32[[#This Row],[Km Chegada]]-[1]!Tabela32[[#This Row],[Km Saída]]</f>
        <v>31</v>
      </c>
      <c r="Q25" s="4">
        <v>729</v>
      </c>
      <c r="R25" s="4">
        <v>5</v>
      </c>
      <c r="S25" s="4">
        <v>5</v>
      </c>
      <c r="T25" s="12">
        <f>[1]!Tabela32[[#This Row],[Entregas]]-[1]!Tabela32[[#This Row],[Realizadas]]</f>
        <v>0</v>
      </c>
      <c r="U25" s="13">
        <f>[1]!Tabela32[[#This Row],[Realizadas]]/[1]!Tabela32[[#This Row],[Entregas]]</f>
        <v>1</v>
      </c>
      <c r="V25" s="14" t="str">
        <f>IF([1]!Tabela32[[#This Row],[% Entrega]]&gt;=96%,"Atendeu a Meta","Não Atendeu a Meta")</f>
        <v>Atendeu a Meta</v>
      </c>
      <c r="W25" s="4" t="s">
        <v>45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YEAR([1]!Tabela32[[#This Row],[Data]])</f>
        <v>2026</v>
      </c>
      <c r="C26" s="16">
        <f>MONTH([1]!Tabela32[[#This Row],[Data]])</f>
        <v>8</v>
      </c>
      <c r="D26" s="4" t="s">
        <v>26</v>
      </c>
      <c r="E26" s="4"/>
      <c r="F26" s="4" t="str">
        <f>IFERROR(VLOOKUP([1]!Tabela32[[#This Row],[Placa]],[1]Planilha2!$A$1:$B$12,2,0),"")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IFERROR([1]!Tabela32[[#This Row],[Valor Frete]]/[1]!Tabela32[[#This Row],[Valor Mercadoria]],"")</f>
        <v>4.2526266263374371E-2</v>
      </c>
      <c r="K26" s="11">
        <v>0.29166666666666669</v>
      </c>
      <c r="L26" s="15">
        <v>0.70833333333333337</v>
      </c>
      <c r="M26" s="15">
        <f>[1]!Tabela32[[#This Row],[Hr Chegada]]-[1]!Tabela32[[#This Row],[Hr Saida]]</f>
        <v>0.41666666666666669</v>
      </c>
      <c r="N26" s="4">
        <v>117184</v>
      </c>
      <c r="O26" s="4">
        <v>117242</v>
      </c>
      <c r="P26" s="4">
        <f>[1]!Tabela32[[#This Row],[Km Chegada]]-[1]!Tabela32[[#This Row],[Km Saída]]</f>
        <v>58</v>
      </c>
      <c r="Q26" s="4">
        <v>265</v>
      </c>
      <c r="R26" s="4">
        <v>37</v>
      </c>
      <c r="S26" s="4">
        <v>37</v>
      </c>
      <c r="T26" s="12">
        <f>[1]!Tabela32[[#This Row],[Entregas]]-[1]!Tabela32[[#This Row],[Realizadas]]</f>
        <v>0</v>
      </c>
      <c r="U26" s="13">
        <f>[1]!Tabela32[[#This Row],[Realizadas]]/[1]!Tabela32[[#This Row],[Entregas]]</f>
        <v>1</v>
      </c>
      <c r="V26" s="14" t="str">
        <f>IF([1]!Tabela32[[#This Row],[% Entrega]]&gt;=96%,"Atendeu a Meta","Não Atendeu a Meta")</f>
        <v>Atendeu a Meta</v>
      </c>
      <c r="W26" s="4" t="s">
        <v>40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YEAR([1]!Tabela32[[#This Row],[Data]])</f>
        <v>2026</v>
      </c>
      <c r="C27" s="16">
        <f>MONTH([1]!Tabela32[[#This Row],[Data]])</f>
        <v>8</v>
      </c>
      <c r="D27" s="4" t="s">
        <v>30</v>
      </c>
      <c r="E27" s="4"/>
      <c r="F27" s="4" t="str">
        <f>IFERROR(VLOOKUP([1]!Tabela32[[#This Row],[Placa]],[1]Planilha2!$A$1:$B$12,2,0),"")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IFERROR([1]!Tabela32[[#This Row],[Valor Frete]]/[1]!Tabela32[[#This Row],[Valor Mercadoria]],"")</f>
        <v>6.5512345675149408E-2</v>
      </c>
      <c r="K27" s="11">
        <v>0.29166666666666669</v>
      </c>
      <c r="L27" s="15">
        <v>0.70833333333333337</v>
      </c>
      <c r="M27" s="15">
        <f>[1]!Tabela32[[#This Row],[Hr Chegada]]-[1]!Tabela32[[#This Row],[Hr Saida]]</f>
        <v>0.41666666666666669</v>
      </c>
      <c r="N27" s="4">
        <v>273990</v>
      </c>
      <c r="O27" s="4">
        <v>274022</v>
      </c>
      <c r="P27" s="4">
        <f>[1]!Tabela32[[#This Row],[Km Chegada]]-[1]!Tabela32[[#This Row],[Km Saída]]</f>
        <v>32</v>
      </c>
      <c r="Q27" s="4">
        <v>536</v>
      </c>
      <c r="R27" s="4">
        <v>3</v>
      </c>
      <c r="S27" s="4">
        <v>3</v>
      </c>
      <c r="T27" s="12">
        <f>[1]!Tabela32[[#This Row],[Entregas]]-[1]!Tabela32[[#This Row],[Realizadas]]</f>
        <v>0</v>
      </c>
      <c r="U27" s="13">
        <f>[1]!Tabela32[[#This Row],[Realizadas]]/[1]!Tabela32[[#This Row],[Entregas]]</f>
        <v>1</v>
      </c>
      <c r="V27" s="14" t="str">
        <f>IF([1]!Tabela32[[#This Row],[% Entrega]]&gt;=96%,"Atendeu a Meta","Não Atendeu a Meta")</f>
        <v>Atendeu a Meta</v>
      </c>
      <c r="W27" s="4" t="s">
        <v>40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YEAR([1]!Tabela32[[#This Row],[Data]])</f>
        <v>2026</v>
      </c>
      <c r="C28" s="16">
        <f>MONTH([1]!Tabela32[[#This Row],[Data]])</f>
        <v>8</v>
      </c>
      <c r="D28" s="4" t="s">
        <v>22</v>
      </c>
      <c r="E28" s="4"/>
      <c r="F28" s="4" t="str">
        <f>IFERROR(VLOOKUP([1]!Tabela32[[#This Row],[Placa]],[1]Planilha2!$A$1:$B$12,2,0),"")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IFERROR([1]!Tabela32[[#This Row],[Valor Frete]]/[1]!Tabela32[[#This Row],[Valor Mercadoria]],"")</f>
        <v>5.2649551333773442E-2</v>
      </c>
      <c r="K28" s="11">
        <v>0.25</v>
      </c>
      <c r="L28" s="15">
        <v>0.75</v>
      </c>
      <c r="M28" s="15">
        <f>[1]!Tabela32[[#This Row],[Hr Chegada]]-[1]!Tabela32[[#This Row],[Hr Saida]]</f>
        <v>0.5</v>
      </c>
      <c r="N28" s="4">
        <v>302430</v>
      </c>
      <c r="O28" s="4">
        <v>302561</v>
      </c>
      <c r="P28" s="4">
        <f>[1]!Tabela32[[#This Row],[Km Chegada]]-[1]!Tabela32[[#This Row],[Km Saída]]</f>
        <v>131</v>
      </c>
      <c r="Q28" s="4">
        <v>354</v>
      </c>
      <c r="R28" s="4">
        <v>24</v>
      </c>
      <c r="S28" s="4">
        <v>24</v>
      </c>
      <c r="T28" s="12">
        <f>[1]!Tabela32[[#This Row],[Entregas]]-[1]!Tabela32[[#This Row],[Realizadas]]</f>
        <v>0</v>
      </c>
      <c r="U28" s="13">
        <f>[1]!Tabela32[[#This Row],[Realizadas]]/[1]!Tabela32[[#This Row],[Entregas]]</f>
        <v>1</v>
      </c>
      <c r="V28" s="14" t="str">
        <f>IF([1]!Tabela32[[#This Row],[% Entrega]]&gt;=96%,"Atendeu a Meta","Não Atendeu a Meta")</f>
        <v>Atendeu a Meta</v>
      </c>
      <c r="W28" s="4" t="s">
        <v>42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YEAR([1]!Tabela32[[#This Row],[Data]])</f>
        <v>2026</v>
      </c>
      <c r="C29" s="16">
        <f>MONTH([1]!Tabela32[[#This Row],[Data]])</f>
        <v>8</v>
      </c>
      <c r="D29" s="4" t="s">
        <v>24</v>
      </c>
      <c r="E29" s="4"/>
      <c r="F29" s="4" t="str">
        <f>IFERROR(VLOOKUP([1]!Tabela32[[#This Row],[Placa]],[1]Planilha2!$A$1:$B$12,2,0),"")</f>
        <v>Wesley</v>
      </c>
      <c r="G29" s="10">
        <v>5479.41</v>
      </c>
      <c r="H29" s="10">
        <v>73537.570000000007</v>
      </c>
      <c r="I29" s="4">
        <v>930</v>
      </c>
      <c r="J29" s="9">
        <f>IFERROR([1]!Tabela32[[#This Row],[Valor Frete]]/[1]!Tabela32[[#This Row],[Valor Mercadoria]],"")</f>
        <v>7.4511708776887772E-2</v>
      </c>
      <c r="K29" s="11">
        <v>0.29166666666666669</v>
      </c>
      <c r="L29" s="15">
        <v>0.73611111111111116</v>
      </c>
      <c r="M29" s="15">
        <f>[1]!Tabela32[[#This Row],[Hr Chegada]]-[1]!Tabela32[[#This Row],[Hr Saida]]</f>
        <v>0.44444444444444448</v>
      </c>
      <c r="N29" s="4">
        <v>123287</v>
      </c>
      <c r="O29" s="4">
        <v>123356</v>
      </c>
      <c r="P29" s="4">
        <f>[1]!Tabela32[[#This Row],[Km Chegada]]-[1]!Tabela32[[#This Row],[Km Saída]]</f>
        <v>69</v>
      </c>
      <c r="Q29" s="4">
        <v>159</v>
      </c>
      <c r="R29" s="4">
        <v>17</v>
      </c>
      <c r="S29" s="4">
        <v>17</v>
      </c>
      <c r="T29" s="12">
        <f>[1]!Tabela32[[#This Row],[Entregas]]-[1]!Tabela32[[#This Row],[Realizadas]]</f>
        <v>0</v>
      </c>
      <c r="U29" s="13">
        <f>[1]!Tabela32[[#This Row],[Realizadas]]/[1]!Tabela32[[#This Row],[Entregas]]</f>
        <v>1</v>
      </c>
      <c r="V29" s="14" t="str">
        <f>IF([1]!Tabela32[[#This Row],[% Entrega]]&gt;=96%,"Atendeu a Meta","Não Atendeu a Meta")</f>
        <v>Atendeu a Meta</v>
      </c>
      <c r="W29" s="4" t="s">
        <v>40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YEAR([1]!Tabela32[[#This Row],[Data]])</f>
        <v>2026</v>
      </c>
      <c r="C30" s="16">
        <f>MONTH([1]!Tabela32[[#This Row],[Data]])</f>
        <v>8</v>
      </c>
      <c r="D30" s="4" t="s">
        <v>55</v>
      </c>
      <c r="E30" s="4"/>
      <c r="F30" s="4" t="str">
        <f>IFERROR(VLOOKUP([1]!Tabela32[[#This Row],[Placa]],[1]Planilha2!$A$1:$B$12,2,0),"")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IFERROR([1]!Tabela32[[#This Row],[Valor Frete]]/[1]!Tabela32[[#This Row],[Valor Mercadoria]],"")</f>
        <v>7.2589214004699781E-2</v>
      </c>
      <c r="K30" s="11">
        <v>0.29166666666666669</v>
      </c>
      <c r="L30" s="15">
        <v>0.79305555555555551</v>
      </c>
      <c r="M30" s="15">
        <f>[1]!Tabela32[[#This Row],[Hr Chegada]]-[1]!Tabela32[[#This Row],[Hr Saida]]</f>
        <v>0.50138888888888888</v>
      </c>
      <c r="N30" s="4">
        <v>11557</v>
      </c>
      <c r="O30" s="4">
        <v>11703</v>
      </c>
      <c r="P30" s="4">
        <f>[1]!Tabela32[[#This Row],[Km Chegada]]-[1]!Tabela32[[#This Row],[Km Saída]]</f>
        <v>146</v>
      </c>
      <c r="Q30" s="4">
        <v>134</v>
      </c>
      <c r="R30" s="4">
        <v>32</v>
      </c>
      <c r="S30" s="4">
        <v>32</v>
      </c>
      <c r="T30" s="12">
        <f>[1]!Tabela32[[#This Row],[Entregas]]-[1]!Tabela32[[#This Row],[Realizadas]]</f>
        <v>0</v>
      </c>
      <c r="U30" s="13">
        <f>[1]!Tabela32[[#This Row],[Realizadas]]/[1]!Tabela32[[#This Row],[Entregas]]</f>
        <v>1</v>
      </c>
      <c r="V30" s="14" t="str">
        <f>IF([1]!Tabela32[[#This Row],[% Entrega]]&gt;=96%,"Atendeu a Meta","Não Atendeu a Meta")</f>
        <v>Atendeu a Meta</v>
      </c>
      <c r="W30" s="4" t="s">
        <v>41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YEAR([1]!Tabela32[[#This Row],[Data]])</f>
        <v>2026</v>
      </c>
      <c r="C31" s="16">
        <f>MONTH([1]!Tabela32[[#This Row],[Data]])</f>
        <v>8</v>
      </c>
      <c r="D31" s="4" t="s">
        <v>29</v>
      </c>
      <c r="E31" s="4"/>
      <c r="F31" s="4" t="str">
        <f>IFERROR(VLOOKUP([1]!Tabela32[[#This Row],[Placa]],[1]Planilha2!$A$1:$B$12,2,0),"")</f>
        <v>Edilson</v>
      </c>
      <c r="G31" s="10">
        <v>5000</v>
      </c>
      <c r="H31" s="10">
        <v>75240</v>
      </c>
      <c r="I31" s="4">
        <v>1140</v>
      </c>
      <c r="J31" s="9">
        <f>IFERROR([1]!Tabela32[[#This Row],[Valor Frete]]/[1]!Tabela32[[#This Row],[Valor Mercadoria]],"")</f>
        <v>6.6454013822434876E-2</v>
      </c>
      <c r="K31" s="11">
        <v>0.25</v>
      </c>
      <c r="L31" s="15">
        <v>0.625</v>
      </c>
      <c r="M31" s="15">
        <f>[1]!Tabela32[[#This Row],[Hr Chegada]]-[1]!Tabela32[[#This Row],[Hr Saida]]</f>
        <v>0.375</v>
      </c>
      <c r="N31" s="4">
        <v>102921</v>
      </c>
      <c r="O31" s="4">
        <v>102972</v>
      </c>
      <c r="P31" s="4">
        <f>[1]!Tabela32[[#This Row],[Km Chegada]]-[1]!Tabela32[[#This Row],[Km Saída]]</f>
        <v>51</v>
      </c>
      <c r="Q31" s="4">
        <v>198</v>
      </c>
      <c r="R31" s="4">
        <v>1</v>
      </c>
      <c r="S31" s="4">
        <v>1</v>
      </c>
      <c r="T31" s="12">
        <f>[1]!Tabela32[[#This Row],[Entregas]]-[1]!Tabela32[[#This Row],[Realizadas]]</f>
        <v>0</v>
      </c>
      <c r="U31" s="13">
        <f>[1]!Tabela32[[#This Row],[Realizadas]]/[1]!Tabela32[[#This Row],[Entregas]]</f>
        <v>1</v>
      </c>
      <c r="V31" s="14" t="str">
        <f>IF([1]!Tabela32[[#This Row],[% Entrega]]&gt;=96%,"Atendeu a Meta","Não Atendeu a Meta")</f>
        <v>Atendeu a Meta</v>
      </c>
      <c r="W31" s="4" t="s">
        <v>40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YEAR([1]!Tabela32[[#This Row],[Data]])</f>
        <v>2026</v>
      </c>
      <c r="C32" s="16">
        <f>MONTH([1]!Tabela32[[#This Row],[Data]])</f>
        <v>8</v>
      </c>
      <c r="D32" s="4" t="s">
        <v>28</v>
      </c>
      <c r="E32" s="4"/>
      <c r="F32" s="4" t="str">
        <f>IFERROR(VLOOKUP([1]!Tabela32[[#This Row],[Placa]],[1]Planilha2!$A$1:$B$12,2,0),"")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IFERROR([1]!Tabela32[[#This Row],[Valor Frete]]/[1]!Tabela32[[#This Row],[Valor Mercadoria]],"")</f>
        <v>7.3085232759453084E-2</v>
      </c>
      <c r="K32" s="11">
        <v>0.25</v>
      </c>
      <c r="L32" s="15">
        <v>0.70833333333333337</v>
      </c>
      <c r="M32" s="15">
        <f>[1]!Tabela32[[#This Row],[Hr Chegada]]-[1]!Tabela32[[#This Row],[Hr Saida]]</f>
        <v>0.45833333333333337</v>
      </c>
      <c r="N32" s="4">
        <v>289546</v>
      </c>
      <c r="O32" s="4">
        <v>289691</v>
      </c>
      <c r="P32" s="4">
        <f>[1]!Tabela32[[#This Row],[Km Chegada]]-[1]!Tabela32[[#This Row],[Km Saída]]</f>
        <v>145</v>
      </c>
      <c r="Q32" s="4">
        <v>78</v>
      </c>
      <c r="R32" s="4">
        <v>8</v>
      </c>
      <c r="S32" s="4">
        <v>8</v>
      </c>
      <c r="T32" s="12">
        <f>[1]!Tabela32[[#This Row],[Entregas]]-[1]!Tabela32[[#This Row],[Realizadas]]</f>
        <v>0</v>
      </c>
      <c r="U32" s="13">
        <f>[1]!Tabela32[[#This Row],[Realizadas]]/[1]!Tabela32[[#This Row],[Entregas]]</f>
        <v>1</v>
      </c>
      <c r="V32" s="14" t="str">
        <f>IF([1]!Tabela32[[#This Row],[% Entrega]]&gt;=96%,"Atendeu a Meta","Não Atendeu a Meta")</f>
        <v>Atendeu a Meta</v>
      </c>
      <c r="W32" s="4" t="s">
        <v>42</v>
      </c>
      <c r="X32" s="4">
        <v>113913</v>
      </c>
      <c r="Y32" s="5">
        <v>0</v>
      </c>
    </row>
    <row r="33" spans="1:25" x14ac:dyDescent="0.25">
      <c r="A33" s="8">
        <v>46240</v>
      </c>
      <c r="B33" s="16">
        <f>YEAR([1]!Tabela32[[#This Row],[Data]])</f>
        <v>2026</v>
      </c>
      <c r="C33" s="16">
        <f>MONTH([1]!Tabela32[[#This Row],[Data]])</f>
        <v>8</v>
      </c>
      <c r="D33" s="4" t="s">
        <v>32</v>
      </c>
      <c r="E33" s="4"/>
      <c r="F33" s="4" t="str">
        <f>IFERROR(VLOOKUP([1]!Tabela32[[#This Row],[Placa]],[1]Planilha2!$A$1:$B$12,2,0),"")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IFERROR([1]!Tabela32[[#This Row],[Valor Frete]]/[1]!Tabela32[[#This Row],[Valor Mercadoria]],"")</f>
        <v>0.13168376334262982</v>
      </c>
      <c r="K33" s="11">
        <v>0.30555555555555558</v>
      </c>
      <c r="L33" s="15">
        <v>0.72361111111111109</v>
      </c>
      <c r="M33" s="15">
        <f>[1]!Tabela32[[#This Row],[Hr Chegada]]-[1]!Tabela32[[#This Row],[Hr Saida]]</f>
        <v>0.41805555555555551</v>
      </c>
      <c r="N33" s="4">
        <v>278869</v>
      </c>
      <c r="O33" s="4">
        <v>278928</v>
      </c>
      <c r="P33" s="4">
        <f>[1]!Tabela32[[#This Row],[Km Chegada]]-[1]!Tabela32[[#This Row],[Km Saída]]</f>
        <v>59</v>
      </c>
      <c r="Q33" s="4">
        <v>332</v>
      </c>
      <c r="R33" s="4">
        <v>11</v>
      </c>
      <c r="S33" s="4">
        <v>11</v>
      </c>
      <c r="T33" s="12">
        <f>[1]!Tabela32[[#This Row],[Entregas]]-[1]!Tabela32[[#This Row],[Realizadas]]</f>
        <v>0</v>
      </c>
      <c r="U33" s="13">
        <f>[1]!Tabela32[[#This Row],[Realizadas]]/[1]!Tabela32[[#This Row],[Entregas]]</f>
        <v>1</v>
      </c>
      <c r="V33" s="14" t="str">
        <f>IF([1]!Tabela32[[#This Row],[% Entrega]]&gt;=96%,"Atendeu a Meta","Não Atendeu a Meta")</f>
        <v>Atendeu a Meta</v>
      </c>
      <c r="W33" s="4" t="s">
        <v>45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YEAR([1]!Tabela32[[#This Row],[Data]])</f>
        <v>2026</v>
      </c>
      <c r="C34" s="16">
        <f>MONTH([1]!Tabela32[[#This Row],[Data]])</f>
        <v>8</v>
      </c>
      <c r="D34" s="4" t="s">
        <v>34</v>
      </c>
      <c r="E34" s="4"/>
      <c r="F34" s="4" t="str">
        <f>IFERROR(VLOOKUP([1]!Tabela32[[#This Row],[Placa]],[1]Planilha2!$A$1:$B$12,2,0),"")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IFERROR([1]!Tabela32[[#This Row],[Valor Frete]]/[1]!Tabela32[[#This Row],[Valor Mercadoria]],"")</f>
        <v>0.11132403849056244</v>
      </c>
      <c r="K34" s="11">
        <v>0.29166666666666669</v>
      </c>
      <c r="L34" s="15">
        <v>0.71875</v>
      </c>
      <c r="M34" s="15">
        <f>[1]!Tabela32[[#This Row],[Hr Chegada]]-[1]!Tabela32[[#This Row],[Hr Saida]]</f>
        <v>0.42708333333333331</v>
      </c>
      <c r="N34" s="4">
        <v>153515</v>
      </c>
      <c r="O34" s="4">
        <v>153588</v>
      </c>
      <c r="P34" s="4">
        <f>[1]!Tabela32[[#This Row],[Km Chegada]]-[1]!Tabela32[[#This Row],[Km Saída]]</f>
        <v>73</v>
      </c>
      <c r="Q34" s="4">
        <v>32</v>
      </c>
      <c r="R34" s="4">
        <v>7</v>
      </c>
      <c r="S34" s="4">
        <v>7</v>
      </c>
      <c r="T34" s="12">
        <f>[1]!Tabela32[[#This Row],[Entregas]]-[1]!Tabela32[[#This Row],[Realizadas]]</f>
        <v>0</v>
      </c>
      <c r="U34" s="13">
        <f>[1]!Tabela32[[#This Row],[Realizadas]]/[1]!Tabela32[[#This Row],[Entregas]]</f>
        <v>1</v>
      </c>
      <c r="V34" s="14" t="str">
        <f>IF([1]!Tabela32[[#This Row],[% Entrega]]&gt;=96%,"Atendeu a Meta","Não Atendeu a Meta")</f>
        <v>Atendeu a Meta</v>
      </c>
      <c r="W34" s="4" t="s">
        <v>45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YEAR([1]!Tabela32[[#This Row],[Data]])</f>
        <v>2026</v>
      </c>
      <c r="C35" s="16">
        <f>MONTH([1]!Tabela32[[#This Row],[Data]])</f>
        <v>8</v>
      </c>
      <c r="D35" s="4" t="s">
        <v>34</v>
      </c>
      <c r="E35" s="4"/>
      <c r="F35" s="4" t="str">
        <f>IFERROR(VLOOKUP([1]!Tabela32[[#This Row],[Placa]],[1]Planilha2!$A$1:$B$12,2,0),"")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IFERROR([1]!Tabela32[[#This Row],[Valor Frete]]/[1]!Tabela32[[#This Row],[Valor Mercadoria]],"")</f>
        <v>2.0295813380813876E-2</v>
      </c>
      <c r="K35" s="11">
        <v>0.29166666666666669</v>
      </c>
      <c r="L35" s="15">
        <v>0.70833333333333337</v>
      </c>
      <c r="M35" s="15">
        <f>[1]!Tabela32[[#This Row],[Hr Chegada]]-[1]!Tabela32[[#This Row],[Hr Saida]]</f>
        <v>0.41666666666666669</v>
      </c>
      <c r="N35" s="4">
        <v>153588</v>
      </c>
      <c r="O35" s="4">
        <v>153646</v>
      </c>
      <c r="P35" s="4">
        <f>[1]!Tabela32[[#This Row],[Km Chegada]]-[1]!Tabela32[[#This Row],[Km Saída]]</f>
        <v>58</v>
      </c>
      <c r="Q35" s="4">
        <v>34</v>
      </c>
      <c r="R35" s="4">
        <v>1</v>
      </c>
      <c r="S35" s="4">
        <v>1</v>
      </c>
      <c r="T35" s="12">
        <f>[1]!Tabela32[[#This Row],[Entregas]]-[1]!Tabela32[[#This Row],[Realizadas]]</f>
        <v>0</v>
      </c>
      <c r="U35" s="13">
        <f>[1]!Tabela32[[#This Row],[Realizadas]]/[1]!Tabela32[[#This Row],[Entregas]]</f>
        <v>1</v>
      </c>
      <c r="V35" s="14" t="str">
        <f>IF([1]!Tabela32[[#This Row],[% Entrega]]&gt;=96%,"Atendeu a Meta","Não Atendeu a Meta")</f>
        <v>Atendeu a Meta</v>
      </c>
      <c r="W35" s="4" t="s">
        <v>40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YEAR([1]!Tabela32[[#This Row],[Data]])</f>
        <v>2026</v>
      </c>
      <c r="C36" s="16">
        <f>MONTH([1]!Tabela32[[#This Row],[Data]])</f>
        <v>8</v>
      </c>
      <c r="D36" s="4" t="s">
        <v>29</v>
      </c>
      <c r="E36" s="4"/>
      <c r="F36" s="4" t="str">
        <f>IFERROR(VLOOKUP([1]!Tabela32[[#This Row],[Placa]],[1]Planilha2!$A$1:$B$12,2,0),"")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IFERROR([1]!Tabela32[[#This Row],[Valor Frete]]/[1]!Tabela32[[#This Row],[Valor Mercadoria]],"")</f>
        <v>3.9133768959316008E-2</v>
      </c>
      <c r="K36" s="11">
        <v>0.25</v>
      </c>
      <c r="L36" s="15">
        <v>0.75694444444444442</v>
      </c>
      <c r="M36" s="15">
        <f>[1]!Tabela32[[#This Row],[Hr Chegada]]-[1]!Tabela32[[#This Row],[Hr Saida]]</f>
        <v>0.50694444444444442</v>
      </c>
      <c r="N36" s="4">
        <v>102972</v>
      </c>
      <c r="O36" s="4">
        <v>103105</v>
      </c>
      <c r="P36" s="4">
        <f>[1]!Tabela32[[#This Row],[Km Chegada]]-[1]!Tabela32[[#This Row],[Km Saída]]</f>
        <v>133</v>
      </c>
      <c r="Q36" s="4">
        <v>65</v>
      </c>
      <c r="R36" s="4">
        <v>2</v>
      </c>
      <c r="S36" s="4">
        <v>2</v>
      </c>
      <c r="T36" s="12">
        <f>[1]!Tabela32[[#This Row],[Entregas]]-[1]!Tabela32[[#This Row],[Realizadas]]</f>
        <v>0</v>
      </c>
      <c r="U36" s="13">
        <f>[1]!Tabela32[[#This Row],[Realizadas]]/[1]!Tabela32[[#This Row],[Entregas]]</f>
        <v>1</v>
      </c>
      <c r="V36" s="14" t="str">
        <f>IF([1]!Tabela32[[#This Row],[% Entrega]]&gt;=96%,"Atendeu a Meta","Não Atendeu a Meta")</f>
        <v>Atendeu a Meta</v>
      </c>
      <c r="W36" s="4" t="s">
        <v>42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YEAR([1]!Tabela32[[#This Row],[Data]])</f>
        <v>2026</v>
      </c>
      <c r="C37" s="16">
        <f>MONTH([1]!Tabela32[[#This Row],[Data]])</f>
        <v>8</v>
      </c>
      <c r="D37" s="4" t="s">
        <v>24</v>
      </c>
      <c r="E37" s="4"/>
      <c r="F37" s="4" t="str">
        <f>IFERROR(VLOOKUP([1]!Tabela32[[#This Row],[Placa]],[1]Planilha2!$A$1:$B$12,2,0),"")</f>
        <v>Wesley</v>
      </c>
      <c r="G37" s="10">
        <v>5239.71</v>
      </c>
      <c r="H37" s="10">
        <v>175862.76</v>
      </c>
      <c r="I37" s="4">
        <v>690</v>
      </c>
      <c r="J37" s="9">
        <f>IFERROR([1]!Tabela32[[#This Row],[Valor Frete]]/[1]!Tabela32[[#This Row],[Valor Mercadoria]],"")</f>
        <v>2.9794312337643285E-2</v>
      </c>
      <c r="K37" s="11">
        <v>0.29166666666666669</v>
      </c>
      <c r="L37" s="15">
        <v>0.72222222222222221</v>
      </c>
      <c r="M37" s="15">
        <f>[1]!Tabela32[[#This Row],[Hr Chegada]]-[1]!Tabela32[[#This Row],[Hr Saida]]</f>
        <v>0.43055555555555552</v>
      </c>
      <c r="N37" s="4">
        <v>123656</v>
      </c>
      <c r="O37" s="4">
        <v>123713</v>
      </c>
      <c r="P37" s="4">
        <f>[1]!Tabela32[[#This Row],[Km Chegada]]-[1]!Tabela32[[#This Row],[Km Saída]]</f>
        <v>57</v>
      </c>
      <c r="Q37" s="4">
        <v>165</v>
      </c>
      <c r="R37" s="4">
        <v>22</v>
      </c>
      <c r="S37" s="4">
        <v>22</v>
      </c>
      <c r="T37" s="12">
        <f>[1]!Tabela32[[#This Row],[Entregas]]-[1]!Tabela32[[#This Row],[Realizadas]]</f>
        <v>0</v>
      </c>
      <c r="U37" s="13">
        <f>[1]!Tabela32[[#This Row],[Realizadas]]/[1]!Tabela32[[#This Row],[Entregas]]</f>
        <v>1</v>
      </c>
      <c r="V37" s="14" t="str">
        <f>IF([1]!Tabela32[[#This Row],[% Entrega]]&gt;=96%,"Atendeu a Meta","Não Atendeu a Meta")</f>
        <v>Atendeu a Meta</v>
      </c>
      <c r="W37" s="4" t="s">
        <v>40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YEAR([1]!Tabela32[[#This Row],[Data]])</f>
        <v>2026</v>
      </c>
      <c r="C38" s="16">
        <f>MONTH([1]!Tabela32[[#This Row],[Data]])</f>
        <v>8</v>
      </c>
      <c r="D38" s="4" t="s">
        <v>28</v>
      </c>
      <c r="E38" s="4"/>
      <c r="F38" s="4" t="str">
        <f>IFERROR(VLOOKUP([1]!Tabela32[[#This Row],[Placa]],[1]Planilha2!$A$1:$B$12,2,0),"")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IFERROR([1]!Tabela32[[#This Row],[Valor Frete]]/[1]!Tabela32[[#This Row],[Valor Mercadoria]],"")</f>
        <v>6.0101048633456673E-2</v>
      </c>
      <c r="K38" s="11">
        <v>0.29166666666666669</v>
      </c>
      <c r="L38" s="15">
        <v>0.73611111111111116</v>
      </c>
      <c r="M38" s="15">
        <f>[1]!Tabela32[[#This Row],[Hr Chegada]]-[1]!Tabela32[[#This Row],[Hr Saida]]</f>
        <v>0.44444444444444448</v>
      </c>
      <c r="N38" s="4">
        <v>289691</v>
      </c>
      <c r="O38" s="4">
        <v>289832</v>
      </c>
      <c r="P38" s="4">
        <f>[1]!Tabela32[[#This Row],[Km Chegada]]-[1]!Tabela32[[#This Row],[Km Saída]]</f>
        <v>141</v>
      </c>
      <c r="Q38" s="4">
        <v>211</v>
      </c>
      <c r="R38" s="4">
        <v>11</v>
      </c>
      <c r="S38" s="4">
        <v>11</v>
      </c>
      <c r="T38" s="12">
        <v>0</v>
      </c>
      <c r="U38" s="13">
        <v>1</v>
      </c>
      <c r="V38" s="14" t="s">
        <v>65</v>
      </c>
      <c r="W38" s="4" t="s">
        <v>45</v>
      </c>
      <c r="X38" s="4">
        <v>2</v>
      </c>
      <c r="Y38" s="5" t="s">
        <v>61</v>
      </c>
    </row>
    <row r="39" spans="1:25" x14ac:dyDescent="0.25">
      <c r="A39" s="8">
        <v>46241</v>
      </c>
      <c r="B39" s="16">
        <f>YEAR([1]!Tabela32[[#This Row],[Data]])</f>
        <v>2026</v>
      </c>
      <c r="C39" s="16">
        <f>MONTH([1]!Tabela32[[#This Row],[Data]])</f>
        <v>8</v>
      </c>
      <c r="D39" s="4" t="s">
        <v>36</v>
      </c>
      <c r="E39" s="4"/>
      <c r="F39" s="4" t="str">
        <f>IFERROR(VLOOKUP([1]!Tabela32[[#This Row],[Placa]],[1]Planilha2!$A$1:$B$12,2,0),"")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IFERROR([1]!Tabela32[[#This Row],[Valor Frete]]/[1]!Tabela32[[#This Row],[Valor Mercadoria]],"")</f>
        <v>4.4404668547993117E-2</v>
      </c>
      <c r="K39" s="11">
        <v>0.29166666666666669</v>
      </c>
      <c r="L39" s="15">
        <v>0.70486111111111116</v>
      </c>
      <c r="M39" s="15">
        <f>[1]!Tabela32[[#This Row],[Hr Chegada]]-[1]!Tabela32[[#This Row],[Hr Saida]]</f>
        <v>0.41319444444444448</v>
      </c>
      <c r="N39" s="4">
        <v>140811</v>
      </c>
      <c r="O39" s="4">
        <v>140875</v>
      </c>
      <c r="P39" s="4">
        <f>[1]!Tabela32[[#This Row],[Km Chegada]]-[1]!Tabela32[[#This Row],[Km Saída]]</f>
        <v>64</v>
      </c>
      <c r="Q39" s="4">
        <v>162</v>
      </c>
      <c r="R39" s="4">
        <v>21</v>
      </c>
      <c r="S39" s="4">
        <v>21</v>
      </c>
      <c r="T39" s="12">
        <f>[1]!Tabela32[[#This Row],[Entregas]]-[1]!Tabela32[[#This Row],[Realizadas]]</f>
        <v>0</v>
      </c>
      <c r="U39" s="13">
        <f>[1]!Tabela32[[#This Row],[Realizadas]]/[1]!Tabela32[[#This Row],[Entregas]]</f>
        <v>1</v>
      </c>
      <c r="V39" s="14" t="str">
        <f>IF([1]!Tabela32[[#This Row],[% Entrega]]&gt;=96%,"Atendeu a Meta","Não Atendeu a Meta")</f>
        <v>Atendeu a Meta</v>
      </c>
      <c r="W39" s="4" t="s">
        <v>40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YEAR([1]!Tabela32[[#This Row],[Data]])</f>
        <v>2026</v>
      </c>
      <c r="C40" s="16">
        <f>MONTH([1]!Tabela32[[#This Row],[Data]])</f>
        <v>8</v>
      </c>
      <c r="D40" s="4" t="s">
        <v>32</v>
      </c>
      <c r="E40" s="4"/>
      <c r="F40" s="4" t="str">
        <f>IFERROR(VLOOKUP([1]!Tabela32[[#This Row],[Placa]],[1]Planilha2!$A$1:$B$12,2,0),"")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IFERROR([1]!Tabela32[[#This Row],[Valor Frete]]/[1]!Tabela32[[#This Row],[Valor Mercadoria]],"")</f>
        <v>6.3372065391069238E-2</v>
      </c>
      <c r="K40" s="11">
        <v>0.29166666666666669</v>
      </c>
      <c r="L40" s="15">
        <v>0.70625000000000004</v>
      </c>
      <c r="M40" s="15">
        <f>[1]!Tabela32[[#This Row],[Hr Chegada]]-[1]!Tabela32[[#This Row],[Hr Saida]]</f>
        <v>0.41458333333333336</v>
      </c>
      <c r="N40" s="4">
        <v>278928</v>
      </c>
      <c r="O40" s="4">
        <v>278977</v>
      </c>
      <c r="P40" s="4">
        <f>[1]!Tabela32[[#This Row],[Km Chegada]]-[1]!Tabela32[[#This Row],[Km Saída]]</f>
        <v>49</v>
      </c>
      <c r="Q40" s="4">
        <v>145</v>
      </c>
      <c r="R40" s="4">
        <v>25</v>
      </c>
      <c r="S40" s="4">
        <v>25</v>
      </c>
      <c r="T40" s="12">
        <f>[1]!Tabela32[[#This Row],[Entregas]]-[1]!Tabela32[[#This Row],[Realizadas]]</f>
        <v>0</v>
      </c>
      <c r="U40" s="13">
        <f>[1]!Tabela32[[#This Row],[Realizadas]]/[1]!Tabela32[[#This Row],[Entregas]]</f>
        <v>1</v>
      </c>
      <c r="V40" s="14" t="str">
        <f>IF([1]!Tabela32[[#This Row],[% Entrega]]&gt;=96%,"Atendeu a Meta","Não Atendeu a Meta")</f>
        <v>Atendeu a Meta</v>
      </c>
      <c r="W40" s="4" t="s">
        <v>45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YEAR([1]!Tabela32[[#This Row],[Data]])</f>
        <v>2026</v>
      </c>
      <c r="C41" s="16">
        <f>MONTH([1]!Tabela32[[#This Row],[Data]])</f>
        <v>8</v>
      </c>
      <c r="D41" s="4" t="s">
        <v>22</v>
      </c>
      <c r="E41" s="4"/>
      <c r="F41" s="4" t="str">
        <f>IFERROR(VLOOKUP([1]!Tabela32[[#This Row],[Placa]],[1]Planilha2!$A$1:$B$12,2,0),"")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IFERROR([1]!Tabela32[[#This Row],[Valor Frete]]/[1]!Tabela32[[#This Row],[Valor Mercadoria]],"")</f>
        <v>0.1000445429325976</v>
      </c>
      <c r="K41" s="11">
        <v>0.25</v>
      </c>
      <c r="L41" s="15">
        <v>0.75</v>
      </c>
      <c r="M41" s="15">
        <f>[1]!Tabela32[[#This Row],[Hr Chegada]]-[1]!Tabela32[[#This Row],[Hr Saida]]</f>
        <v>0.5</v>
      </c>
      <c r="N41" s="4">
        <v>302561</v>
      </c>
      <c r="O41" s="4">
        <v>302691</v>
      </c>
      <c r="P41" s="4">
        <f>[1]!Tabela32[[#This Row],[Km Chegada]]-[1]!Tabela32[[#This Row],[Km Saída]]</f>
        <v>130</v>
      </c>
      <c r="Q41" s="4">
        <v>174</v>
      </c>
      <c r="R41" s="4">
        <v>19</v>
      </c>
      <c r="S41" s="4">
        <v>19</v>
      </c>
      <c r="T41" s="12">
        <f>[1]!Tabela32[[#This Row],[Entregas]]-[1]!Tabela32[[#This Row],[Realizadas]]</f>
        <v>0</v>
      </c>
      <c r="U41" s="13">
        <f>[1]!Tabela32[[#This Row],[Realizadas]]/[1]!Tabela32[[#This Row],[Entregas]]</f>
        <v>1</v>
      </c>
      <c r="V41" s="14" t="str">
        <f>IF([1]!Tabela32[[#This Row],[% Entrega]]&gt;=96%,"Atendeu a Meta","Não Atendeu a Meta")</f>
        <v>Atendeu a Meta</v>
      </c>
      <c r="W41" s="4" t="s">
        <v>42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YEAR([1]!Tabela32[[#This Row],[Data]])</f>
        <v>2026</v>
      </c>
      <c r="C42" s="16">
        <f>MONTH([1]!Tabela32[[#This Row],[Data]])</f>
        <v>8</v>
      </c>
      <c r="D42" s="4" t="s">
        <v>55</v>
      </c>
      <c r="E42" s="4"/>
      <c r="F42" s="4" t="str">
        <f>IFERROR(VLOOKUP([1]!Tabela32[[#This Row],[Placa]],[1]Planilha2!$A$1:$B$12,2,0),"")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IFERROR([1]!Tabela32[[#This Row],[Valor Frete]]/[1]!Tabela32[[#This Row],[Valor Mercadoria]],"")</f>
        <v>4.2319140710337863E-2</v>
      </c>
      <c r="K42" s="11">
        <v>0.29166666666666669</v>
      </c>
      <c r="L42" s="15">
        <v>0.79861111111111116</v>
      </c>
      <c r="M42" s="15">
        <f>[1]!Tabela32[[#This Row],[Hr Chegada]]-[1]!Tabela32[[#This Row],[Hr Saida]]</f>
        <v>0.50694444444444442</v>
      </c>
      <c r="N42" s="4">
        <v>11703</v>
      </c>
      <c r="O42" s="4">
        <v>11777</v>
      </c>
      <c r="P42" s="4">
        <f>[1]!Tabela32[[#This Row],[Km Chegada]]-[1]!Tabela32[[#This Row],[Km Saída]]</f>
        <v>74</v>
      </c>
      <c r="Q42" s="4">
        <v>200</v>
      </c>
      <c r="R42" s="4">
        <v>25</v>
      </c>
      <c r="S42" s="4">
        <v>25</v>
      </c>
      <c r="T42" s="12">
        <v>0</v>
      </c>
      <c r="U42" s="13">
        <v>1</v>
      </c>
      <c r="V42" s="14" t="str">
        <f>IF([1]!Tabela32[[#This Row],[% Entrega]]&gt;=96%,"Atendeu a Meta","Não Atendeu a Meta")</f>
        <v>Atendeu a Meta</v>
      </c>
      <c r="W42" s="4" t="s">
        <v>40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YEAR([1]!Tabela32[[#This Row],[Data]])</f>
        <v>2026</v>
      </c>
      <c r="C43" s="16">
        <f>MONTH([1]!Tabela32[[#This Row],[Data]])</f>
        <v>8</v>
      </c>
      <c r="D43" s="4" t="s">
        <v>26</v>
      </c>
      <c r="E43" s="4"/>
      <c r="F43" s="4" t="str">
        <f>IFERROR(VLOOKUP([1]!Tabela32[[#This Row],[Placa]],[1]Planilha2!$A$1:$B$12,2,0),"")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IFERROR([1]!Tabela32[[#This Row],[Valor Frete]]/[1]!Tabela32[[#This Row],[Valor Mercadoria]],"")</f>
        <v>7.2777754915126558E-2</v>
      </c>
      <c r="K43" s="11">
        <v>0.30555555555555558</v>
      </c>
      <c r="L43" s="15">
        <v>0.75</v>
      </c>
      <c r="M43" s="15">
        <f>[1]!Tabela32[[#This Row],[Hr Chegada]]-[1]!Tabela32[[#This Row],[Hr Saida]]</f>
        <v>0.44444444444444442</v>
      </c>
      <c r="N43" s="4">
        <v>117242</v>
      </c>
      <c r="O43" s="4">
        <v>117317</v>
      </c>
      <c r="P43" s="4">
        <f>[1]!Tabela32[[#This Row],[Km Chegada]]-[1]!Tabela32[[#This Row],[Km Saída]]</f>
        <v>75</v>
      </c>
      <c r="Q43" s="4">
        <v>149</v>
      </c>
      <c r="R43" s="4">
        <v>41</v>
      </c>
      <c r="S43" s="4">
        <v>41</v>
      </c>
      <c r="T43" s="12">
        <f>[1]!Tabela32[[#This Row],[Entregas]]-[1]!Tabela32[[#This Row],[Realizadas]]</f>
        <v>0</v>
      </c>
      <c r="U43" s="13">
        <f>[1]!Tabela32[[#This Row],[Realizadas]]/[1]!Tabela32[[#This Row],[Entregas]]</f>
        <v>1</v>
      </c>
      <c r="V43" s="14" t="str">
        <f>IF([1]!Tabela32[[#This Row],[% Entrega]]&gt;=96%,"Atendeu a Meta","Não Atendeu a Meta")</f>
        <v>Atendeu a Meta</v>
      </c>
      <c r="W43" s="4" t="s">
        <v>40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YEAR([1]!Tabela32[[#This Row],[Data]])</f>
        <v>2026</v>
      </c>
      <c r="C44" s="16">
        <f>MONTH([1]!Tabela32[[#This Row],[Data]])</f>
        <v>8</v>
      </c>
      <c r="D44" s="4" t="s">
        <v>26</v>
      </c>
      <c r="E44" s="4"/>
      <c r="F44" s="4" t="str">
        <f>IFERROR(VLOOKUP([1]!Tabela32[[#This Row],[Placa]],[1]Planilha2!$A$1:$B$12,2,0),"")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IFERROR([1]!Tabela32[[#This Row],[Valor Frete]]/[1]!Tabela32[[#This Row],[Valor Mercadoria]],"")</f>
        <v>8.5907826939101609E-2</v>
      </c>
      <c r="K44" s="11">
        <v>0.29166666666666669</v>
      </c>
      <c r="L44" s="15">
        <v>0.74305555555555558</v>
      </c>
      <c r="M44" s="15">
        <f>[1]!Tabela32[[#This Row],[Hr Chegada]]-[1]!Tabela32[[#This Row],[Hr Saida]]</f>
        <v>0.4513888888888889</v>
      </c>
      <c r="N44" s="4">
        <v>117317</v>
      </c>
      <c r="O44" s="4">
        <v>117363</v>
      </c>
      <c r="P44" s="4">
        <f>[1]!Tabela32[[#This Row],[Km Chegada]]-[1]!Tabela32[[#This Row],[Km Saída]]</f>
        <v>46</v>
      </c>
      <c r="Q44" s="4">
        <v>86</v>
      </c>
      <c r="R44" s="4">
        <v>20</v>
      </c>
      <c r="S44" s="4">
        <v>20</v>
      </c>
      <c r="T44" s="12">
        <f>[1]!Tabela32[[#This Row],[Entregas]]-[1]!Tabela32[[#This Row],[Realizadas]]</f>
        <v>0</v>
      </c>
      <c r="U44" s="13">
        <f>[1]!Tabela32[[#This Row],[Realizadas]]/[1]!Tabela32[[#This Row],[Entregas]]</f>
        <v>1</v>
      </c>
      <c r="V44" s="14" t="str">
        <f>IF([1]!Tabela32[[#This Row],[% Entrega]]&gt;=96%,"Atendeu a Meta","Não Atendeu a Meta")</f>
        <v>Atendeu a Meta</v>
      </c>
      <c r="W44" s="4" t="s">
        <v>40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YEAR([1]!Tabela32[[#This Row],[Data]])</f>
        <v>2026</v>
      </c>
      <c r="C45" s="16">
        <f>MONTH([1]!Tabela32[[#This Row],[Data]])</f>
        <v>8</v>
      </c>
      <c r="D45" s="4" t="s">
        <v>34</v>
      </c>
      <c r="E45" s="4"/>
      <c r="F45" s="4" t="str">
        <f>IFERROR(VLOOKUP([1]!Tabela32[[#This Row],[Placa]],[1]Planilha2!$A$1:$B$12,2,0),"")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IFERROR([1]!Tabela32[[#This Row],[Valor Frete]]/[1]!Tabela32[[#This Row],[Valor Mercadoria]],"")</f>
        <v>2.4487920819350032E-2</v>
      </c>
      <c r="K45" s="11">
        <v>0.29166666666666669</v>
      </c>
      <c r="L45" s="15">
        <v>0.43541666666666667</v>
      </c>
      <c r="M45" s="15">
        <f>[1]!Tabela32[[#This Row],[Hr Chegada]]-[1]!Tabela32[[#This Row],[Hr Saida]]</f>
        <v>0.14374999999999999</v>
      </c>
      <c r="N45" s="4">
        <v>153646</v>
      </c>
      <c r="O45" s="4">
        <v>153677</v>
      </c>
      <c r="P45" s="4">
        <f>[1]!Tabela32[[#This Row],[Km Chegada]]-[1]!Tabela32[[#This Row],[Km Saída]]</f>
        <v>31</v>
      </c>
      <c r="Q45" s="4">
        <v>82</v>
      </c>
      <c r="R45" s="4">
        <v>2</v>
      </c>
      <c r="S45" s="4">
        <v>2</v>
      </c>
      <c r="T45" s="12">
        <f>[1]!Tabela32[[#This Row],[Entregas]]-[1]!Tabela32[[#This Row],[Realizadas]]</f>
        <v>0</v>
      </c>
      <c r="U45" s="13">
        <f>[1]!Tabela32[[#This Row],[Realizadas]]/[1]!Tabela32[[#This Row],[Entregas]]</f>
        <v>1</v>
      </c>
      <c r="V45" s="14" t="str">
        <f>IF([1]!Tabela32[[#This Row],[% Entrega]]&gt;=96%,"Atendeu a Meta","Não Atendeu a Meta")</f>
        <v>Atendeu a Meta</v>
      </c>
      <c r="W45" s="4" t="s">
        <v>41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YEAR([1]!Tabela32[[#This Row],[Data]])</f>
        <v>2026</v>
      </c>
      <c r="C46" s="16">
        <f>MONTH([1]!Tabela32[[#This Row],[Data]])</f>
        <v>8</v>
      </c>
      <c r="D46" s="4" t="s">
        <v>29</v>
      </c>
      <c r="E46" s="4"/>
      <c r="F46" s="4" t="str">
        <f>IFERROR(VLOOKUP([1]!Tabela32[[#This Row],[Placa]],[1]Planilha2!$A$1:$B$12,2,0),"")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IFERROR([1]!Tabela32[[#This Row],[Valor Frete]]/[1]!Tabela32[[#This Row],[Valor Mercadoria]],"")</f>
        <v>2.5527467697819776E-2</v>
      </c>
      <c r="K46" s="11">
        <v>0.29166666666666669</v>
      </c>
      <c r="L46" s="15">
        <v>0.7319444444444444</v>
      </c>
      <c r="M46" s="15">
        <f>[1]!Tabela32[[#This Row],[Hr Chegada]]-[1]!Tabela32[[#This Row],[Hr Saida]]</f>
        <v>0.44027777777777771</v>
      </c>
      <c r="N46" s="4">
        <v>103105</v>
      </c>
      <c r="O46" s="4">
        <v>103127</v>
      </c>
      <c r="P46" s="4">
        <f>[1]!Tabela32[[#This Row],[Km Chegada]]-[1]!Tabela32[[#This Row],[Km Saída]]</f>
        <v>22</v>
      </c>
      <c r="Q46" s="4">
        <v>21</v>
      </c>
      <c r="R46" s="4">
        <v>1</v>
      </c>
      <c r="S46" s="4">
        <v>1</v>
      </c>
      <c r="T46" s="12">
        <f>[1]!Tabela32[[#This Row],[Entregas]]-[1]!Tabela32[[#This Row],[Realizadas]]</f>
        <v>0</v>
      </c>
      <c r="U46" s="13">
        <f>[1]!Tabela32[[#This Row],[Realizadas]]/[1]!Tabela32[[#This Row],[Entregas]]</f>
        <v>1</v>
      </c>
      <c r="V46" s="14" t="str">
        <f>IF([1]!Tabela32[[#This Row],[% Entrega]]&gt;=96%,"Atendeu a Meta","Não Atendeu a Meta")</f>
        <v>Atendeu a Meta</v>
      </c>
      <c r="W46" s="4" t="s">
        <v>45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YEAR([1]!Tabela32[[#This Row],[Data]])</f>
        <v>2026</v>
      </c>
      <c r="C47" s="16">
        <f>MONTH([1]!Tabela32[[#This Row],[Data]])</f>
        <v>8</v>
      </c>
      <c r="D47" s="4" t="s">
        <v>34</v>
      </c>
      <c r="E47" s="4"/>
      <c r="F47" s="4" t="str">
        <f>IFERROR(VLOOKUP([1]!Tabela32[[#This Row],[Placa]],[1]Planilha2!$A$1:$B$12,2,0),"")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IFERROR([1]!Tabela32[[#This Row],[Valor Frete]]/[1]!Tabela32[[#This Row],[Valor Mercadoria]],"")</f>
        <v>6.3542810705775762E-2</v>
      </c>
      <c r="K47" s="11">
        <v>0.29166666666666669</v>
      </c>
      <c r="L47" s="15">
        <v>0.72569444444444442</v>
      </c>
      <c r="M47" s="15">
        <f>[1]!Tabela32[[#This Row],[Hr Chegada]]-[1]!Tabela32[[#This Row],[Hr Saida]]</f>
        <v>0.43402777777777773</v>
      </c>
      <c r="N47" s="4">
        <v>153677</v>
      </c>
      <c r="O47" s="4">
        <v>153723</v>
      </c>
      <c r="P47" s="4">
        <f>[1]!Tabela32[[#This Row],[Km Chegada]]-[1]!Tabela32[[#This Row],[Km Saída]]</f>
        <v>46</v>
      </c>
      <c r="Q47" s="4">
        <v>76</v>
      </c>
      <c r="R47" s="4">
        <v>11</v>
      </c>
      <c r="S47" s="4">
        <v>11</v>
      </c>
      <c r="T47" s="12">
        <v>0</v>
      </c>
      <c r="U47" s="13">
        <v>1</v>
      </c>
      <c r="V47" s="14" t="s">
        <v>65</v>
      </c>
      <c r="W47" s="4" t="s">
        <v>45</v>
      </c>
      <c r="X47" s="4">
        <v>2</v>
      </c>
      <c r="Y47" s="5" t="s">
        <v>62</v>
      </c>
    </row>
    <row r="48" spans="1:25" x14ac:dyDescent="0.25">
      <c r="A48" s="8">
        <v>46244</v>
      </c>
      <c r="B48" s="16">
        <f>YEAR([1]!Tabela32[[#This Row],[Data]])</f>
        <v>2026</v>
      </c>
      <c r="C48" s="16">
        <f>MONTH([1]!Tabela32[[#This Row],[Data]])</f>
        <v>8</v>
      </c>
      <c r="D48" s="4" t="s">
        <v>22</v>
      </c>
      <c r="E48" s="4"/>
      <c r="F48" s="4" t="str">
        <f>IFERROR(VLOOKUP([1]!Tabela32[[#This Row],[Placa]],[1]Planilha2!$A$1:$B$12,2,0),"")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IFERROR([1]!Tabela32[[#This Row],[Valor Frete]]/[1]!Tabela32[[#This Row],[Valor Mercadoria]],"")</f>
        <v>4.3844036212106065E-2</v>
      </c>
      <c r="K48" s="11">
        <v>0.29166666666666669</v>
      </c>
      <c r="L48" s="15">
        <v>0.73611111111111116</v>
      </c>
      <c r="M48" s="15">
        <f>[1]!Tabela32[[#This Row],[Hr Chegada]]-[1]!Tabela32[[#This Row],[Hr Saida]]</f>
        <v>0.44444444444444448</v>
      </c>
      <c r="N48" s="4">
        <v>302698</v>
      </c>
      <c r="O48" s="4">
        <v>302761</v>
      </c>
      <c r="P48" s="4">
        <f>[1]!Tabela32[[#This Row],[Km Chegada]]-[1]!Tabela32[[#This Row],[Km Saída]]</f>
        <v>63</v>
      </c>
      <c r="Q48" s="4">
        <v>231</v>
      </c>
      <c r="R48" s="4">
        <v>21</v>
      </c>
      <c r="S48" s="4">
        <v>21</v>
      </c>
      <c r="T48" s="12">
        <f>[1]!Tabela32[[#This Row],[Entregas]]-[1]!Tabela32[[#This Row],[Realizadas]]</f>
        <v>0</v>
      </c>
      <c r="U48" s="13">
        <f>[1]!Tabela32[[#This Row],[Realizadas]]/[1]!Tabela32[[#This Row],[Entregas]]</f>
        <v>1</v>
      </c>
      <c r="V48" s="14" t="str">
        <f>IF([1]!Tabela32[[#This Row],[% Entrega]]&gt;=96%,"Atendeu a Meta","Não Atendeu a Meta")</f>
        <v>Atendeu a Meta</v>
      </c>
      <c r="W48" s="4" t="s">
        <v>40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YEAR([1]!Tabela32[[#This Row],[Data]])</f>
        <v>2026</v>
      </c>
      <c r="C49" s="16">
        <f>MONTH([1]!Tabela32[[#This Row],[Data]])</f>
        <v>8</v>
      </c>
      <c r="D49" s="4" t="s">
        <v>55</v>
      </c>
      <c r="E49" s="4"/>
      <c r="F49" s="4" t="str">
        <f>IFERROR(VLOOKUP([1]!Tabela32[[#This Row],[Placa]],[1]Planilha2!$A$1:$B$12,2,0),"")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IFERROR([1]!Tabela32[[#This Row],[Valor Frete]]/[1]!Tabela32[[#This Row],[Valor Mercadoria]],"")</f>
        <v>5.1605803212827671E-2</v>
      </c>
      <c r="K49" s="11">
        <v>0.29166666666666669</v>
      </c>
      <c r="L49" s="15">
        <v>0.71736111111111112</v>
      </c>
      <c r="M49" s="15">
        <f>[1]!Tabela32[[#This Row],[Hr Chegada]]-[1]!Tabela32[[#This Row],[Hr Saida]]</f>
        <v>0.42569444444444443</v>
      </c>
      <c r="N49" s="4">
        <v>11777</v>
      </c>
      <c r="O49" s="4">
        <v>11840</v>
      </c>
      <c r="P49" s="4">
        <f>[1]!Tabela32[[#This Row],[Km Chegada]]-[1]!Tabela32[[#This Row],[Km Saída]]</f>
        <v>63</v>
      </c>
      <c r="Q49" s="4">
        <v>107</v>
      </c>
      <c r="R49" s="4">
        <v>20</v>
      </c>
      <c r="S49" s="4">
        <v>20</v>
      </c>
      <c r="T49" s="12">
        <f>[1]!Tabela32[[#This Row],[Entregas]]-[1]!Tabela32[[#This Row],[Realizadas]]</f>
        <v>0</v>
      </c>
      <c r="U49" s="13">
        <f>[1]!Tabela32[[#This Row],[Realizadas]]/[1]!Tabela32[[#This Row],[Entregas]]</f>
        <v>1</v>
      </c>
      <c r="V49" s="14" t="str">
        <f>IF([1]!Tabela32[[#This Row],[% Entrega]]&gt;=96%,"Atendeu a Meta","Não Atendeu a Meta")</f>
        <v>Atendeu a Meta</v>
      </c>
      <c r="W49" s="4" t="s">
        <v>40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YEAR([1]!Tabela32[[#This Row],[Data]])</f>
        <v>2026</v>
      </c>
      <c r="C50" s="16">
        <f>MONTH([1]!Tabela32[[#This Row],[Data]])</f>
        <v>8</v>
      </c>
      <c r="D50" s="4" t="s">
        <v>32</v>
      </c>
      <c r="E50" s="4"/>
      <c r="F50" s="4" t="str">
        <f>IFERROR(VLOOKUP([1]!Tabela32[[#This Row],[Placa]],[1]Planilha2!$A$1:$B$12,2,0),"")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IFERROR([1]!Tabela32[[#This Row],[Valor Frete]]/[1]!Tabela32[[#This Row],[Valor Mercadoria]],"")</f>
        <v>4.4715311893779669E-2</v>
      </c>
      <c r="K50" s="11">
        <v>0.29166666666666669</v>
      </c>
      <c r="L50" s="15">
        <v>0.81736111111111109</v>
      </c>
      <c r="M50" s="15">
        <f>[1]!Tabela32[[#This Row],[Hr Chegada]]-[1]!Tabela32[[#This Row],[Hr Saida]]</f>
        <v>0.52569444444444446</v>
      </c>
      <c r="N50" s="4">
        <v>278977</v>
      </c>
      <c r="O50" s="4">
        <v>279059</v>
      </c>
      <c r="P50" s="4">
        <f>[1]!Tabela32[[#This Row],[Km Chegada]]-[1]!Tabela32[[#This Row],[Km Saída]]</f>
        <v>82</v>
      </c>
      <c r="Q50" s="4">
        <v>491</v>
      </c>
      <c r="R50" s="4">
        <v>23</v>
      </c>
      <c r="S50" s="4">
        <v>23</v>
      </c>
      <c r="T50" s="12">
        <v>0</v>
      </c>
      <c r="U50" s="13">
        <v>1</v>
      </c>
      <c r="V50" s="14" t="s">
        <v>65</v>
      </c>
      <c r="W50" s="4" t="s">
        <v>40</v>
      </c>
      <c r="X50" s="4">
        <v>2</v>
      </c>
      <c r="Y50" s="5" t="s">
        <v>63</v>
      </c>
    </row>
    <row r="51" spans="1:25" ht="17.25" x14ac:dyDescent="0.4">
      <c r="A51" s="8">
        <v>46244</v>
      </c>
      <c r="B51" s="16">
        <f>YEAR([1]!Tabela32[[#This Row],[Data]])</f>
        <v>2026</v>
      </c>
      <c r="C51" s="16">
        <f>MONTH([1]!Tabela32[[#This Row],[Data]])</f>
        <v>8</v>
      </c>
      <c r="D51" s="4" t="s">
        <v>26</v>
      </c>
      <c r="E51" s="4"/>
      <c r="F51" s="4" t="str">
        <f>IFERROR(VLOOKUP([1]!Tabela32[[#This Row],[Placa]],[1]Planilha2!$A$1:$B$12,2,0),"")</f>
        <v>Gilberto</v>
      </c>
      <c r="G51" s="17">
        <v>15692.95</v>
      </c>
      <c r="H51" s="10">
        <v>402526.01</v>
      </c>
      <c r="I51" s="4">
        <v>3125</v>
      </c>
      <c r="J51" s="9">
        <f>IFERROR([1]!Tabela32[[#This Row],[Valor Frete]]/[1]!Tabela32[[#This Row],[Valor Mercadoria]],"")</f>
        <v>3.8986176321872963E-2</v>
      </c>
      <c r="K51" s="11">
        <v>0.27083333333333331</v>
      </c>
      <c r="L51" s="15">
        <v>0.71597222222222223</v>
      </c>
      <c r="M51" s="15">
        <f>[1]!Tabela32[[#This Row],[Hr Chegada]]-[1]!Tabela32[[#This Row],[Hr Saida]]</f>
        <v>0.44513888888888892</v>
      </c>
      <c r="N51" s="4">
        <v>117363</v>
      </c>
      <c r="O51" s="4">
        <v>117491</v>
      </c>
      <c r="P51" s="4">
        <f>[1]!Tabela32[[#This Row],[Km Chegada]]-[1]!Tabela32[[#This Row],[Km Saída]]</f>
        <v>128</v>
      </c>
      <c r="Q51" s="4">
        <v>40</v>
      </c>
      <c r="R51" s="4">
        <v>3</v>
      </c>
      <c r="S51" s="4">
        <v>3</v>
      </c>
      <c r="T51" s="12">
        <f>[1]!Tabela32[[#This Row],[Entregas]]-[1]!Tabela32[[#This Row],[Realizadas]]</f>
        <v>0</v>
      </c>
      <c r="U51" s="13">
        <f>[1]!Tabela32[[#This Row],[Realizadas]]/[1]!Tabela32[[#This Row],[Entregas]]</f>
        <v>1</v>
      </c>
      <c r="V51" s="14" t="str">
        <f>IF([1]!Tabela32[[#This Row],[% Entrega]]&gt;=96%,"Atendeu a Meta","Não Atendeu a Meta")</f>
        <v>Atendeu a Meta</v>
      </c>
      <c r="W51" s="4" t="s">
        <v>42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YEAR([1]!Tabela32[[#This Row],[Data]])</f>
        <v>2026</v>
      </c>
      <c r="C52" s="16">
        <f>MONTH([1]!Tabela32[[#This Row],[Data]])</f>
        <v>8</v>
      </c>
      <c r="D52" s="4" t="s">
        <v>36</v>
      </c>
      <c r="E52" s="4"/>
      <c r="F52" s="4" t="str">
        <f>IFERROR(VLOOKUP([1]!Tabela32[[#This Row],[Placa]],[1]Planilha2!$A$1:$B$12,2,0),"")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IFERROR([1]!Tabela32[[#This Row],[Valor Frete]]/[1]!Tabela32[[#This Row],[Valor Mercadoria]],"")</f>
        <v>6.5706575522457566E-2</v>
      </c>
      <c r="K52" s="11">
        <v>0.29166666666666669</v>
      </c>
      <c r="L52" s="15">
        <v>0.76041666666666663</v>
      </c>
      <c r="M52" s="15">
        <f>[1]!Tabela32[[#This Row],[Hr Chegada]]-[1]!Tabela32[[#This Row],[Hr Saida]]</f>
        <v>0.46874999999999994</v>
      </c>
      <c r="N52" s="4">
        <v>140814</v>
      </c>
      <c r="O52" s="4">
        <v>140931</v>
      </c>
      <c r="P52" s="4">
        <f>[1]!Tabela32[[#This Row],[Km Chegada]]-[1]!Tabela32[[#This Row],[Km Saída]]</f>
        <v>117</v>
      </c>
      <c r="Q52" s="4">
        <v>99</v>
      </c>
      <c r="R52" s="4">
        <v>7</v>
      </c>
      <c r="S52" s="4">
        <v>7</v>
      </c>
      <c r="T52" s="12">
        <f>[1]!Tabela32[[#This Row],[Entregas]]-[1]!Tabela32[[#This Row],[Realizadas]]</f>
        <v>0</v>
      </c>
      <c r="U52" s="13">
        <f>[1]!Tabela32[[#This Row],[Realizadas]]/[1]!Tabela32[[#This Row],[Entregas]]</f>
        <v>1</v>
      </c>
      <c r="V52" s="14" t="str">
        <f>IF([1]!Tabela32[[#This Row],[% Entrega]]&gt;=96%,"Atendeu a Meta","Não Atendeu a Meta")</f>
        <v>Atendeu a Meta</v>
      </c>
      <c r="W52" s="4" t="s">
        <v>41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YEAR([1]!Tabela32[[#This Row],[Data]])</f>
        <v>2026</v>
      </c>
      <c r="C53" s="16">
        <f>MONTH([1]!Tabela32[[#This Row],[Data]])</f>
        <v>8</v>
      </c>
      <c r="D53" s="4" t="s">
        <v>28</v>
      </c>
      <c r="E53" s="4"/>
      <c r="F53" s="4" t="str">
        <f>IFERROR(VLOOKUP([1]!Tabela32[[#This Row],[Placa]],[1]Planilha2!$A$1:$B$12,2,0),"")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IFERROR([1]!Tabela32[[#This Row],[Valor Frete]]/[1]!Tabela32[[#This Row],[Valor Mercadoria]],"")</f>
        <v>0.15234943420450589</v>
      </c>
      <c r="K53" s="11">
        <v>0.29166666666666669</v>
      </c>
      <c r="L53" s="15">
        <v>0.73611111111111116</v>
      </c>
      <c r="M53" s="15">
        <f>[1]!Tabela32[[#This Row],[Hr Chegada]]-[1]!Tabela32[[#This Row],[Hr Saida]]</f>
        <v>0.44444444444444448</v>
      </c>
      <c r="N53" s="4">
        <v>289773</v>
      </c>
      <c r="O53" s="4">
        <v>289852</v>
      </c>
      <c r="P53" s="4">
        <f>[1]!Tabela32[[#This Row],[Km Chegada]]-[1]!Tabela32[[#This Row],[Km Saída]]</f>
        <v>79</v>
      </c>
      <c r="Q53" s="4">
        <v>104</v>
      </c>
      <c r="R53" s="4">
        <v>9</v>
      </c>
      <c r="S53" s="4">
        <v>9</v>
      </c>
      <c r="T53" s="12">
        <f>[1]!Tabela32[[#This Row],[Entregas]]-[1]!Tabela32[[#This Row],[Realizadas]]</f>
        <v>0</v>
      </c>
      <c r="U53" s="13">
        <f>[1]!Tabela32[[#This Row],[Realizadas]]/[1]!Tabela32[[#This Row],[Entregas]]</f>
        <v>1</v>
      </c>
      <c r="V53" s="14" t="str">
        <f>IF([1]!Tabela32[[#This Row],[% Entrega]]&gt;=96%,"Atendeu a Meta","Não Atendeu a Meta")</f>
        <v>Atendeu a Meta</v>
      </c>
      <c r="W53" s="4" t="s">
        <v>41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YEAR([1]!Tabela32[[#This Row],[Data]])</f>
        <v>2026</v>
      </c>
      <c r="C54" s="16">
        <f>MONTH([1]!Tabela32[[#This Row],[Data]])</f>
        <v>8</v>
      </c>
      <c r="D54" s="4" t="s">
        <v>24</v>
      </c>
      <c r="E54" s="4"/>
      <c r="F54" s="4" t="str">
        <f>IFERROR(VLOOKUP([1]!Tabela32[[#This Row],[Placa]],[1]Planilha2!$A$1:$B$12,2,0),"")</f>
        <v>Wesley</v>
      </c>
      <c r="G54" s="10">
        <v>13472.32</v>
      </c>
      <c r="H54" s="10">
        <v>158606.97</v>
      </c>
      <c r="I54" s="4">
        <v>2718</v>
      </c>
      <c r="J54" s="9">
        <f>IFERROR([1]!Tabela32[[#This Row],[Valor Frete]]/[1]!Tabela32[[#This Row],[Valor Mercadoria]],"")</f>
        <v>8.4941538193435001E-2</v>
      </c>
      <c r="K54" s="11">
        <v>0.29166666666666669</v>
      </c>
      <c r="L54" s="15">
        <v>0.76180555555555551</v>
      </c>
      <c r="M54" s="15">
        <f>[1]!Tabela32[[#This Row],[Hr Chegada]]-[1]!Tabela32[[#This Row],[Hr Saida]]</f>
        <v>0.47013888888888883</v>
      </c>
      <c r="N54" s="4">
        <v>123458</v>
      </c>
      <c r="O54" s="4">
        <v>123539</v>
      </c>
      <c r="P54" s="4">
        <f>[1]!Tabela32[[#This Row],[Km Chegada]]-[1]!Tabela32[[#This Row],[Km Saída]]</f>
        <v>81</v>
      </c>
      <c r="Q54" s="4">
        <v>238</v>
      </c>
      <c r="R54" s="4">
        <v>20</v>
      </c>
      <c r="S54" s="4">
        <v>20</v>
      </c>
      <c r="T54" s="12">
        <f>[1]!Tabela32[[#This Row],[Entregas]]-[1]!Tabela32[[#This Row],[Realizadas]]</f>
        <v>0</v>
      </c>
      <c r="U54" s="13">
        <f>[1]!Tabela32[[#This Row],[Realizadas]]/[1]!Tabela32[[#This Row],[Entregas]]</f>
        <v>1</v>
      </c>
      <c r="V54" s="14" t="str">
        <f>IF([1]!Tabela32[[#This Row],[% Entrega]]&gt;=96%,"Atendeu a Meta","Não Atendeu a Meta")</f>
        <v>Atendeu a Meta</v>
      </c>
      <c r="W54" s="4" t="s">
        <v>45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YEAR([1]!Tabela32[[#This Row],[Data]])</f>
        <v>2026</v>
      </c>
      <c r="C55" s="16">
        <f>MONTH([1]!Tabela32[[#This Row],[Data]])</f>
        <v>8</v>
      </c>
      <c r="D55" s="4" t="s">
        <v>37</v>
      </c>
      <c r="E55" s="4"/>
      <c r="F55" s="4" t="str">
        <f>IFERROR(VLOOKUP([1]!Tabela32[[#This Row],[Placa]],[1]Planilha2!$A$1:$B$12,2,0),"")</f>
        <v>Geber</v>
      </c>
      <c r="G55" s="10">
        <v>23271.119999999999</v>
      </c>
      <c r="H55" s="10">
        <v>849954.78</v>
      </c>
      <c r="I55" s="4">
        <v>4993</v>
      </c>
      <c r="J55" s="9">
        <f>IFERROR([1]!Tabela32[[#This Row],[Valor Frete]]/[1]!Tabela32[[#This Row],[Valor Mercadoria]],"")</f>
        <v>2.7379244811118066E-2</v>
      </c>
      <c r="K55" s="11">
        <v>0.29166666666666669</v>
      </c>
      <c r="L55" s="15">
        <v>0.74305555555555558</v>
      </c>
      <c r="M55" s="15">
        <f>[1]!Tabela32[[#This Row],[Hr Chegada]]-[1]!Tabela32[[#This Row],[Hr Saida]]</f>
        <v>0.4513888888888889</v>
      </c>
      <c r="N55" s="4">
        <v>364007</v>
      </c>
      <c r="O55" s="4">
        <v>364027</v>
      </c>
      <c r="P55" s="4">
        <f>[1]!Tabela32[[#This Row],[Km Chegada]]-[1]!Tabela32[[#This Row],[Km Saída]]</f>
        <v>20</v>
      </c>
      <c r="Q55" s="4">
        <v>604</v>
      </c>
      <c r="R55" s="4">
        <v>39</v>
      </c>
      <c r="S55" s="4">
        <v>39</v>
      </c>
      <c r="T55" s="12">
        <f>[1]!Tabela32[[#This Row],[Entregas]]-[1]!Tabela32[[#This Row],[Realizadas]]</f>
        <v>0</v>
      </c>
      <c r="U55" s="13">
        <f>[1]!Tabela32[[#This Row],[Realizadas]]/[1]!Tabela32[[#This Row],[Entregas]]</f>
        <v>1</v>
      </c>
      <c r="V55" s="14" t="str">
        <f>IF([1]!Tabela32[[#This Row],[% Entrega]]&gt;=96%,"Atendeu a Meta","Não Atendeu a Meta")</f>
        <v>Atendeu a Meta</v>
      </c>
      <c r="W55" s="4" t="s">
        <v>40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YEAR([1]!Tabela32[[#This Row],[Data]])</f>
        <v>2026</v>
      </c>
      <c r="C56" s="16">
        <f>MONTH([1]!Tabela32[[#This Row],[Data]])</f>
        <v>8</v>
      </c>
      <c r="D56" s="4" t="s">
        <v>55</v>
      </c>
      <c r="E56" s="4"/>
      <c r="F56" s="4" t="str">
        <f>IFERROR(VLOOKUP([1]!Tabela32[[#This Row],[Placa]],[1]Planilha2!$A$1:$B$12,2,0),"")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IFERROR([1]!Tabela32[[#This Row],[Valor Frete]]/[1]!Tabela32[[#This Row],[Valor Mercadoria]],"")</f>
        <v>4.8118207921331757E-2</v>
      </c>
      <c r="K56" s="11">
        <v>0.29166666666666669</v>
      </c>
      <c r="L56" s="15">
        <v>0.73611111111111116</v>
      </c>
      <c r="M56" s="15">
        <f>[1]!Tabela32[[#This Row],[Hr Chegada]]-[1]!Tabela32[[#This Row],[Hr Saida]]</f>
        <v>0.44444444444444448</v>
      </c>
      <c r="N56" s="4">
        <v>11841</v>
      </c>
      <c r="O56" s="4">
        <v>11896</v>
      </c>
      <c r="P56" s="4">
        <f>[1]!Tabela32[[#This Row],[Km Chegada]]-[1]!Tabela32[[#This Row],[Km Saída]]</f>
        <v>55</v>
      </c>
      <c r="Q56" s="4">
        <v>205</v>
      </c>
      <c r="R56" s="4">
        <v>28</v>
      </c>
      <c r="S56" s="4">
        <v>28</v>
      </c>
      <c r="T56" s="12">
        <f>[1]!Tabela32[[#This Row],[Entregas]]-[1]!Tabela32[[#This Row],[Realizadas]]</f>
        <v>0</v>
      </c>
      <c r="U56" s="13">
        <f>[1]!Tabela32[[#This Row],[Realizadas]]/[1]!Tabela32[[#This Row],[Entregas]]</f>
        <v>1</v>
      </c>
      <c r="V56" s="14" t="str">
        <f>IF([1]!Tabela32[[#This Row],[% Entrega]]&gt;=96%,"Atendeu a Meta","Não Atendeu a Meta")</f>
        <v>Atendeu a Meta</v>
      </c>
      <c r="W56" s="4" t="s">
        <v>40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YEAR([1]!Tabela32[[#This Row],[Data]])</f>
        <v>2026</v>
      </c>
      <c r="C57" s="16">
        <f>MONTH([1]!Tabela32[[#This Row],[Data]])</f>
        <v>8</v>
      </c>
      <c r="D57" s="4" t="s">
        <v>28</v>
      </c>
      <c r="E57" s="4"/>
      <c r="F57" s="4" t="str">
        <f>IFERROR(VLOOKUP([1]!Tabela32[[#This Row],[Placa]],[1]Planilha2!$A$1:$B$12,2,0),"")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IFERROR([1]!Tabela32[[#This Row],[Valor Frete]]/[1]!Tabela32[[#This Row],[Valor Mercadoria]],"")</f>
        <v>4.9924817077331339E-2</v>
      </c>
      <c r="K57" s="11">
        <v>0.29166666666666669</v>
      </c>
      <c r="L57" s="15">
        <v>0.75</v>
      </c>
      <c r="M57" s="15">
        <f>[1]!Tabela32[[#This Row],[Hr Chegada]]-[1]!Tabela32[[#This Row],[Hr Saida]]</f>
        <v>0.45833333333333331</v>
      </c>
      <c r="N57" s="4">
        <v>289832</v>
      </c>
      <c r="O57" s="4">
        <v>289919</v>
      </c>
      <c r="P57" s="4">
        <f>[1]!Tabela32[[#This Row],[Km Chegada]]-[1]!Tabela32[[#This Row],[Km Saída]]</f>
        <v>87</v>
      </c>
      <c r="Q57" s="4">
        <v>202</v>
      </c>
      <c r="R57" s="4">
        <v>10</v>
      </c>
      <c r="S57" s="4">
        <v>10</v>
      </c>
      <c r="T57" s="12">
        <f>[1]!Tabela32[[#This Row],[Entregas]]-[1]!Tabela32[[#This Row],[Realizadas]]</f>
        <v>0</v>
      </c>
      <c r="U57" s="13">
        <f>[1]!Tabela32[[#This Row],[Realizadas]]/[1]!Tabela32[[#This Row],[Entregas]]</f>
        <v>1</v>
      </c>
      <c r="V57" s="14" t="str">
        <f>IF([1]!Tabela32[[#This Row],[% Entrega]]&gt;=96%,"Atendeu a Meta","Não Atendeu a Meta")</f>
        <v>Atendeu a Meta</v>
      </c>
      <c r="W57" s="4" t="s">
        <v>40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YEAR([1]!Tabela32[[#This Row],[Data]])</f>
        <v>2026</v>
      </c>
      <c r="C58" s="16">
        <f>MONTH([1]!Tabela32[[#This Row],[Data]])</f>
        <v>8</v>
      </c>
      <c r="D58" s="4" t="s">
        <v>22</v>
      </c>
      <c r="E58" s="4"/>
      <c r="F58" s="4" t="str">
        <f>IFERROR(VLOOKUP([1]!Tabela32[[#This Row],[Placa]],[1]Planilha2!$A$1:$B$12,2,0),"")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IFERROR([1]!Tabela32[[#This Row],[Valor Frete]]/[1]!Tabela32[[#This Row],[Valor Mercadoria]],"")</f>
        <v>5.7072686579120457E-2</v>
      </c>
      <c r="K58" s="11">
        <v>0.29166666666666669</v>
      </c>
      <c r="L58" s="15">
        <v>0.75694444444444442</v>
      </c>
      <c r="M58" s="15">
        <f>[1]!Tabela32[[#This Row],[Hr Chegada]]-[1]!Tabela32[[#This Row],[Hr Saida]]</f>
        <v>0.46527777777777773</v>
      </c>
      <c r="N58" s="4">
        <v>302761</v>
      </c>
      <c r="O58" s="4">
        <v>302814</v>
      </c>
      <c r="P58" s="4">
        <f>[1]!Tabela32[[#This Row],[Km Chegada]]-[1]!Tabela32[[#This Row],[Km Saída]]</f>
        <v>53</v>
      </c>
      <c r="Q58" s="4">
        <v>408</v>
      </c>
      <c r="R58" s="4">
        <v>22</v>
      </c>
      <c r="S58" s="4">
        <v>22</v>
      </c>
      <c r="T58" s="12">
        <f>[1]!Tabela32[[#This Row],[Entregas]]-[1]!Tabela32[[#This Row],[Realizadas]]</f>
        <v>0</v>
      </c>
      <c r="U58" s="13">
        <f>[1]!Tabela32[[#This Row],[Realizadas]]/[1]!Tabela32[[#This Row],[Entregas]]</f>
        <v>1</v>
      </c>
      <c r="V58" s="14" t="str">
        <f>IF([1]!Tabela32[[#This Row],[% Entrega]]&gt;=96%,"Atendeu a Meta","Não Atendeu a Meta")</f>
        <v>Atendeu a Meta</v>
      </c>
      <c r="W58" s="4" t="s">
        <v>40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YEAR([1]!Tabela32[[#This Row],[Data]])</f>
        <v>2026</v>
      </c>
      <c r="C59" s="16">
        <f>MONTH([1]!Tabela32[[#This Row],[Data]])</f>
        <v>8</v>
      </c>
      <c r="D59" s="4" t="s">
        <v>36</v>
      </c>
      <c r="E59" s="4"/>
      <c r="F59" s="4" t="str">
        <f>IFERROR(VLOOKUP([1]!Tabela32[[#This Row],[Placa]],[1]Planilha2!$A$1:$B$12,2,0),"")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IFERROR([1]!Tabela32[[#This Row],[Valor Frete]]/[1]!Tabela32[[#This Row],[Valor Mercadoria]],"")</f>
        <v>0.11370733583018199</v>
      </c>
      <c r="K59" s="11">
        <v>0.29166666666666669</v>
      </c>
      <c r="L59" s="15">
        <v>0.75</v>
      </c>
      <c r="M59" s="15">
        <f>[1]!Tabela32[[#This Row],[Hr Chegada]]-[1]!Tabela32[[#This Row],[Hr Saida]]</f>
        <v>0.45833333333333331</v>
      </c>
      <c r="N59" s="4">
        <v>140931</v>
      </c>
      <c r="O59" s="4">
        <v>141128</v>
      </c>
      <c r="P59" s="4">
        <f>[1]!Tabela32[[#This Row],[Km Chegada]]-[1]!Tabela32[[#This Row],[Km Saída]]</f>
        <v>197</v>
      </c>
      <c r="Q59" s="4">
        <v>176</v>
      </c>
      <c r="R59" s="4">
        <v>17</v>
      </c>
      <c r="S59" s="4">
        <v>17</v>
      </c>
      <c r="T59" s="12">
        <f>[1]!Tabela32[[#This Row],[Entregas]]-[1]!Tabela32[[#This Row],[Realizadas]]</f>
        <v>0</v>
      </c>
      <c r="U59" s="13">
        <f>[1]!Tabela32[[#This Row],[Realizadas]]/[1]!Tabela32[[#This Row],[Entregas]]</f>
        <v>1</v>
      </c>
      <c r="V59" s="14" t="str">
        <f>IF([1]!Tabela32[[#This Row],[% Entrega]]&gt;=96%,"Atendeu a Meta","Não Atendeu a Meta")</f>
        <v>Atendeu a Meta</v>
      </c>
      <c r="W59" s="4" t="s">
        <v>41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YEAR([1]!Tabela32[[#This Row],[Data]])</f>
        <v>2026</v>
      </c>
      <c r="C60" s="16">
        <f>MONTH([1]!Tabela32[[#This Row],[Data]])</f>
        <v>8</v>
      </c>
      <c r="D60" s="4" t="s">
        <v>34</v>
      </c>
      <c r="E60" s="4"/>
      <c r="F60" s="4" t="str">
        <f>IFERROR(VLOOKUP([1]!Tabela32[[#This Row],[Placa]],[1]Planilha2!$A$1:$B$12,2,0),"")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IFERROR([1]!Tabela32[[#This Row],[Valor Frete]]/[1]!Tabela32[[#This Row],[Valor Mercadoria]],"")</f>
        <v>0.21166564277892039</v>
      </c>
      <c r="K60" s="11">
        <v>0.29166666666666669</v>
      </c>
      <c r="L60" s="15">
        <v>0.66666666666666663</v>
      </c>
      <c r="M60" s="15">
        <f>[1]!Tabela32[[#This Row],[Hr Chegada]]-[1]!Tabela32[[#This Row],[Hr Saida]]</f>
        <v>0.37499999999999994</v>
      </c>
      <c r="N60" s="4">
        <v>15394</v>
      </c>
      <c r="O60" s="4"/>
      <c r="P60" s="4">
        <f>[1]!Tabela32[[#This Row],[Km Chegada]]-[1]!Tabela32[[#This Row],[Km Saída]]</f>
        <v>-15394</v>
      </c>
      <c r="Q60" s="4">
        <v>31</v>
      </c>
      <c r="R60" s="4">
        <v>1</v>
      </c>
      <c r="S60" s="4">
        <v>1</v>
      </c>
      <c r="T60" s="12">
        <f>[1]!Tabela32[[#This Row],[Entregas]]-[1]!Tabela32[[#This Row],[Realizadas]]</f>
        <v>0</v>
      </c>
      <c r="U60" s="13">
        <f>[1]!Tabela32[[#This Row],[Realizadas]]/[1]!Tabela32[[#This Row],[Entregas]]</f>
        <v>1</v>
      </c>
      <c r="V60" s="14" t="str">
        <f>IF([1]!Tabela32[[#This Row],[% Entrega]]&gt;=96%,"Atendeu a Meta","Não Atendeu a Meta")</f>
        <v>Atendeu a Meta</v>
      </c>
      <c r="W60" s="4" t="s">
        <v>41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YEAR([1]!Tabela32[[#This Row],[Data]])</f>
        <v>2026</v>
      </c>
      <c r="C61" s="16">
        <f>MONTH([1]!Tabela32[[#This Row],[Data]])</f>
        <v>8</v>
      </c>
      <c r="D61" s="4" t="s">
        <v>32</v>
      </c>
      <c r="E61" s="4"/>
      <c r="F61" s="4" t="str">
        <f>IFERROR(VLOOKUP([1]!Tabela32[[#This Row],[Placa]],[1]Planilha2!$A$1:$B$12,2,0),"")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IFERROR([1]!Tabela32[[#This Row],[Valor Frete]]/[1]!Tabela32[[#This Row],[Valor Mercadoria]],"")</f>
        <v>0.56520090909583232</v>
      </c>
      <c r="K61" s="11">
        <v>0.29166666666666669</v>
      </c>
      <c r="L61" s="15">
        <v>0.74652777777777779</v>
      </c>
      <c r="M61" s="15">
        <f>[1]!Tabela32[[#This Row],[Hr Chegada]]-[1]!Tabela32[[#This Row],[Hr Saida]]</f>
        <v>0.4548611111111111</v>
      </c>
      <c r="N61" s="4">
        <v>279059</v>
      </c>
      <c r="O61" s="4">
        <v>279145</v>
      </c>
      <c r="P61" s="4">
        <f>[1]!Tabela32[[#This Row],[Km Chegada]]-[1]!Tabela32[[#This Row],[Km Saída]]</f>
        <v>86</v>
      </c>
      <c r="Q61" s="4">
        <v>190</v>
      </c>
      <c r="R61" s="4">
        <v>30</v>
      </c>
      <c r="S61" s="4">
        <v>30</v>
      </c>
      <c r="T61" s="12">
        <f>[1]!Tabela32[[#This Row],[Entregas]]-[1]!Tabela32[[#This Row],[Realizadas]]</f>
        <v>0</v>
      </c>
      <c r="U61" s="13">
        <f>[1]!Tabela32[[#This Row],[Realizadas]]/[1]!Tabela32[[#This Row],[Entregas]]</f>
        <v>1</v>
      </c>
      <c r="V61" s="14" t="str">
        <f>IF([1]!Tabela32[[#This Row],[% Entrega]]&gt;=96%,"Atendeu a Meta","Não Atendeu a Meta")</f>
        <v>Atendeu a Meta</v>
      </c>
      <c r="W61" s="4" t="s">
        <v>40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YEAR([1]!Tabela32[[#This Row],[Data]])</f>
        <v>2026</v>
      </c>
      <c r="C62" s="16">
        <f>MONTH([1]!Tabela32[[#This Row],[Data]])</f>
        <v>8</v>
      </c>
      <c r="D62" s="4" t="s">
        <v>24</v>
      </c>
      <c r="E62" s="4"/>
      <c r="F62" s="4" t="str">
        <f>IFERROR(VLOOKUP([1]!Tabela32[[#This Row],[Placa]],[1]Planilha2!$A$1:$B$12,2,0),"")</f>
        <v>Wesley</v>
      </c>
      <c r="G62" s="10">
        <v>13239.31</v>
      </c>
      <c r="H62" s="10">
        <v>288957.73</v>
      </c>
      <c r="I62" s="4">
        <v>2473</v>
      </c>
      <c r="J62" s="9">
        <f>IFERROR([1]!Tabela32[[#This Row],[Valor Frete]]/[1]!Tabela32[[#This Row],[Valor Mercadoria]],"")</f>
        <v>4.581746264410369E-2</v>
      </c>
      <c r="K62" s="11">
        <v>0.29166666666666669</v>
      </c>
      <c r="L62" s="15">
        <v>0.75069444444444444</v>
      </c>
      <c r="M62" s="15">
        <f>[1]!Tabela32[[#This Row],[Hr Chegada]]-[1]!Tabela32[[#This Row],[Hr Saida]]</f>
        <v>0.45902777777777776</v>
      </c>
      <c r="N62" s="4">
        <v>125534</v>
      </c>
      <c r="O62" s="4"/>
      <c r="P62" s="4">
        <f>[1]!Tabela32[[#This Row],[Km Chegada]]-[1]!Tabela32[[#This Row],[Km Saída]]</f>
        <v>42</v>
      </c>
      <c r="Q62" s="4">
        <v>364</v>
      </c>
      <c r="R62" s="4">
        <v>41</v>
      </c>
      <c r="S62" s="4">
        <v>38</v>
      </c>
      <c r="T62" s="12">
        <f>[1]!Tabela32[[#This Row],[Entregas]]-[1]!Tabela32[[#This Row],[Realizadas]]</f>
        <v>3</v>
      </c>
      <c r="U62" s="13">
        <f>[1]!Tabela32[[#This Row],[Realizadas]]/[1]!Tabela32[[#This Row],[Entregas]]</f>
        <v>0.92682926829268297</v>
      </c>
      <c r="V62" s="14" t="str">
        <f>IF([1]!Tabela32[[#This Row],[% Entrega]]&gt;=96%,"Atendeu a Meta","Não Atendeu a Meta")</f>
        <v>Não Atendeu a Meta</v>
      </c>
      <c r="W62" s="4" t="s">
        <v>40</v>
      </c>
      <c r="X62" s="4">
        <v>3</v>
      </c>
      <c r="Y62" s="5">
        <v>13</v>
      </c>
    </row>
    <row r="63" spans="1:25" x14ac:dyDescent="0.25">
      <c r="A63" s="8">
        <v>46245</v>
      </c>
      <c r="B63" s="16">
        <f>YEAR([1]!Tabela32[[#This Row],[Data]])</f>
        <v>2026</v>
      </c>
      <c r="C63" s="16">
        <f>MONTH([1]!Tabela32[[#This Row],[Data]])</f>
        <v>8</v>
      </c>
      <c r="D63" s="4" t="s">
        <v>26</v>
      </c>
      <c r="E63" s="4"/>
      <c r="F63" s="4" t="str">
        <f>IFERROR(VLOOKUP([1]!Tabela32[[#This Row],[Placa]],[1]Planilha2!$A$1:$B$12,2,0),"")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IFERROR([1]!Tabela32[[#This Row],[Valor Frete]]/[1]!Tabela32[[#This Row],[Valor Mercadoria]],"")</f>
        <v>7.0384568040795001E-2</v>
      </c>
      <c r="K63" s="11">
        <v>0.25</v>
      </c>
      <c r="L63" s="15">
        <v>0.74375000000000002</v>
      </c>
      <c r="M63" s="15">
        <f>[1]!Tabela32[[#This Row],[Hr Chegada]]-[1]!Tabela32[[#This Row],[Hr Saida]]</f>
        <v>0.49375000000000002</v>
      </c>
      <c r="N63" s="4">
        <v>117491</v>
      </c>
      <c r="O63" s="4">
        <v>117629</v>
      </c>
      <c r="P63" s="4">
        <f>[1]!Tabela32[[#This Row],[Km Chegada]]-[1]!Tabela32[[#This Row],[Km Saída]]</f>
        <v>138</v>
      </c>
      <c r="Q63" s="4">
        <v>202</v>
      </c>
      <c r="R63" s="4">
        <v>37</v>
      </c>
      <c r="S63" s="4">
        <v>37</v>
      </c>
      <c r="T63" s="18">
        <v>0</v>
      </c>
      <c r="U63" s="13">
        <v>1</v>
      </c>
      <c r="V63" s="14" t="str">
        <f>IF([1]!Tabela32[[#This Row],[% Entrega]]&gt;=96%,"Atendeu a Meta","Não Atendeu a Meta")</f>
        <v>Atendeu a Meta</v>
      </c>
      <c r="W63" s="4" t="s">
        <v>42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YEAR([1]!Tabela32[[#This Row],[Data]])</f>
        <v>2026</v>
      </c>
      <c r="C64" s="16">
        <f>MONTH([1]!Tabela32[[#This Row],[Data]])</f>
        <v>8</v>
      </c>
      <c r="D64" s="4" t="s">
        <v>29</v>
      </c>
      <c r="E64" s="4"/>
      <c r="F64" s="4" t="str">
        <f>IFERROR(VLOOKUP([1]!Tabela32[[#This Row],[Placa]],[1]Planilha2!$A$1:$B$12,2,0),"")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IFERROR([1]!Tabela32[[#This Row],[Valor Frete]]/[1]!Tabela32[[#This Row],[Valor Mercadoria]],"")</f>
        <v>1.6830067802879753E-2</v>
      </c>
      <c r="K64" s="11">
        <v>0.25</v>
      </c>
      <c r="L64" s="15">
        <v>0.75</v>
      </c>
      <c r="M64" s="15">
        <f>[1]!Tabela32[[#This Row],[Hr Chegada]]-[1]!Tabela32[[#This Row],[Hr Saida]]</f>
        <v>0.5</v>
      </c>
      <c r="N64" s="4">
        <v>103117</v>
      </c>
      <c r="O64" s="4">
        <v>103253</v>
      </c>
      <c r="P64" s="4">
        <f>[1]!Tabela32[[#This Row],[Km Chegada]]-[1]!Tabela32[[#This Row],[Km Saída]]</f>
        <v>136</v>
      </c>
      <c r="Q64" s="4">
        <v>115</v>
      </c>
      <c r="R64" s="4">
        <v>18</v>
      </c>
      <c r="S64" s="4">
        <v>18</v>
      </c>
      <c r="T64" s="12">
        <f>[1]!Tabela32[[#This Row],[Entregas]]-[1]!Tabela32[[#This Row],[Realizadas]]</f>
        <v>0</v>
      </c>
      <c r="U64" s="13">
        <f>[1]!Tabela32[[#This Row],[Realizadas]]/[1]!Tabela32[[#This Row],[Entregas]]</f>
        <v>1</v>
      </c>
      <c r="V64" s="14" t="str">
        <f>IF([1]!Tabela32[[#This Row],[% Entrega]]&gt;=96%,"Atendeu a Meta","Não Atendeu a Meta")</f>
        <v>Atendeu a Meta</v>
      </c>
      <c r="W64" s="4" t="s">
        <v>42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YEAR([1]!Tabela32[[#This Row],[Data]])</f>
        <v>2026</v>
      </c>
      <c r="C65" s="16">
        <f>MONTH([1]!Tabela32[[#This Row],[Data]])</f>
        <v>8</v>
      </c>
      <c r="D65" s="4" t="s">
        <v>28</v>
      </c>
      <c r="E65" s="4"/>
      <c r="F65" s="4" t="str">
        <f>IFERROR(VLOOKUP([1]!Tabela32[[#This Row],[Placa]],[1]Planilha2!$A$1:$B$12,2,0),"")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IFERROR([1]!Tabela32[[#This Row],[Valor Frete]]/[1]!Tabela32[[#This Row],[Valor Mercadoria]],"")</f>
        <v>4.7499168012456398E-2</v>
      </c>
      <c r="K65" s="11">
        <v>0.25</v>
      </c>
      <c r="L65" s="15">
        <v>0.75</v>
      </c>
      <c r="M65" s="15">
        <f>[1]!Tabela32[[#This Row],[Hr Chegada]]-[1]!Tabela32[[#This Row],[Hr Saida]]</f>
        <v>0.5</v>
      </c>
      <c r="N65" s="4">
        <v>289919</v>
      </c>
      <c r="O65" s="4">
        <v>290052</v>
      </c>
      <c r="P65" s="4">
        <f>[1]!Tabela32[[#This Row],[Km Chegada]]-[1]!Tabela32[[#This Row],[Km Saída]]</f>
        <v>133</v>
      </c>
      <c r="Q65" s="4">
        <v>462</v>
      </c>
      <c r="R65" s="4">
        <v>14</v>
      </c>
      <c r="S65" s="4">
        <v>14</v>
      </c>
      <c r="T65" s="12">
        <f>[1]!Tabela32[[#This Row],[Entregas]]-[1]!Tabela32[[#This Row],[Realizadas]]</f>
        <v>0</v>
      </c>
      <c r="U65" s="13">
        <f>[1]!Tabela32[[#This Row],[Realizadas]]/[1]!Tabela32[[#This Row],[Entregas]]</f>
        <v>1</v>
      </c>
      <c r="V65" s="14" t="str">
        <f>IF([1]!Tabela32[[#This Row],[% Entrega]]&gt;=96%,"Atendeu a Meta","Não Atendeu a Meta")</f>
        <v>Atendeu a Meta</v>
      </c>
      <c r="W65" s="4" t="s">
        <v>42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YEAR([1]!Tabela32[[#This Row],[Data]])</f>
        <v>2026</v>
      </c>
      <c r="C66" s="16">
        <f>MONTH([1]!Tabela32[[#This Row],[Data]])</f>
        <v>8</v>
      </c>
      <c r="D66" s="4" t="s">
        <v>22</v>
      </c>
      <c r="E66" s="4"/>
      <c r="F66" s="4" t="str">
        <f>IFERROR(VLOOKUP([1]!Tabela32[[#This Row],[Placa]],[1]Planilha2!$A$1:$B$12,2,0),"")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IFERROR([1]!Tabela32[[#This Row],[Valor Frete]]/[1]!Tabela32[[#This Row],[Valor Mercadoria]],"")</f>
        <v>5.5224679571740806E-2</v>
      </c>
      <c r="K66" s="11">
        <v>0.29166666666666669</v>
      </c>
      <c r="L66" s="15">
        <v>0.75</v>
      </c>
      <c r="M66" s="15">
        <f>[1]!Tabela32[[#This Row],[Hr Chegada]]-[1]!Tabela32[[#This Row],[Hr Saida]]</f>
        <v>0.45833333333333331</v>
      </c>
      <c r="N66" s="4">
        <v>302814</v>
      </c>
      <c r="O66" s="4">
        <v>302867</v>
      </c>
      <c r="P66" s="4">
        <f>[1]!Tabela32[[#This Row],[Km Chegada]]-[1]!Tabela32[[#This Row],[Km Saída]]</f>
        <v>53</v>
      </c>
      <c r="Q66" s="4">
        <v>361</v>
      </c>
      <c r="R66" s="4">
        <v>55</v>
      </c>
      <c r="S66" s="4">
        <v>55</v>
      </c>
      <c r="T66" s="12">
        <f>[1]!Tabela32[[#This Row],[Entregas]]-[1]!Tabela32[[#This Row],[Realizadas]]</f>
        <v>0</v>
      </c>
      <c r="U66" s="13">
        <f>[1]!Tabela32[[#This Row],[Realizadas]]/[1]!Tabela32[[#This Row],[Entregas]]</f>
        <v>1</v>
      </c>
      <c r="V66" s="14" t="str">
        <f>IF([1]!Tabela32[[#This Row],[% Entrega]]&gt;=96%,"Atendeu a Meta","Não Atendeu a Meta")</f>
        <v>Atendeu a Meta</v>
      </c>
      <c r="W66" s="4" t="s">
        <v>40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YEAR([1]!Tabela32[[#This Row],[Data]])</f>
        <v>2026</v>
      </c>
      <c r="C67" s="16">
        <f>MONTH([1]!Tabela32[[#This Row],[Data]])</f>
        <v>8</v>
      </c>
      <c r="D67" s="4" t="s">
        <v>29</v>
      </c>
      <c r="E67" s="4"/>
      <c r="F67" s="4" t="str">
        <f>IFERROR(VLOOKUP([1]!Tabela32[[#This Row],[Placa]],[1]Planilha2!$A$1:$B$12,2,0),"")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IFERROR([1]!Tabela32[[#This Row],[Valor Frete]]/[1]!Tabela32[[#This Row],[Valor Mercadoria]],"")</f>
        <v>4.7366205707933949E-2</v>
      </c>
      <c r="K67" s="11">
        <v>0.25</v>
      </c>
      <c r="L67" s="15">
        <v>0.75</v>
      </c>
      <c r="M67" s="15">
        <f>[1]!Tabela32[[#This Row],[Hr Chegada]]-[1]!Tabela32[[#This Row],[Hr Saida]]</f>
        <v>0.5</v>
      </c>
      <c r="N67" s="4">
        <v>103253</v>
      </c>
      <c r="O67" s="4">
        <v>103402</v>
      </c>
      <c r="P67" s="4">
        <f>[1]!Tabela32[[#This Row],[Km Chegada]]-[1]!Tabela32[[#This Row],[Km Saída]]</f>
        <v>149</v>
      </c>
      <c r="Q67" s="4">
        <v>149</v>
      </c>
      <c r="R67" s="4">
        <v>13</v>
      </c>
      <c r="S67" s="4">
        <v>13</v>
      </c>
      <c r="T67" s="12">
        <f>[1]!Tabela32[[#This Row],[Entregas]]-[1]!Tabela32[[#This Row],[Realizadas]]</f>
        <v>0</v>
      </c>
      <c r="U67" s="13">
        <f>[1]!Tabela32[[#This Row],[Realizadas]]/[1]!Tabela32[[#This Row],[Entregas]]</f>
        <v>1</v>
      </c>
      <c r="V67" s="14" t="str">
        <f>IF([1]!Tabela32[[#This Row],[% Entrega]]&gt;=96%,"Atendeu a Meta","Não Atendeu a Meta")</f>
        <v>Atendeu a Meta</v>
      </c>
      <c r="W67" s="4" t="s">
        <v>42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YEAR([1]!Tabela32[[#This Row],[Data]])</f>
        <v>2026</v>
      </c>
      <c r="C68" s="16">
        <f>MONTH([1]!Tabela32[[#This Row],[Data]])</f>
        <v>8</v>
      </c>
      <c r="D68" s="4" t="s">
        <v>24</v>
      </c>
      <c r="E68" s="4"/>
      <c r="F68" s="4" t="str">
        <f>IFERROR(VLOOKUP([1]!Tabela32[[#This Row],[Placa]],[1]Planilha2!$A$1:$B$12,2,0),"")</f>
        <v>Wesley</v>
      </c>
      <c r="G68" s="10">
        <v>4236.68</v>
      </c>
      <c r="H68" s="10">
        <v>90140.12</v>
      </c>
      <c r="I68" s="4">
        <v>542</v>
      </c>
      <c r="J68" s="9">
        <f>IFERROR([1]!Tabela32[[#This Row],[Valor Frete]]/[1]!Tabela32[[#This Row],[Valor Mercadoria]],"")</f>
        <v>4.7001046814670322E-2</v>
      </c>
      <c r="K68" s="11">
        <v>0.29166666666666669</v>
      </c>
      <c r="L68" s="15">
        <v>0.67361111111111116</v>
      </c>
      <c r="M68" s="15">
        <f>[1]!Tabela32[[#This Row],[Hr Chegada]]-[1]!Tabela32[[#This Row],[Hr Saida]]</f>
        <v>0.38194444444444448</v>
      </c>
      <c r="N68" s="4">
        <v>123596</v>
      </c>
      <c r="O68" s="4">
        <v>123626</v>
      </c>
      <c r="P68" s="4">
        <f>[1]!Tabela32[[#This Row],[Km Chegada]]-[1]!Tabela32[[#This Row],[Km Saída]]</f>
        <v>30</v>
      </c>
      <c r="Q68" s="4">
        <v>69</v>
      </c>
      <c r="R68" s="4">
        <v>5</v>
      </c>
      <c r="S68" s="4">
        <v>5</v>
      </c>
      <c r="T68" s="12">
        <f>[1]!Tabela32[[#This Row],[Entregas]]-[1]!Tabela32[[#This Row],[Realizadas]]</f>
        <v>0</v>
      </c>
      <c r="U68" s="13">
        <f>[1]!Tabela32[[#This Row],[Realizadas]]/[1]!Tabela32[[#This Row],[Entregas]]</f>
        <v>1</v>
      </c>
      <c r="V68" s="14" t="str">
        <f>IF([1]!Tabela32[[#This Row],[% Entrega]]&gt;=96%,"Atendeu a Meta","Não Atendeu a Meta")</f>
        <v>Atendeu a Meta</v>
      </c>
      <c r="W68" s="4" t="s">
        <v>40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YEAR([1]!Tabela32[[#This Row],[Data]])</f>
        <v>2026</v>
      </c>
      <c r="C69" s="16">
        <f>MONTH([1]!Tabela32[[#This Row],[Data]])</f>
        <v>8</v>
      </c>
      <c r="D69" s="4" t="s">
        <v>36</v>
      </c>
      <c r="E69" s="4"/>
      <c r="F69" s="4" t="str">
        <f>IFERROR(VLOOKUP([1]!Tabela32[[#This Row],[Placa]],[1]Planilha2!$A$1:$B$12,2,0),"")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IFERROR([1]!Tabela32[[#This Row],[Valor Frete]]/[1]!Tabela32[[#This Row],[Valor Mercadoria]],"")</f>
        <v>4.7980011911240149E-2</v>
      </c>
      <c r="K69" s="11">
        <v>0.29166666666666669</v>
      </c>
      <c r="L69" s="15">
        <v>0.70138888888888884</v>
      </c>
      <c r="M69" s="15">
        <f>[1]!Tabela32[[#This Row],[Hr Chegada]]-[1]!Tabela32[[#This Row],[Hr Saida]]</f>
        <v>0.40972222222222215</v>
      </c>
      <c r="N69" s="4">
        <v>141128</v>
      </c>
      <c r="O69" s="4">
        <v>141186</v>
      </c>
      <c r="P69" s="4">
        <f>[1]!Tabela32[[#This Row],[Km Chegada]]-[1]!Tabela32[[#This Row],[Km Saída]]</f>
        <v>58</v>
      </c>
      <c r="Q69" s="4">
        <v>148</v>
      </c>
      <c r="R69" s="4">
        <v>29</v>
      </c>
      <c r="S69" s="4">
        <v>29</v>
      </c>
      <c r="T69" s="12">
        <f>[1]!Tabela32[[#This Row],[Entregas]]-[1]!Tabela32[[#This Row],[Realizadas]]</f>
        <v>0</v>
      </c>
      <c r="U69" s="13">
        <f>[1]!Tabela32[[#This Row],[Realizadas]]/[1]!Tabela32[[#This Row],[Entregas]]</f>
        <v>1</v>
      </c>
      <c r="V69" s="14" t="str">
        <f>IF([1]!Tabela32[[#This Row],[% Entrega]]&gt;=96%,"Atendeu a Meta","Não Atendeu a Meta")</f>
        <v>Atendeu a Meta</v>
      </c>
      <c r="W69" s="4" t="s">
        <v>45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YEAR([1]!Tabela32[[#This Row],[Data]])</f>
        <v>2026</v>
      </c>
      <c r="C70" s="16">
        <f>MONTH([1]!Tabela32[[#This Row],[Data]])</f>
        <v>8</v>
      </c>
      <c r="D70" s="4" t="s">
        <v>34</v>
      </c>
      <c r="E70" s="4"/>
      <c r="F70" s="4" t="str">
        <f>IFERROR(VLOOKUP([1]!Tabela32[[#This Row],[Placa]],[1]Planilha2!$A$1:$B$12,2,0),"")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IFERROR([1]!Tabela32[[#This Row],[Valor Frete]]/[1]!Tabela32[[#This Row],[Valor Mercadoria]],"")</f>
        <v>0.12464334829467044</v>
      </c>
      <c r="K70" s="11">
        <v>0.29166666666666669</v>
      </c>
      <c r="L70" s="15">
        <v>0.70833333333333337</v>
      </c>
      <c r="M70" s="15">
        <f>[1]!Tabela32[[#This Row],[Hr Chegada]]-[1]!Tabela32[[#This Row],[Hr Saida]]</f>
        <v>0.41666666666666669</v>
      </c>
      <c r="N70" s="4">
        <v>153753</v>
      </c>
      <c r="O70" s="4">
        <v>153814</v>
      </c>
      <c r="P70" s="4">
        <f>[1]!Tabela32[[#This Row],[Km Chegada]]-[1]!Tabela32[[#This Row],[Km Saída]]</f>
        <v>61</v>
      </c>
      <c r="Q70" s="4">
        <v>105</v>
      </c>
      <c r="R70" s="4">
        <v>7</v>
      </c>
      <c r="S70" s="4">
        <v>7</v>
      </c>
      <c r="T70" s="12">
        <f>[1]!Tabela32[[#This Row],[Entregas]]-[1]!Tabela32[[#This Row],[Realizadas]]</f>
        <v>0</v>
      </c>
      <c r="U70" s="13">
        <f>[1]!Tabela32[[#This Row],[Realizadas]]/[1]!Tabela32[[#This Row],[Entregas]]</f>
        <v>1</v>
      </c>
      <c r="V70" s="14" t="str">
        <f>IF([1]!Tabela32[[#This Row],[% Entrega]]&gt;=96%,"Atendeu a Meta","Não Atendeu a Meta")</f>
        <v>Atendeu a Meta</v>
      </c>
      <c r="W70" s="4" t="s">
        <v>45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YEAR([1]!Tabela32[[#This Row],[Data]])</f>
        <v>2026</v>
      </c>
      <c r="C71" s="16">
        <f>MONTH([1]!Tabela32[[#This Row],[Data]])</f>
        <v>8</v>
      </c>
      <c r="D71" s="4" t="s">
        <v>26</v>
      </c>
      <c r="E71" s="4"/>
      <c r="F71" s="4" t="str">
        <f>IFERROR(VLOOKUP([1]!Tabela32[[#This Row],[Placa]],[1]Planilha2!$A$1:$B$12,2,0),"")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IFERROR([1]!Tabela32[[#This Row],[Valor Frete]]/[1]!Tabela32[[#This Row],[Valor Mercadoria]],"")</f>
        <v>4.0142230407586792E-2</v>
      </c>
      <c r="K71" s="11">
        <v>0.25</v>
      </c>
      <c r="L71" s="15">
        <v>0.70833333333333337</v>
      </c>
      <c r="M71" s="15">
        <f>[1]!Tabela32[[#This Row],[Hr Chegada]]-[1]!Tabela32[[#This Row],[Hr Saida]]</f>
        <v>0.45833333333333337</v>
      </c>
      <c r="N71" s="4">
        <v>117629</v>
      </c>
      <c r="O71" s="4">
        <v>117763</v>
      </c>
      <c r="P71" s="4">
        <f>[1]!Tabela32[[#This Row],[Km Chegada]]-[1]!Tabela32[[#This Row],[Km Saída]]</f>
        <v>134</v>
      </c>
      <c r="Q71" s="4">
        <v>278</v>
      </c>
      <c r="R71" s="4">
        <v>14</v>
      </c>
      <c r="S71" s="4">
        <v>14</v>
      </c>
      <c r="T71" s="12">
        <f>[1]!Tabela32[[#This Row],[Entregas]]-[1]!Tabela32[[#This Row],[Realizadas]]</f>
        <v>0</v>
      </c>
      <c r="U71" s="13">
        <f>[1]!Tabela32[[#This Row],[Realizadas]]/[1]!Tabela32[[#This Row],[Entregas]]</f>
        <v>1</v>
      </c>
      <c r="V71" s="14" t="str">
        <f>IF([1]!Tabela32[[#This Row],[% Entrega]]&gt;=96%,"Atendeu a Meta","Não Atendeu a Meta")</f>
        <v>Atendeu a Meta</v>
      </c>
      <c r="W71" s="4" t="s">
        <v>42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YEAR([1]!Tabela32[[#This Row],[Data]])</f>
        <v>2026</v>
      </c>
      <c r="C72" s="16">
        <f>MONTH([1]!Tabela32[[#This Row],[Data]])</f>
        <v>8</v>
      </c>
      <c r="D72" s="4" t="s">
        <v>55</v>
      </c>
      <c r="E72" s="4"/>
      <c r="F72" s="4" t="str">
        <f>IFERROR(VLOOKUP([1]!Tabela32[[#This Row],[Placa]],[1]Planilha2!$A$1:$B$12,2,0),"")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IFERROR([1]!Tabela32[[#This Row],[Valor Frete]]/[1]!Tabela32[[#This Row],[Valor Mercadoria]],"")</f>
        <v>4.110109089678568E-2</v>
      </c>
      <c r="K72" s="11">
        <v>0.29166666666666669</v>
      </c>
      <c r="L72" s="15">
        <v>0.70833333333333337</v>
      </c>
      <c r="M72" s="15">
        <f>[1]!Tabela32[[#This Row],[Hr Chegada]]-[1]!Tabela32[[#This Row],[Hr Saida]]</f>
        <v>0.41666666666666669</v>
      </c>
      <c r="N72" s="4">
        <v>11896</v>
      </c>
      <c r="O72" s="4">
        <v>11964</v>
      </c>
      <c r="P72" s="4">
        <f>[1]!Tabela32[[#This Row],[Km Chegada]]-[1]!Tabela32[[#This Row],[Km Saída]]</f>
        <v>68</v>
      </c>
      <c r="Q72" s="4">
        <v>149</v>
      </c>
      <c r="R72" s="4">
        <v>11</v>
      </c>
      <c r="S72" s="4">
        <v>11</v>
      </c>
      <c r="T72" s="12">
        <f>[1]!Tabela32[[#This Row],[Entregas]]-[1]!Tabela32[[#This Row],[Realizadas]]</f>
        <v>0</v>
      </c>
      <c r="U72" s="13">
        <f>[1]!Tabela32[[#This Row],[Realizadas]]/[1]!Tabela32[[#This Row],[Entregas]]</f>
        <v>1</v>
      </c>
      <c r="V72" s="14" t="str">
        <f>IF([1]!Tabela32[[#This Row],[% Entrega]]&gt;=96%,"Atendeu a Meta","Não Atendeu a Meta")</f>
        <v>Atendeu a Meta</v>
      </c>
      <c r="W72" s="4" t="s">
        <v>40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YEAR([1]!Tabela32[[#This Row],[Data]])</f>
        <v>2026</v>
      </c>
      <c r="C73" s="16">
        <f>MONTH([1]!Tabela32[[#This Row],[Data]])</f>
        <v>8</v>
      </c>
      <c r="D73" s="4" t="s">
        <v>32</v>
      </c>
      <c r="E73" s="4"/>
      <c r="F73" s="4" t="str">
        <f>IFERROR(VLOOKUP([1]!Tabela32[[#This Row],[Placa]],[1]Planilha2!$A$1:$B$12,2,0),"")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IFERROR([1]!Tabela32[[#This Row],[Valor Frete]]/[1]!Tabela32[[#This Row],[Valor Mercadoria]],"")</f>
        <v>6.9530798248754022E-2</v>
      </c>
      <c r="K73" s="11">
        <v>0.29166666666666669</v>
      </c>
      <c r="L73" s="15">
        <v>0.79166666666666663</v>
      </c>
      <c r="M73" s="15">
        <f>[1]!Tabela32[[#This Row],[Hr Chegada]]-[1]!Tabela32[[#This Row],[Hr Saida]]</f>
        <v>0.49999999999999994</v>
      </c>
      <c r="N73" s="4">
        <v>279145</v>
      </c>
      <c r="O73" s="4">
        <v>279229</v>
      </c>
      <c r="P73" s="4">
        <f>[1]!Tabela32[[#This Row],[Km Chegada]]-[1]!Tabela32[[#This Row],[Km Saída]]</f>
        <v>84</v>
      </c>
      <c r="Q73" s="4">
        <v>365</v>
      </c>
      <c r="R73" s="4">
        <v>33</v>
      </c>
      <c r="S73" s="4">
        <v>33</v>
      </c>
      <c r="T73" s="12">
        <f>[1]!Tabela32[[#This Row],[Entregas]]-[1]!Tabela32[[#This Row],[Realizadas]]</f>
        <v>0</v>
      </c>
      <c r="U73" s="13">
        <f>[1]!Tabela32[[#This Row],[Realizadas]]/[1]!Tabela32[[#This Row],[Entregas]]</f>
        <v>1</v>
      </c>
      <c r="V73" s="14" t="str">
        <f>IF([1]!Tabela32[[#This Row],[% Entrega]]&gt;=96%,"Atendeu a Meta","Não Atendeu a Meta")</f>
        <v>Atendeu a Meta</v>
      </c>
      <c r="W73" s="4" t="s">
        <v>40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YEAR([1]!Tabela32[[#This Row],[Data]])</f>
        <v>2026</v>
      </c>
      <c r="C74" s="16">
        <f>MONTH([1]!Tabela32[[#This Row],[Data]])</f>
        <v>8</v>
      </c>
      <c r="D74" s="4" t="s">
        <v>36</v>
      </c>
      <c r="E74" s="4"/>
      <c r="F74" s="4" t="str">
        <f>IFERROR(VLOOKUP([1]!Tabela32[[#This Row],[Placa]],[1]Planilha2!$A$1:$B$12,2,0),"")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IFERROR([1]!Tabela32[[#This Row],[Valor Frete]]/[1]!Tabela32[[#This Row],[Valor Mercadoria]],"")</f>
        <v>6.4031982736457854E-2</v>
      </c>
      <c r="K74" s="11">
        <v>0.29166666666666669</v>
      </c>
      <c r="L74" s="15">
        <v>0.73611111111111116</v>
      </c>
      <c r="M74" s="15">
        <f>[1]!Tabela32[[#This Row],[Hr Chegada]]-[1]!Tabela32[[#This Row],[Hr Saida]]</f>
        <v>0.44444444444444448</v>
      </c>
      <c r="N74" s="4">
        <v>141186</v>
      </c>
      <c r="O74" s="4">
        <v>141261</v>
      </c>
      <c r="P74" s="4">
        <f>[1]!Tabela32[[#This Row],[Km Chegada]]-[1]!Tabela32[[#This Row],[Km Saída]]</f>
        <v>75</v>
      </c>
      <c r="Q74" s="4">
        <v>158</v>
      </c>
      <c r="R74" s="4">
        <v>13</v>
      </c>
      <c r="S74" s="4">
        <v>13</v>
      </c>
      <c r="T74" s="12">
        <f>[1]!Tabela32[[#This Row],[Entregas]]-[1]!Tabela32[[#This Row],[Realizadas]]</f>
        <v>0</v>
      </c>
      <c r="U74" s="13">
        <f>[1]!Tabela32[[#This Row],[Realizadas]]/[1]!Tabela32[[#This Row],[Entregas]]</f>
        <v>1</v>
      </c>
      <c r="V74" s="14" t="str">
        <f>IF([1]!Tabela32[[#This Row],[% Entrega]]&gt;=96%,"Atendeu a Meta","Não Atendeu a Meta")</f>
        <v>Atendeu a Meta</v>
      </c>
      <c r="W74" s="4" t="s">
        <v>45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YEAR([1]!Tabela32[[#This Row],[Data]])</f>
        <v>2026</v>
      </c>
      <c r="C75" s="16">
        <f>MONTH([1]!Tabela32[[#This Row],[Data]])</f>
        <v>8</v>
      </c>
      <c r="D75" s="4" t="s">
        <v>34</v>
      </c>
      <c r="E75" s="4"/>
      <c r="F75" s="4" t="str">
        <f>IFERROR(VLOOKUP([1]!Tabela32[[#This Row],[Placa]],[1]Planilha2!$A$1:$B$12,2,0),"")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IFERROR([1]!Tabela32[[#This Row],[Valor Frete]]/[1]!Tabela32[[#This Row],[Valor Mercadoria]],"")</f>
        <v>7.3821593575828695E-2</v>
      </c>
      <c r="K75" s="11">
        <v>0.29166666666666669</v>
      </c>
      <c r="L75" s="15">
        <v>0.73611111111111116</v>
      </c>
      <c r="M75" s="15">
        <f>[1]!Tabela32[[#This Row],[Hr Chegada]]-[1]!Tabela32[[#This Row],[Hr Saida]]</f>
        <v>0.44444444444444448</v>
      </c>
      <c r="N75" s="4">
        <v>153880</v>
      </c>
      <c r="O75" s="4">
        <v>153930</v>
      </c>
      <c r="P75" s="4">
        <f>[1]!Tabela32[[#This Row],[Km Chegada]]-[1]!Tabela32[[#This Row],[Km Saída]]</f>
        <v>50</v>
      </c>
      <c r="Q75" s="4">
        <v>33</v>
      </c>
      <c r="R75" s="4">
        <v>8</v>
      </c>
      <c r="S75" s="4">
        <v>8</v>
      </c>
      <c r="T75" s="12">
        <f>[1]!Tabela32[[#This Row],[Entregas]]-[1]!Tabela32[[#This Row],[Realizadas]]</f>
        <v>0</v>
      </c>
      <c r="U75" s="13">
        <f>[1]!Tabela32[[#This Row],[Realizadas]]/[1]!Tabela32[[#This Row],[Entregas]]</f>
        <v>1</v>
      </c>
      <c r="V75" s="14" t="str">
        <f>IF([1]!Tabela32[[#This Row],[% Entrega]]&gt;=96%,"Atendeu a Meta","Não Atendeu a Meta")</f>
        <v>Atendeu a Meta</v>
      </c>
      <c r="W75" s="4" t="s">
        <v>40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YEAR([1]!Tabela32[[#This Row],[Data]])</f>
        <v>2026</v>
      </c>
      <c r="C76" s="16">
        <f>MONTH([1]!Tabela32[[#This Row],[Data]])</f>
        <v>8</v>
      </c>
      <c r="D76" s="4" t="s">
        <v>22</v>
      </c>
      <c r="E76" s="4"/>
      <c r="F76" s="4" t="str">
        <f>IFERROR(VLOOKUP([1]!Tabela32[[#This Row],[Placa]],[1]Planilha2!$A$1:$B$12,2,0),"")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IFERROR([1]!Tabela32[[#This Row],[Valor Frete]]/[1]!Tabela32[[#This Row],[Valor Mercadoria]],"")</f>
        <v>5.8470350668902132E-2</v>
      </c>
      <c r="K76" s="11">
        <v>0.29166666666666669</v>
      </c>
      <c r="L76" s="15">
        <v>0.75</v>
      </c>
      <c r="M76" s="15">
        <f>[1]!Tabela32[[#This Row],[Hr Chegada]]-[1]!Tabela32[[#This Row],[Hr Saida]]</f>
        <v>0.45833333333333331</v>
      </c>
      <c r="N76" s="4">
        <v>302867</v>
      </c>
      <c r="O76" s="4">
        <v>302940</v>
      </c>
      <c r="P76" s="4">
        <f>[1]!Tabela32[[#This Row],[Km Chegada]]-[1]!Tabela32[[#This Row],[Km Saída]]</f>
        <v>73</v>
      </c>
      <c r="Q76" s="4">
        <v>355</v>
      </c>
      <c r="R76" s="4">
        <v>27</v>
      </c>
      <c r="S76" s="4">
        <v>27</v>
      </c>
      <c r="T76" s="12">
        <f>[1]!Tabela32[[#This Row],[Entregas]]-[1]!Tabela32[[#This Row],[Realizadas]]</f>
        <v>0</v>
      </c>
      <c r="U76" s="13">
        <f>[1]!Tabela32[[#This Row],[Realizadas]]/[1]!Tabela32[[#This Row],[Entregas]]</f>
        <v>1</v>
      </c>
      <c r="V76" s="14" t="str">
        <f>IF([1]!Tabela32[[#This Row],[% Entrega]]&gt;=96%,"Atendeu a Meta","Não Atendeu a Meta")</f>
        <v>Atendeu a Meta</v>
      </c>
      <c r="W76" s="4" t="s">
        <v>40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YEAR([1]!Tabela32[[#This Row],[Data]])</f>
        <v>2026</v>
      </c>
      <c r="C77" s="16">
        <f>MONTH([1]!Tabela32[[#This Row],[Data]])</f>
        <v>8</v>
      </c>
      <c r="D77" s="4" t="s">
        <v>24</v>
      </c>
      <c r="E77" s="4"/>
      <c r="F77" s="4" t="str">
        <f>IFERROR(VLOOKUP([1]!Tabela32[[#This Row],[Placa]],[1]Planilha2!$A$1:$B$12,2,0),"")</f>
        <v>Wesley</v>
      </c>
      <c r="G77" s="10">
        <v>5685.81</v>
      </c>
      <c r="H77" s="10">
        <v>64367.64</v>
      </c>
      <c r="I77" s="4">
        <v>887</v>
      </c>
      <c r="J77" s="9">
        <f>IFERROR([1]!Tabela32[[#This Row],[Valor Frete]]/[1]!Tabela32[[#This Row],[Valor Mercadoria]],"")</f>
        <v>8.8333361297695562E-2</v>
      </c>
      <c r="K77" s="11">
        <v>0.29166666666666669</v>
      </c>
      <c r="L77" s="15">
        <v>0.75</v>
      </c>
      <c r="M77" s="15">
        <f>[1]!Tabela32[[#This Row],[Hr Chegada]]-[1]!Tabela32[[#This Row],[Hr Saida]]</f>
        <v>0.45833333333333331</v>
      </c>
      <c r="N77" s="4">
        <v>123627</v>
      </c>
      <c r="O77" s="4">
        <v>123706</v>
      </c>
      <c r="P77" s="4">
        <f>[1]!Tabela32[[#This Row],[Km Chegada]]-[1]!Tabela32[[#This Row],[Km Saída]]</f>
        <v>79</v>
      </c>
      <c r="Q77" s="4">
        <v>101</v>
      </c>
      <c r="R77" s="4">
        <v>11</v>
      </c>
      <c r="S77" s="4">
        <v>11</v>
      </c>
      <c r="T77" s="12">
        <f>[1]!Tabela32[[#This Row],[Entregas]]-[1]!Tabela32[[#This Row],[Realizadas]]</f>
        <v>0</v>
      </c>
      <c r="U77" s="13">
        <f>[1]!Tabela32[[#This Row],[Realizadas]]/[1]!Tabela32[[#This Row],[Entregas]]</f>
        <v>1</v>
      </c>
      <c r="V77" s="14" t="str">
        <f>IF([1]!Tabela32[[#This Row],[% Entrega]]&gt;=96%,"Atendeu a Meta","Não Atendeu a Meta")</f>
        <v>Atendeu a Meta</v>
      </c>
      <c r="W77" s="4" t="s">
        <v>40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YEAR([1]!Tabela32[[#This Row],[Data]])</f>
        <v>2026</v>
      </c>
      <c r="C78" s="16">
        <f>MONTH([1]!Tabela32[[#This Row],[Data]])</f>
        <v>8</v>
      </c>
      <c r="D78" s="4" t="s">
        <v>26</v>
      </c>
      <c r="E78" s="4"/>
      <c r="F78" s="4" t="str">
        <f>IFERROR(VLOOKUP([1]!Tabela32[[#This Row],[Placa]],[1]Planilha2!$A$1:$B$12,2,0),"")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IFERROR([1]!Tabela32[[#This Row],[Valor Frete]]/[1]!Tabela32[[#This Row],[Valor Mercadoria]],"")</f>
        <v>7.020803818242391E-2</v>
      </c>
      <c r="K78" s="11">
        <v>0.29166666666666669</v>
      </c>
      <c r="L78" s="15">
        <v>0.66666666666666663</v>
      </c>
      <c r="M78" s="15">
        <f>[1]!Tabela32[[#This Row],[Hr Chegada]]-[1]!Tabela32[[#This Row],[Hr Saida]]</f>
        <v>0.37499999999999994</v>
      </c>
      <c r="N78" s="4">
        <v>117763</v>
      </c>
      <c r="O78" s="4">
        <v>117817</v>
      </c>
      <c r="P78" s="4">
        <f>[1]!Tabela32[[#This Row],[Km Chegada]]-[1]!Tabela32[[#This Row],[Km Saída]]</f>
        <v>54</v>
      </c>
      <c r="Q78" s="4">
        <v>198</v>
      </c>
      <c r="R78" s="4">
        <v>18</v>
      </c>
      <c r="S78" s="4">
        <v>18</v>
      </c>
      <c r="T78" s="12">
        <f>[1]!Tabela32[[#This Row],[Entregas]]-[1]!Tabela32[[#This Row],[Realizadas]]</f>
        <v>0</v>
      </c>
      <c r="U78" s="13">
        <f>[1]!Tabela32[[#This Row],[Realizadas]]/[1]!Tabela32[[#This Row],[Entregas]]</f>
        <v>1</v>
      </c>
      <c r="V78" s="14" t="str">
        <f>IF([1]!Tabela32[[#This Row],[% Entrega]]&gt;=96%,"Atendeu a Meta","Não Atendeu a Meta")</f>
        <v>Atendeu a Meta</v>
      </c>
      <c r="W78" s="4" t="s">
        <v>40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YEAR([1]!Tabela32[[#This Row],[Data]])</f>
        <v>2026</v>
      </c>
      <c r="C79" s="16">
        <f>MONTH([1]!Tabela32[[#This Row],[Data]])</f>
        <v>8</v>
      </c>
      <c r="D79" s="4" t="s">
        <v>28</v>
      </c>
      <c r="E79" s="4"/>
      <c r="F79" s="4" t="str">
        <f>IFERROR(VLOOKUP([1]!Tabela32[[#This Row],[Placa]],[1]Planilha2!$A$1:$B$12,2,0),"")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IFERROR([1]!Tabela32[[#This Row],[Valor Frete]]/[1]!Tabela32[[#This Row],[Valor Mercadoria]],"")</f>
        <v>0.10280315113190275</v>
      </c>
      <c r="K79" s="11">
        <v>0.29166666666666669</v>
      </c>
      <c r="L79" s="15">
        <v>0.70833333333333337</v>
      </c>
      <c r="M79" s="15">
        <f>[1]!Tabela32[[#This Row],[Hr Chegada]]-[1]!Tabela32[[#This Row],[Hr Saida]]</f>
        <v>0.41666666666666669</v>
      </c>
      <c r="N79" s="4">
        <v>290052</v>
      </c>
      <c r="O79" s="4">
        <v>290094</v>
      </c>
      <c r="P79" s="4">
        <f>[1]!Tabela32[[#This Row],[Km Chegada]]-[1]!Tabela32[[#This Row],[Km Saída]]</f>
        <v>42</v>
      </c>
      <c r="Q79" s="4">
        <v>150</v>
      </c>
      <c r="R79" s="4">
        <v>3</v>
      </c>
      <c r="S79" s="4">
        <v>3</v>
      </c>
      <c r="T79" s="12">
        <f>[1]!Tabela32[[#This Row],[Entregas]]-[1]!Tabela32[[#This Row],[Realizadas]]</f>
        <v>0</v>
      </c>
      <c r="U79" s="13">
        <f>[1]!Tabela32[[#This Row],[Realizadas]]/[1]!Tabela32[[#This Row],[Entregas]]</f>
        <v>1</v>
      </c>
      <c r="V79" s="14" t="str">
        <f>IF([1]!Tabela32[[#This Row],[% Entrega]]&gt;=96%,"Atendeu a Meta","Não Atendeu a Meta")</f>
        <v>Atendeu a Meta</v>
      </c>
      <c r="W79" s="4" t="s">
        <v>41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YEAR([1]!Tabela32[[#This Row],[Data]])</f>
        <v>2026</v>
      </c>
      <c r="C80" s="16">
        <f>MONTH([1]!Tabela32[[#This Row],[Data]])</f>
        <v>8</v>
      </c>
      <c r="D80" s="4" t="s">
        <v>34</v>
      </c>
      <c r="E80" s="4"/>
      <c r="F80" s="4" t="str">
        <f>IFERROR(VLOOKUP([1]!Tabela32[[#This Row],[Placa]],[1]Planilha2!$A$1:$B$12,2,0),"")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IFERROR([1]!Tabela32[[#This Row],[Valor Frete]]/[1]!Tabela32[[#This Row],[Valor Mercadoria]],"")</f>
        <v>2.7475198064449927E-2</v>
      </c>
      <c r="K80" s="11">
        <v>0.29166666666666669</v>
      </c>
      <c r="L80" s="15">
        <v>0.45763888888888887</v>
      </c>
      <c r="M80" s="15">
        <f>[1]!Tabela32[[#This Row],[Hr Chegada]]-[1]!Tabela32[[#This Row],[Hr Saida]]</f>
        <v>0.16597222222222219</v>
      </c>
      <c r="N80" s="4">
        <v>153814</v>
      </c>
      <c r="O80" s="4">
        <v>153845</v>
      </c>
      <c r="P80" s="4">
        <f>[1]!Tabela32[[#This Row],[Km Chegada]]-[1]!Tabela32[[#This Row],[Km Saída]]</f>
        <v>31</v>
      </c>
      <c r="Q80" s="4">
        <v>1</v>
      </c>
      <c r="R80" s="4">
        <v>1</v>
      </c>
      <c r="S80" s="4">
        <v>1</v>
      </c>
      <c r="T80" s="12">
        <f>[1]!Tabela32[[#This Row],[Entregas]]-[1]!Tabela32[[#This Row],[Realizadas]]</f>
        <v>0</v>
      </c>
      <c r="U80" s="13">
        <f>[1]!Tabela32[[#This Row],[Realizadas]]/[1]!Tabela32[[#This Row],[Entregas]]</f>
        <v>1</v>
      </c>
      <c r="V80" s="14" t="str">
        <f>IF([1]!Tabela32[[#This Row],[% Entrega]]&gt;=96%,"Atendeu a Meta","Não Atendeu a Meta")</f>
        <v>Atendeu a Meta</v>
      </c>
      <c r="W80" s="4" t="s">
        <v>41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YEAR([1]!Tabela32[[#This Row],[Data]])</f>
        <v>2026</v>
      </c>
      <c r="C81" s="16">
        <f>MONTH([1]!Tabela32[[#This Row],[Data]])</f>
        <v>8</v>
      </c>
      <c r="D81" s="4" t="s">
        <v>29</v>
      </c>
      <c r="E81" s="4"/>
      <c r="F81" s="4" t="str">
        <f>IFERROR(VLOOKUP([1]!Tabela32[[#This Row],[Placa]],[1]Planilha2!$A$1:$B$12,2,0),"")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IFERROR([1]!Tabela32[[#This Row],[Valor Frete]]/[1]!Tabela32[[#This Row],[Valor Mercadoria]],"")</f>
        <v>4.8402750030586195E-2</v>
      </c>
      <c r="K81" s="11">
        <v>0.29166666666666669</v>
      </c>
      <c r="L81" s="15">
        <v>0.75</v>
      </c>
      <c r="M81" s="15">
        <f>[1]!Tabela32[[#This Row],[Hr Chegada]]-[1]!Tabela32[[#This Row],[Hr Saida]]</f>
        <v>0.45833333333333331</v>
      </c>
      <c r="N81" s="4">
        <v>103402</v>
      </c>
      <c r="O81" s="4">
        <v>103436</v>
      </c>
      <c r="P81" s="4">
        <f>[1]!Tabela32[[#This Row],[Km Chegada]]-[1]!Tabela32[[#This Row],[Km Saída]]</f>
        <v>34</v>
      </c>
      <c r="Q81" s="4">
        <v>1094</v>
      </c>
      <c r="R81" s="4">
        <v>10</v>
      </c>
      <c r="S81" s="4">
        <v>10</v>
      </c>
      <c r="T81" s="12">
        <f>[1]!Tabela32[[#This Row],[Entregas]]-[1]!Tabela32[[#This Row],[Realizadas]]</f>
        <v>0</v>
      </c>
      <c r="U81" s="13">
        <f>[1]!Tabela32[[#This Row],[Realizadas]]/[1]!Tabela32[[#This Row],[Entregas]]</f>
        <v>1</v>
      </c>
      <c r="V81" s="14" t="str">
        <f>IF([1]!Tabela32[[#This Row],[% Entrega]]&gt;=96%,"Atendeu a Meta","Não Atendeu a Meta")</f>
        <v>Atendeu a Meta</v>
      </c>
      <c r="W81" s="4" t="s">
        <v>40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YEAR([1]!Tabela32[[#This Row],[Data]])</f>
        <v>2026</v>
      </c>
      <c r="C82" s="16">
        <f>MONTH([1]!Tabela32[[#This Row],[Data]])</f>
        <v>8</v>
      </c>
      <c r="D82" s="4" t="s">
        <v>32</v>
      </c>
      <c r="E82" s="4"/>
      <c r="F82" s="4" t="str">
        <f>IFERROR(VLOOKUP([1]!Tabela32[[#This Row],[Placa]],[1]Planilha2!$A$1:$B$12,2,0),"")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IFERROR([1]!Tabela32[[#This Row],[Valor Frete]]/[1]!Tabela32[[#This Row],[Valor Mercadoria]],"")</f>
        <v>4.5259348986576894E-2</v>
      </c>
      <c r="K82" s="11">
        <v>0.29166666666666669</v>
      </c>
      <c r="L82" s="15">
        <v>0.74305555555555558</v>
      </c>
      <c r="M82" s="15">
        <f>[1]!Tabela32[[#This Row],[Hr Chegada]]-[1]!Tabela32[[#This Row],[Hr Saida]]</f>
        <v>0.4513888888888889</v>
      </c>
      <c r="N82" s="4">
        <v>279229</v>
      </c>
      <c r="O82" s="4">
        <v>279279</v>
      </c>
      <c r="P82" s="4">
        <f>[1]!Tabela32[[#This Row],[Km Chegada]]-[1]!Tabela32[[#This Row],[Km Saída]]</f>
        <v>50</v>
      </c>
      <c r="Q82" s="4">
        <v>333</v>
      </c>
      <c r="R82" s="4">
        <v>17</v>
      </c>
      <c r="S82" s="4">
        <v>17</v>
      </c>
      <c r="T82" s="12">
        <f>[1]!Tabela32[[#This Row],[Entregas]]-[1]!Tabela32[[#This Row],[Realizadas]]</f>
        <v>0</v>
      </c>
      <c r="U82" s="13">
        <f>[1]!Tabela32[[#This Row],[Realizadas]]/[1]!Tabela32[[#This Row],[Entregas]]</f>
        <v>1</v>
      </c>
      <c r="V82" s="14" t="str">
        <f>IF([1]!Tabela32[[#This Row],[% Entrega]]&gt;=96%,"Atendeu a Meta","Não Atendeu a Meta")</f>
        <v>Atendeu a Meta</v>
      </c>
      <c r="W82" s="4" t="s">
        <v>40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YEAR([1]!Tabela32[[#This Row],[Data]])</f>
        <v>2026</v>
      </c>
      <c r="C83" s="16">
        <f>MONTH([1]!Tabela32[[#This Row],[Data]])</f>
        <v>8</v>
      </c>
      <c r="D83" s="4" t="s">
        <v>55</v>
      </c>
      <c r="E83" s="4"/>
      <c r="F83" s="4" t="str">
        <f>IFERROR(VLOOKUP([1]!Tabela32[[#This Row],[Placa]],[1]Planilha2!$A$1:$B$12,2,0),"")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IFERROR([1]!Tabela32[[#This Row],[Valor Frete]]/[1]!Tabela32[[#This Row],[Valor Mercadoria]],"")</f>
        <v>6.1820002896484857E-2</v>
      </c>
      <c r="K83" s="11">
        <v>0.25</v>
      </c>
      <c r="L83" s="15">
        <v>0.71736111111111112</v>
      </c>
      <c r="M83" s="15">
        <f>[1]!Tabela32[[#This Row],[Hr Chegada]]-[1]!Tabela32[[#This Row],[Hr Saida]]</f>
        <v>0.46736111111111112</v>
      </c>
      <c r="N83" s="4">
        <v>11964</v>
      </c>
      <c r="O83" s="4">
        <v>12099</v>
      </c>
      <c r="P83" s="4">
        <f>[1]!Tabela32[[#This Row],[Km Chegada]]-[1]!Tabela32[[#This Row],[Km Saída]]</f>
        <v>135</v>
      </c>
      <c r="Q83" s="4">
        <v>195</v>
      </c>
      <c r="R83" s="4">
        <v>24</v>
      </c>
      <c r="S83" s="4">
        <v>24</v>
      </c>
      <c r="T83" s="12">
        <f>[1]!Tabela32[[#This Row],[Entregas]]-[1]!Tabela32[[#This Row],[Realizadas]]</f>
        <v>0</v>
      </c>
      <c r="U83" s="13">
        <f>[1]!Tabela32[[#This Row],[Realizadas]]/[1]!Tabela32[[#This Row],[Entregas]]</f>
        <v>1</v>
      </c>
      <c r="V83" s="14" t="str">
        <f>IF([1]!Tabela32[[#This Row],[% Entrega]]&gt;=96%,"Atendeu a Meta","Não Atendeu a Meta")</f>
        <v>Atendeu a Meta</v>
      </c>
      <c r="W83" s="4" t="s">
        <v>42</v>
      </c>
      <c r="X83" s="4">
        <v>4</v>
      </c>
      <c r="Y83" s="5">
        <v>38</v>
      </c>
    </row>
  </sheetData>
  <conditionalFormatting sqref="J2:J83">
    <cfRule type="cellIs" dxfId="10" priority="1" operator="lessThan">
      <formula>0.05</formula>
    </cfRule>
    <cfRule type="cellIs" dxfId="9" priority="2" operator="greaterThanOrEqual">
      <formula>0.05</formula>
    </cfRule>
  </conditionalFormatting>
  <conditionalFormatting sqref="U2:U83">
    <cfRule type="cellIs" dxfId="8" priority="7" stopIfTrue="1" operator="lessThanOrEqual">
      <formula>0.949</formula>
    </cfRule>
    <cfRule type="cellIs" dxfId="7" priority="8" stopIfTrue="1" operator="greaterThanOrEqual">
      <formula>0.9</formula>
    </cfRule>
    <cfRule type="cellIs" dxfId="6" priority="9" stopIfTrue="1" operator="greaterThanOrEqual">
      <formula>90</formula>
    </cfRule>
    <cfRule type="cellIs" dxfId="5" priority="10" stopIfTrue="1" operator="lessThan">
      <formula>0</formula>
    </cfRule>
    <cfRule type="cellIs" dxfId="4" priority="11" stopIfTrue="1" operator="lessThan">
      <formula>1</formula>
    </cfRule>
    <cfRule type="cellIs" dxfId="3" priority="12" stopIfTrue="1" operator="greaterThan">
      <formula>100</formula>
    </cfRule>
    <cfRule type="cellIs" dxfId="2" priority="13" stopIfTrue="1" operator="greaterThan">
      <formula>1</formula>
    </cfRule>
  </conditionalFormatting>
  <conditionalFormatting sqref="V2:V83">
    <cfRule type="expression" dxfId="1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0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D2:D64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2026-08-17T01:36:53Z</dcterms:modified>
</cp:coreProperties>
</file>