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l\Documents\project\"/>
    </mc:Choice>
  </mc:AlternateContent>
  <xr:revisionPtr revIDLastSave="0" documentId="13_ncr:1_{63E49996-0B86-45DC-8BCD-398796546988}" xr6:coauthVersionLast="47" xr6:coauthVersionMax="47" xr10:uidLastSave="{00000000-0000-0000-0000-000000000000}"/>
  <bookViews>
    <workbookView xWindow="-120" yWindow="-120" windowWidth="20730" windowHeight="11160" activeTab="2" xr2:uid="{B4DF3242-8F2B-4ADB-9A16-64AB3DBBB1AB}"/>
  </bookViews>
  <sheets>
    <sheet name="Planilha2" sheetId="2" r:id="rId1"/>
    <sheet name="Terceiros" sheetId="3" r:id="rId2"/>
    <sheet name="jan_26 (2)" sheetId="4" r:id="rId3"/>
  </sheets>
  <definedNames>
    <definedName name="IYD7460_">'jan_26 (2)'!$D$2:$D$4</definedName>
    <definedName name="Placa">Planilha2!#REF!</definedName>
    <definedName name="placas">Planilha2!#REF!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2" i="4" l="1"/>
  <c r="C522" i="4"/>
  <c r="F522" i="4"/>
  <c r="J522" i="4"/>
  <c r="M522" i="4"/>
  <c r="P522" i="4"/>
  <c r="T522" i="4"/>
  <c r="U522" i="4"/>
  <c r="V522" i="4" s="1"/>
  <c r="B521" i="4"/>
  <c r="C521" i="4"/>
  <c r="F521" i="4"/>
  <c r="J521" i="4"/>
  <c r="M521" i="4"/>
  <c r="P521" i="4"/>
  <c r="T521" i="4"/>
  <c r="U521" i="4"/>
  <c r="V521" i="4" s="1"/>
  <c r="B520" i="4"/>
  <c r="C520" i="4"/>
  <c r="F520" i="4"/>
  <c r="J520" i="4"/>
  <c r="M520" i="4"/>
  <c r="P520" i="4"/>
  <c r="T520" i="4"/>
  <c r="U520" i="4"/>
  <c r="V520" i="4" s="1"/>
  <c r="B519" i="4"/>
  <c r="C519" i="4"/>
  <c r="F519" i="4"/>
  <c r="J519" i="4"/>
  <c r="M519" i="4"/>
  <c r="P519" i="4"/>
  <c r="T519" i="4"/>
  <c r="U519" i="4"/>
  <c r="V519" i="4" s="1"/>
  <c r="B518" i="4"/>
  <c r="C518" i="4"/>
  <c r="F518" i="4"/>
  <c r="J518" i="4"/>
  <c r="M518" i="4"/>
  <c r="P518" i="4"/>
  <c r="T518" i="4"/>
  <c r="U518" i="4"/>
  <c r="V518" i="4" s="1"/>
  <c r="B517" i="4"/>
  <c r="C517" i="4"/>
  <c r="F517" i="4"/>
  <c r="J517" i="4"/>
  <c r="M517" i="4"/>
  <c r="P517" i="4"/>
  <c r="T517" i="4"/>
  <c r="U517" i="4"/>
  <c r="V517" i="4" s="1"/>
  <c r="B516" i="4"/>
  <c r="C516" i="4"/>
  <c r="F516" i="4"/>
  <c r="J516" i="4"/>
  <c r="M516" i="4"/>
  <c r="P516" i="4"/>
  <c r="T516" i="4"/>
  <c r="U516" i="4"/>
  <c r="V516" i="4" s="1"/>
  <c r="B515" i="4"/>
  <c r="C515" i="4"/>
  <c r="F515" i="4"/>
  <c r="J515" i="4"/>
  <c r="M515" i="4"/>
  <c r="P515" i="4"/>
  <c r="T515" i="4"/>
  <c r="U515" i="4"/>
  <c r="V515" i="4" s="1"/>
  <c r="B514" i="4"/>
  <c r="C514" i="4"/>
  <c r="F514" i="4"/>
  <c r="J514" i="4"/>
  <c r="M514" i="4"/>
  <c r="P514" i="4"/>
  <c r="T514" i="4"/>
  <c r="U514" i="4"/>
  <c r="V514" i="4" s="1"/>
  <c r="B513" i="4"/>
  <c r="C513" i="4"/>
  <c r="F513" i="4"/>
  <c r="J513" i="4"/>
  <c r="M513" i="4"/>
  <c r="P513" i="4"/>
  <c r="T513" i="4"/>
  <c r="U513" i="4"/>
  <c r="V513" i="4" s="1"/>
  <c r="H27" i="3"/>
  <c r="K27" i="3"/>
  <c r="M27" i="3"/>
  <c r="Q27" i="3"/>
  <c r="R27" i="3"/>
  <c r="S27" i="3"/>
  <c r="H26" i="3" l="1"/>
  <c r="K26" i="3"/>
  <c r="M26" i="3"/>
  <c r="Q26" i="3"/>
  <c r="R26" i="3"/>
  <c r="S26" i="3" s="1"/>
  <c r="B512" i="4"/>
  <c r="C512" i="4"/>
  <c r="F512" i="4"/>
  <c r="J512" i="4"/>
  <c r="M512" i="4"/>
  <c r="P512" i="4"/>
  <c r="T512" i="4"/>
  <c r="U512" i="4"/>
  <c r="V512" i="4" s="1"/>
  <c r="B511" i="4"/>
  <c r="C511" i="4"/>
  <c r="F511" i="4"/>
  <c r="J511" i="4"/>
  <c r="M511" i="4"/>
  <c r="P511" i="4"/>
  <c r="T511" i="4"/>
  <c r="U511" i="4"/>
  <c r="V511" i="4" s="1"/>
  <c r="B510" i="4"/>
  <c r="C510" i="4"/>
  <c r="F510" i="4"/>
  <c r="J510" i="4"/>
  <c r="M510" i="4"/>
  <c r="P510" i="4"/>
  <c r="T510" i="4"/>
  <c r="U510" i="4"/>
  <c r="V510" i="4" s="1"/>
  <c r="B509" i="4"/>
  <c r="C509" i="4"/>
  <c r="F509" i="4"/>
  <c r="J509" i="4"/>
  <c r="M509" i="4"/>
  <c r="P509" i="4"/>
  <c r="T509" i="4"/>
  <c r="U509" i="4"/>
  <c r="V509" i="4" s="1"/>
  <c r="B508" i="4"/>
  <c r="C508" i="4"/>
  <c r="F508" i="4"/>
  <c r="J508" i="4"/>
  <c r="M508" i="4"/>
  <c r="P508" i="4"/>
  <c r="T508" i="4"/>
  <c r="U508" i="4"/>
  <c r="V508" i="4" s="1"/>
  <c r="B507" i="4"/>
  <c r="C507" i="4"/>
  <c r="F507" i="4"/>
  <c r="J507" i="4"/>
  <c r="M507" i="4"/>
  <c r="P507" i="4"/>
  <c r="T507" i="4"/>
  <c r="U507" i="4"/>
  <c r="V507" i="4" s="1"/>
  <c r="B506" i="4"/>
  <c r="C506" i="4"/>
  <c r="F506" i="4"/>
  <c r="J506" i="4"/>
  <c r="M506" i="4"/>
  <c r="P506" i="4"/>
  <c r="T506" i="4"/>
  <c r="U506" i="4"/>
  <c r="V506" i="4" s="1"/>
  <c r="B505" i="4"/>
  <c r="C505" i="4"/>
  <c r="F505" i="4"/>
  <c r="J505" i="4"/>
  <c r="M505" i="4"/>
  <c r="P505" i="4"/>
  <c r="T505" i="4"/>
  <c r="U505" i="4"/>
  <c r="V505" i="4" s="1"/>
  <c r="T504" i="4"/>
  <c r="B504" i="4"/>
  <c r="C504" i="4"/>
  <c r="F504" i="4"/>
  <c r="J504" i="4"/>
  <c r="M504" i="4"/>
  <c r="P504" i="4"/>
  <c r="U504" i="4"/>
  <c r="V504" i="4" s="1"/>
  <c r="B503" i="4"/>
  <c r="C503" i="4"/>
  <c r="F503" i="4"/>
  <c r="J503" i="4"/>
  <c r="M503" i="4"/>
  <c r="P503" i="4"/>
  <c r="T503" i="4"/>
  <c r="U503" i="4"/>
  <c r="V503" i="4" s="1"/>
  <c r="B502" i="4"/>
  <c r="C502" i="4"/>
  <c r="F502" i="4"/>
  <c r="J502" i="4"/>
  <c r="M502" i="4"/>
  <c r="P502" i="4"/>
  <c r="T502" i="4"/>
  <c r="U502" i="4"/>
  <c r="V502" i="4" s="1"/>
  <c r="H25" i="3"/>
  <c r="K25" i="3"/>
  <c r="M25" i="3"/>
  <c r="Q25" i="3"/>
  <c r="R25" i="3"/>
  <c r="S25" i="3" s="1"/>
  <c r="B501" i="4"/>
  <c r="C501" i="4"/>
  <c r="F501" i="4"/>
  <c r="J501" i="4"/>
  <c r="M501" i="4"/>
  <c r="P501" i="4"/>
  <c r="T501" i="4"/>
  <c r="U501" i="4"/>
  <c r="V501" i="4" s="1"/>
  <c r="B500" i="4"/>
  <c r="C500" i="4"/>
  <c r="F500" i="4"/>
  <c r="J500" i="4"/>
  <c r="M500" i="4"/>
  <c r="P500" i="4"/>
  <c r="T500" i="4"/>
  <c r="U500" i="4"/>
  <c r="V500" i="4" s="1"/>
  <c r="B499" i="4"/>
  <c r="C499" i="4"/>
  <c r="F499" i="4"/>
  <c r="J499" i="4"/>
  <c r="M499" i="4"/>
  <c r="P499" i="4"/>
  <c r="T499" i="4"/>
  <c r="U499" i="4"/>
  <c r="V499" i="4" s="1"/>
  <c r="B498" i="4"/>
  <c r="C498" i="4"/>
  <c r="F498" i="4"/>
  <c r="J498" i="4"/>
  <c r="M498" i="4"/>
  <c r="P498" i="4"/>
  <c r="T498" i="4"/>
  <c r="U498" i="4"/>
  <c r="V498" i="4" s="1"/>
  <c r="B497" i="4"/>
  <c r="C497" i="4"/>
  <c r="F497" i="4"/>
  <c r="J497" i="4"/>
  <c r="M497" i="4"/>
  <c r="P497" i="4"/>
  <c r="T497" i="4"/>
  <c r="U497" i="4"/>
  <c r="V497" i="4" s="1"/>
  <c r="B496" i="4"/>
  <c r="C496" i="4"/>
  <c r="F496" i="4"/>
  <c r="J496" i="4"/>
  <c r="M496" i="4"/>
  <c r="P496" i="4"/>
  <c r="T496" i="4"/>
  <c r="U496" i="4"/>
  <c r="V496" i="4" s="1"/>
  <c r="B495" i="4"/>
  <c r="C495" i="4"/>
  <c r="F495" i="4"/>
  <c r="J495" i="4"/>
  <c r="M495" i="4"/>
  <c r="P495" i="4"/>
  <c r="T495" i="4"/>
  <c r="U495" i="4"/>
  <c r="V495" i="4" s="1"/>
  <c r="B494" i="4"/>
  <c r="C494" i="4"/>
  <c r="F494" i="4"/>
  <c r="J494" i="4"/>
  <c r="M494" i="4"/>
  <c r="P494" i="4"/>
  <c r="T494" i="4"/>
  <c r="U494" i="4"/>
  <c r="V494" i="4" s="1"/>
  <c r="B493" i="4"/>
  <c r="C493" i="4"/>
  <c r="F493" i="4"/>
  <c r="J493" i="4"/>
  <c r="M493" i="4"/>
  <c r="P493" i="4"/>
  <c r="T493" i="4"/>
  <c r="U493" i="4"/>
  <c r="V493" i="4" s="1"/>
  <c r="B492" i="4"/>
  <c r="C492" i="4"/>
  <c r="F492" i="4"/>
  <c r="J492" i="4"/>
  <c r="M492" i="4"/>
  <c r="P492" i="4"/>
  <c r="T492" i="4"/>
  <c r="U492" i="4"/>
  <c r="V492" i="4" s="1"/>
  <c r="B491" i="4"/>
  <c r="C491" i="4"/>
  <c r="F491" i="4"/>
  <c r="J491" i="4"/>
  <c r="M491" i="4"/>
  <c r="P491" i="4"/>
  <c r="T491" i="4"/>
  <c r="U491" i="4"/>
  <c r="V491" i="4" s="1"/>
  <c r="B490" i="4"/>
  <c r="C490" i="4"/>
  <c r="F490" i="4"/>
  <c r="J490" i="4"/>
  <c r="M490" i="4"/>
  <c r="P490" i="4"/>
  <c r="T490" i="4"/>
  <c r="U490" i="4"/>
  <c r="V490" i="4" s="1"/>
  <c r="H24" i="3"/>
  <c r="K24" i="3"/>
  <c r="M24" i="3"/>
  <c r="Q24" i="3"/>
  <c r="R24" i="3"/>
  <c r="S24" i="3" s="1"/>
  <c r="B489" i="4"/>
  <c r="C489" i="4"/>
  <c r="F489" i="4"/>
  <c r="J489" i="4"/>
  <c r="M489" i="4"/>
  <c r="P489" i="4"/>
  <c r="T489" i="4"/>
  <c r="U489" i="4"/>
  <c r="V489" i="4" s="1"/>
  <c r="F488" i="4"/>
  <c r="B488" i="4"/>
  <c r="C488" i="4"/>
  <c r="J488" i="4"/>
  <c r="M488" i="4"/>
  <c r="P488" i="4"/>
  <c r="T488" i="4"/>
  <c r="U488" i="4"/>
  <c r="V488" i="4" s="1"/>
  <c r="B487" i="4"/>
  <c r="C487" i="4"/>
  <c r="F487" i="4"/>
  <c r="J487" i="4"/>
  <c r="M487" i="4"/>
  <c r="P487" i="4"/>
  <c r="T487" i="4"/>
  <c r="U487" i="4"/>
  <c r="V487" i="4" s="1"/>
  <c r="B486" i="4"/>
  <c r="C486" i="4"/>
  <c r="F486" i="4"/>
  <c r="J486" i="4"/>
  <c r="M486" i="4"/>
  <c r="P486" i="4"/>
  <c r="T486" i="4"/>
  <c r="U486" i="4"/>
  <c r="V486" i="4" s="1"/>
  <c r="B485" i="4"/>
  <c r="C485" i="4"/>
  <c r="F485" i="4"/>
  <c r="J485" i="4"/>
  <c r="M485" i="4"/>
  <c r="P485" i="4"/>
  <c r="T485" i="4"/>
  <c r="U485" i="4"/>
  <c r="V485" i="4" s="1"/>
  <c r="B484" i="4"/>
  <c r="C484" i="4"/>
  <c r="F484" i="4"/>
  <c r="J484" i="4"/>
  <c r="M484" i="4"/>
  <c r="P484" i="4"/>
  <c r="T484" i="4"/>
  <c r="U484" i="4"/>
  <c r="V484" i="4" s="1"/>
  <c r="B483" i="4"/>
  <c r="C483" i="4"/>
  <c r="F483" i="4"/>
  <c r="J483" i="4"/>
  <c r="M483" i="4"/>
  <c r="P483" i="4"/>
  <c r="T483" i="4"/>
  <c r="U483" i="4"/>
  <c r="V483" i="4" s="1"/>
  <c r="B482" i="4"/>
  <c r="C482" i="4"/>
  <c r="F482" i="4"/>
  <c r="J482" i="4"/>
  <c r="M482" i="4"/>
  <c r="P482" i="4"/>
  <c r="T482" i="4"/>
  <c r="U482" i="4"/>
  <c r="V482" i="4" s="1"/>
  <c r="B481" i="4"/>
  <c r="C481" i="4"/>
  <c r="F481" i="4"/>
  <c r="J481" i="4"/>
  <c r="M481" i="4"/>
  <c r="P481" i="4"/>
  <c r="T481" i="4"/>
  <c r="U481" i="4"/>
  <c r="V481" i="4" s="1"/>
  <c r="B480" i="4"/>
  <c r="C480" i="4"/>
  <c r="F480" i="4"/>
  <c r="J480" i="4"/>
  <c r="M480" i="4"/>
  <c r="P480" i="4"/>
  <c r="T480" i="4"/>
  <c r="U480" i="4"/>
  <c r="V480" i="4" s="1"/>
  <c r="B479" i="4"/>
  <c r="C479" i="4"/>
  <c r="F479" i="4"/>
  <c r="J479" i="4"/>
  <c r="M479" i="4"/>
  <c r="P479" i="4"/>
  <c r="T479" i="4"/>
  <c r="U479" i="4"/>
  <c r="V479" i="4" s="1"/>
  <c r="B478" i="4"/>
  <c r="C478" i="4"/>
  <c r="F478" i="4"/>
  <c r="J478" i="4"/>
  <c r="M478" i="4"/>
  <c r="P478" i="4"/>
  <c r="T478" i="4"/>
  <c r="U478" i="4"/>
  <c r="V478" i="4" s="1"/>
  <c r="B477" i="4"/>
  <c r="C477" i="4"/>
  <c r="F477" i="4"/>
  <c r="J477" i="4"/>
  <c r="M477" i="4"/>
  <c r="P477" i="4"/>
  <c r="T477" i="4"/>
  <c r="U477" i="4"/>
  <c r="V477" i="4" s="1"/>
  <c r="B476" i="4"/>
  <c r="C476" i="4"/>
  <c r="F476" i="4"/>
  <c r="J476" i="4"/>
  <c r="M476" i="4"/>
  <c r="P476" i="4"/>
  <c r="T476" i="4"/>
  <c r="U476" i="4"/>
  <c r="V476" i="4" s="1"/>
  <c r="B475" i="4"/>
  <c r="C475" i="4"/>
  <c r="F475" i="4"/>
  <c r="J475" i="4"/>
  <c r="M475" i="4"/>
  <c r="P475" i="4"/>
  <c r="T475" i="4"/>
  <c r="U475" i="4"/>
  <c r="V475" i="4" s="1"/>
  <c r="B474" i="4"/>
  <c r="C474" i="4"/>
  <c r="F474" i="4"/>
  <c r="J474" i="4"/>
  <c r="M474" i="4"/>
  <c r="P474" i="4"/>
  <c r="T474" i="4"/>
  <c r="U474" i="4"/>
  <c r="V474" i="4" s="1"/>
  <c r="B473" i="4"/>
  <c r="C473" i="4"/>
  <c r="F473" i="4"/>
  <c r="J473" i="4"/>
  <c r="M473" i="4"/>
  <c r="P473" i="4"/>
  <c r="T473" i="4"/>
  <c r="U473" i="4"/>
  <c r="V473" i="4" s="1"/>
  <c r="B472" i="4"/>
  <c r="C472" i="4"/>
  <c r="F472" i="4"/>
  <c r="J472" i="4"/>
  <c r="M472" i="4"/>
  <c r="P472" i="4"/>
  <c r="T472" i="4"/>
  <c r="U472" i="4"/>
  <c r="V472" i="4" s="1"/>
  <c r="B471" i="4"/>
  <c r="C471" i="4"/>
  <c r="F471" i="4"/>
  <c r="J471" i="4"/>
  <c r="M471" i="4"/>
  <c r="P471" i="4"/>
  <c r="T471" i="4"/>
  <c r="U471" i="4"/>
  <c r="V471" i="4" s="1"/>
  <c r="B470" i="4"/>
  <c r="C470" i="4"/>
  <c r="F470" i="4"/>
  <c r="J470" i="4"/>
  <c r="M470" i="4"/>
  <c r="P470" i="4"/>
  <c r="T470" i="4"/>
  <c r="U470" i="4"/>
  <c r="V470" i="4" s="1"/>
  <c r="B469" i="4"/>
  <c r="C469" i="4"/>
  <c r="F469" i="4"/>
  <c r="J469" i="4"/>
  <c r="M469" i="4"/>
  <c r="P469" i="4"/>
  <c r="T469" i="4"/>
  <c r="U469" i="4"/>
  <c r="V469" i="4" s="1"/>
  <c r="B468" i="4"/>
  <c r="C468" i="4"/>
  <c r="F468" i="4"/>
  <c r="J468" i="4"/>
  <c r="M468" i="4"/>
  <c r="P468" i="4"/>
  <c r="T468" i="4"/>
  <c r="U468" i="4"/>
  <c r="V468" i="4" s="1"/>
  <c r="B467" i="4"/>
  <c r="C467" i="4"/>
  <c r="F467" i="4"/>
  <c r="J467" i="4"/>
  <c r="M467" i="4"/>
  <c r="P467" i="4"/>
  <c r="T467" i="4"/>
  <c r="U467" i="4"/>
  <c r="V467" i="4" s="1"/>
  <c r="P466" i="4"/>
  <c r="B466" i="4"/>
  <c r="C466" i="4"/>
  <c r="F466" i="4"/>
  <c r="J466" i="4"/>
  <c r="M466" i="4"/>
  <c r="T466" i="4"/>
  <c r="U466" i="4"/>
  <c r="V466" i="4" s="1"/>
  <c r="B465" i="4"/>
  <c r="C465" i="4"/>
  <c r="F465" i="4"/>
  <c r="J465" i="4"/>
  <c r="M465" i="4"/>
  <c r="P465" i="4"/>
  <c r="T465" i="4"/>
  <c r="U465" i="4"/>
  <c r="V465" i="4" s="1"/>
  <c r="B464" i="4"/>
  <c r="C464" i="4"/>
  <c r="F464" i="4"/>
  <c r="J464" i="4"/>
  <c r="M464" i="4"/>
  <c r="P464" i="4"/>
  <c r="T464" i="4"/>
  <c r="U464" i="4"/>
  <c r="V464" i="4" s="1"/>
  <c r="B463" i="4"/>
  <c r="C463" i="4"/>
  <c r="F463" i="4"/>
  <c r="J463" i="4"/>
  <c r="M463" i="4"/>
  <c r="P463" i="4"/>
  <c r="T463" i="4"/>
  <c r="U463" i="4"/>
  <c r="V463" i="4" s="1"/>
  <c r="B462" i="4"/>
  <c r="C462" i="4"/>
  <c r="F462" i="4"/>
  <c r="J462" i="4"/>
  <c r="M462" i="4"/>
  <c r="P462" i="4"/>
  <c r="T462" i="4"/>
  <c r="U462" i="4"/>
  <c r="V462" i="4" s="1"/>
  <c r="B461" i="4"/>
  <c r="C461" i="4"/>
  <c r="F461" i="4"/>
  <c r="J461" i="4"/>
  <c r="M461" i="4"/>
  <c r="P461" i="4"/>
  <c r="T461" i="4"/>
  <c r="U461" i="4"/>
  <c r="V461" i="4" s="1"/>
  <c r="B460" i="4"/>
  <c r="C460" i="4"/>
  <c r="F460" i="4"/>
  <c r="J460" i="4"/>
  <c r="M460" i="4"/>
  <c r="P460" i="4"/>
  <c r="T460" i="4"/>
  <c r="U460" i="4"/>
  <c r="V460" i="4" s="1"/>
  <c r="B459" i="4"/>
  <c r="C459" i="4"/>
  <c r="F459" i="4"/>
  <c r="J459" i="4"/>
  <c r="M459" i="4"/>
  <c r="P459" i="4"/>
  <c r="T459" i="4"/>
  <c r="U459" i="4"/>
  <c r="V459" i="4" s="1"/>
  <c r="B458" i="4"/>
  <c r="C458" i="4"/>
  <c r="F458" i="4"/>
  <c r="J458" i="4"/>
  <c r="M458" i="4"/>
  <c r="P458" i="4"/>
  <c r="T458" i="4"/>
  <c r="U458" i="4"/>
  <c r="V458" i="4" s="1"/>
  <c r="B457" i="4"/>
  <c r="C457" i="4"/>
  <c r="F457" i="4"/>
  <c r="J457" i="4"/>
  <c r="M457" i="4"/>
  <c r="P457" i="4"/>
  <c r="T457" i="4"/>
  <c r="U457" i="4"/>
  <c r="V457" i="4" s="1"/>
  <c r="B456" i="4"/>
  <c r="C456" i="4"/>
  <c r="F456" i="4"/>
  <c r="J456" i="4"/>
  <c r="M456" i="4"/>
  <c r="P456" i="4"/>
  <c r="T456" i="4"/>
  <c r="U456" i="4"/>
  <c r="V456" i="4" s="1"/>
  <c r="H23" i="3"/>
  <c r="K23" i="3"/>
  <c r="M23" i="3"/>
  <c r="Q23" i="3"/>
  <c r="R23" i="3"/>
  <c r="S23" i="3" s="1"/>
  <c r="B455" i="4"/>
  <c r="C455" i="4"/>
  <c r="F455" i="4"/>
  <c r="J455" i="4"/>
  <c r="M455" i="4"/>
  <c r="P455" i="4"/>
  <c r="T455" i="4"/>
  <c r="U455" i="4"/>
  <c r="V455" i="4" s="1"/>
  <c r="B454" i="4"/>
  <c r="C454" i="4"/>
  <c r="F454" i="4"/>
  <c r="J454" i="4"/>
  <c r="M454" i="4"/>
  <c r="P454" i="4"/>
  <c r="T454" i="4"/>
  <c r="U454" i="4"/>
  <c r="V454" i="4" s="1"/>
  <c r="B453" i="4"/>
  <c r="C453" i="4"/>
  <c r="F453" i="4"/>
  <c r="J453" i="4"/>
  <c r="M453" i="4"/>
  <c r="P453" i="4"/>
  <c r="T453" i="4"/>
  <c r="U453" i="4"/>
  <c r="V453" i="4" s="1"/>
  <c r="B452" i="4"/>
  <c r="C452" i="4"/>
  <c r="F452" i="4"/>
  <c r="J452" i="4"/>
  <c r="M452" i="4"/>
  <c r="P452" i="4"/>
  <c r="T452" i="4"/>
  <c r="U452" i="4"/>
  <c r="V452" i="4" s="1"/>
  <c r="B451" i="4"/>
  <c r="C451" i="4"/>
  <c r="F451" i="4"/>
  <c r="J451" i="4"/>
  <c r="M451" i="4"/>
  <c r="P451" i="4"/>
  <c r="T451" i="4"/>
  <c r="U451" i="4"/>
  <c r="V451" i="4" s="1"/>
  <c r="B450" i="4"/>
  <c r="C450" i="4"/>
  <c r="F450" i="4"/>
  <c r="J450" i="4"/>
  <c r="M450" i="4"/>
  <c r="P450" i="4"/>
  <c r="T450" i="4"/>
  <c r="U450" i="4"/>
  <c r="V450" i="4" s="1"/>
  <c r="B449" i="4"/>
  <c r="C449" i="4"/>
  <c r="F449" i="4"/>
  <c r="J449" i="4"/>
  <c r="M449" i="4"/>
  <c r="P449" i="4"/>
  <c r="T449" i="4"/>
  <c r="U449" i="4"/>
  <c r="V449" i="4" s="1"/>
  <c r="B448" i="4"/>
  <c r="C448" i="4"/>
  <c r="F448" i="4"/>
  <c r="J448" i="4"/>
  <c r="M448" i="4"/>
  <c r="P448" i="4"/>
  <c r="T448" i="4"/>
  <c r="U448" i="4"/>
  <c r="V448" i="4" s="1"/>
  <c r="B447" i="4"/>
  <c r="C447" i="4"/>
  <c r="F447" i="4"/>
  <c r="J447" i="4"/>
  <c r="M447" i="4"/>
  <c r="P447" i="4"/>
  <c r="T447" i="4"/>
  <c r="U447" i="4"/>
  <c r="V447" i="4" s="1"/>
  <c r="B446" i="4"/>
  <c r="C446" i="4"/>
  <c r="F446" i="4"/>
  <c r="J446" i="4"/>
  <c r="M446" i="4"/>
  <c r="P446" i="4"/>
  <c r="T446" i="4"/>
  <c r="U446" i="4"/>
  <c r="V446" i="4" s="1"/>
  <c r="B445" i="4"/>
  <c r="C445" i="4"/>
  <c r="F445" i="4"/>
  <c r="J445" i="4"/>
  <c r="M445" i="4"/>
  <c r="P445" i="4"/>
  <c r="T445" i="4"/>
  <c r="U445" i="4"/>
  <c r="V445" i="4" s="1"/>
  <c r="H22" i="3"/>
  <c r="K22" i="3"/>
  <c r="M22" i="3"/>
  <c r="Q22" i="3"/>
  <c r="R22" i="3"/>
  <c r="S22" i="3" s="1"/>
  <c r="T444" i="4"/>
  <c r="B444" i="4"/>
  <c r="C444" i="4"/>
  <c r="F444" i="4"/>
  <c r="J444" i="4"/>
  <c r="M444" i="4"/>
  <c r="P444" i="4"/>
  <c r="U444" i="4"/>
  <c r="V444" i="4" s="1"/>
  <c r="B443" i="4"/>
  <c r="C443" i="4"/>
  <c r="F443" i="4"/>
  <c r="J443" i="4"/>
  <c r="M443" i="4"/>
  <c r="P443" i="4"/>
  <c r="T443" i="4"/>
  <c r="U443" i="4"/>
  <c r="V443" i="4" s="1"/>
  <c r="B442" i="4"/>
  <c r="C442" i="4"/>
  <c r="F442" i="4"/>
  <c r="J442" i="4"/>
  <c r="M442" i="4"/>
  <c r="P442" i="4"/>
  <c r="T442" i="4"/>
  <c r="U442" i="4"/>
  <c r="V442" i="4" s="1"/>
  <c r="B441" i="4"/>
  <c r="C441" i="4"/>
  <c r="F441" i="4"/>
  <c r="J441" i="4"/>
  <c r="M441" i="4"/>
  <c r="P441" i="4"/>
  <c r="T441" i="4"/>
  <c r="U441" i="4"/>
  <c r="V441" i="4" s="1"/>
  <c r="B440" i="4"/>
  <c r="C440" i="4"/>
  <c r="F440" i="4"/>
  <c r="J440" i="4"/>
  <c r="M440" i="4"/>
  <c r="P440" i="4"/>
  <c r="T440" i="4"/>
  <c r="U440" i="4"/>
  <c r="V440" i="4" s="1"/>
  <c r="B439" i="4"/>
  <c r="C439" i="4"/>
  <c r="F439" i="4"/>
  <c r="J439" i="4"/>
  <c r="M439" i="4"/>
  <c r="P439" i="4"/>
  <c r="T439" i="4"/>
  <c r="U439" i="4"/>
  <c r="V439" i="4" s="1"/>
  <c r="B438" i="4"/>
  <c r="C438" i="4"/>
  <c r="F438" i="4"/>
  <c r="J438" i="4"/>
  <c r="M438" i="4"/>
  <c r="P438" i="4"/>
  <c r="T438" i="4"/>
  <c r="U438" i="4"/>
  <c r="V438" i="4" s="1"/>
  <c r="B437" i="4"/>
  <c r="C437" i="4"/>
  <c r="F437" i="4"/>
  <c r="J437" i="4"/>
  <c r="M437" i="4"/>
  <c r="P437" i="4"/>
  <c r="T437" i="4"/>
  <c r="U437" i="4"/>
  <c r="V437" i="4" s="1"/>
  <c r="J436" i="4"/>
  <c r="B436" i="4"/>
  <c r="C436" i="4"/>
  <c r="F436" i="4"/>
  <c r="M436" i="4"/>
  <c r="P436" i="4"/>
  <c r="T436" i="4"/>
  <c r="U436" i="4"/>
  <c r="V436" i="4" s="1"/>
  <c r="B435" i="4"/>
  <c r="C435" i="4"/>
  <c r="F435" i="4"/>
  <c r="J435" i="4"/>
  <c r="M435" i="4"/>
  <c r="P435" i="4"/>
  <c r="T435" i="4"/>
  <c r="U435" i="4"/>
  <c r="V435" i="4" s="1"/>
  <c r="H21" i="3"/>
  <c r="K21" i="3"/>
  <c r="M21" i="3"/>
  <c r="Q21" i="3"/>
  <c r="R21" i="3"/>
  <c r="S21" i="3" s="1"/>
  <c r="B434" i="4"/>
  <c r="C434" i="4"/>
  <c r="F434" i="4"/>
  <c r="J434" i="4"/>
  <c r="M434" i="4"/>
  <c r="P434" i="4"/>
  <c r="T434" i="4"/>
  <c r="U434" i="4"/>
  <c r="V434" i="4" s="1"/>
  <c r="M433" i="4"/>
  <c r="B433" i="4"/>
  <c r="C433" i="4"/>
  <c r="F433" i="4"/>
  <c r="J433" i="4"/>
  <c r="P433" i="4"/>
  <c r="T433" i="4"/>
  <c r="U433" i="4"/>
  <c r="V433" i="4" s="1"/>
  <c r="T432" i="4"/>
  <c r="B432" i="4"/>
  <c r="C432" i="4"/>
  <c r="F432" i="4"/>
  <c r="J432" i="4"/>
  <c r="M432" i="4"/>
  <c r="P432" i="4"/>
  <c r="U432" i="4"/>
  <c r="V432" i="4" s="1"/>
  <c r="B431" i="4"/>
  <c r="C431" i="4"/>
  <c r="F431" i="4"/>
  <c r="J431" i="4"/>
  <c r="M431" i="4"/>
  <c r="P431" i="4"/>
  <c r="T431" i="4"/>
  <c r="U431" i="4"/>
  <c r="V431" i="4" s="1"/>
  <c r="B430" i="4"/>
  <c r="C430" i="4"/>
  <c r="F430" i="4"/>
  <c r="J430" i="4"/>
  <c r="M430" i="4"/>
  <c r="P430" i="4"/>
  <c r="T430" i="4"/>
  <c r="U430" i="4"/>
  <c r="V430" i="4" s="1"/>
  <c r="B429" i="4"/>
  <c r="C429" i="4"/>
  <c r="F429" i="4"/>
  <c r="J429" i="4"/>
  <c r="M429" i="4"/>
  <c r="P429" i="4"/>
  <c r="T429" i="4"/>
  <c r="U429" i="4"/>
  <c r="V429" i="4" s="1"/>
  <c r="B428" i="4"/>
  <c r="C428" i="4"/>
  <c r="F428" i="4"/>
  <c r="J428" i="4"/>
  <c r="M428" i="4"/>
  <c r="P428" i="4"/>
  <c r="T428" i="4"/>
  <c r="U428" i="4"/>
  <c r="V428" i="4" s="1"/>
  <c r="B427" i="4"/>
  <c r="C427" i="4"/>
  <c r="F427" i="4"/>
  <c r="J427" i="4"/>
  <c r="M427" i="4"/>
  <c r="P427" i="4"/>
  <c r="T427" i="4"/>
  <c r="U427" i="4"/>
  <c r="V427" i="4" s="1"/>
  <c r="B426" i="4"/>
  <c r="C426" i="4"/>
  <c r="F426" i="4"/>
  <c r="J426" i="4"/>
  <c r="M426" i="4"/>
  <c r="P426" i="4"/>
  <c r="T426" i="4"/>
  <c r="U426" i="4"/>
  <c r="V426" i="4" s="1"/>
  <c r="B425" i="4"/>
  <c r="C425" i="4"/>
  <c r="F425" i="4"/>
  <c r="J425" i="4"/>
  <c r="M425" i="4"/>
  <c r="P425" i="4"/>
  <c r="T425" i="4"/>
  <c r="U425" i="4"/>
  <c r="V425" i="4" s="1"/>
  <c r="B424" i="4"/>
  <c r="C424" i="4"/>
  <c r="F424" i="4"/>
  <c r="J424" i="4"/>
  <c r="M424" i="4"/>
  <c r="P424" i="4"/>
  <c r="T424" i="4"/>
  <c r="U424" i="4"/>
  <c r="V424" i="4" s="1"/>
  <c r="B423" i="4"/>
  <c r="C423" i="4"/>
  <c r="F423" i="4"/>
  <c r="J423" i="4"/>
  <c r="M423" i="4"/>
  <c r="P423" i="4"/>
  <c r="T423" i="4"/>
  <c r="U423" i="4"/>
  <c r="V423" i="4" s="1"/>
  <c r="B422" i="4"/>
  <c r="C422" i="4"/>
  <c r="F422" i="4"/>
  <c r="J422" i="4"/>
  <c r="M422" i="4"/>
  <c r="P422" i="4"/>
  <c r="T422" i="4"/>
  <c r="U422" i="4"/>
  <c r="V422" i="4" s="1"/>
  <c r="B421" i="4"/>
  <c r="C421" i="4"/>
  <c r="F421" i="4"/>
  <c r="J421" i="4"/>
  <c r="M421" i="4"/>
  <c r="P421" i="4"/>
  <c r="T421" i="4"/>
  <c r="U421" i="4"/>
  <c r="V421" i="4" s="1"/>
  <c r="B420" i="4"/>
  <c r="C420" i="4"/>
  <c r="F420" i="4"/>
  <c r="J420" i="4"/>
  <c r="M420" i="4"/>
  <c r="P420" i="4"/>
  <c r="T420" i="4"/>
  <c r="U420" i="4"/>
  <c r="V420" i="4" s="1"/>
  <c r="B419" i="4"/>
  <c r="C419" i="4"/>
  <c r="F419" i="4"/>
  <c r="J419" i="4"/>
  <c r="M419" i="4"/>
  <c r="P419" i="4"/>
  <c r="T419" i="4"/>
  <c r="U419" i="4"/>
  <c r="V419" i="4" s="1"/>
  <c r="B418" i="4"/>
  <c r="C418" i="4"/>
  <c r="F418" i="4"/>
  <c r="J418" i="4"/>
  <c r="M418" i="4"/>
  <c r="P418" i="4"/>
  <c r="T418" i="4"/>
  <c r="U418" i="4"/>
  <c r="V418" i="4" s="1"/>
  <c r="B417" i="4"/>
  <c r="C417" i="4"/>
  <c r="F417" i="4"/>
  <c r="J417" i="4"/>
  <c r="M417" i="4"/>
  <c r="P417" i="4"/>
  <c r="T417" i="4"/>
  <c r="U417" i="4"/>
  <c r="V417" i="4" s="1"/>
  <c r="B416" i="4"/>
  <c r="C416" i="4"/>
  <c r="F416" i="4"/>
  <c r="J416" i="4"/>
  <c r="M416" i="4"/>
  <c r="P416" i="4"/>
  <c r="T416" i="4"/>
  <c r="U416" i="4"/>
  <c r="V416" i="4" s="1"/>
  <c r="B415" i="4"/>
  <c r="C415" i="4"/>
  <c r="F415" i="4"/>
  <c r="J415" i="4"/>
  <c r="M415" i="4"/>
  <c r="P415" i="4"/>
  <c r="T415" i="4"/>
  <c r="U415" i="4"/>
  <c r="V415" i="4" s="1"/>
  <c r="B414" i="4"/>
  <c r="C414" i="4"/>
  <c r="F414" i="4"/>
  <c r="J414" i="4"/>
  <c r="M414" i="4"/>
  <c r="P414" i="4"/>
  <c r="T414" i="4"/>
  <c r="U414" i="4"/>
  <c r="V414" i="4" s="1"/>
  <c r="H20" i="3"/>
  <c r="K20" i="3"/>
  <c r="M20" i="3"/>
  <c r="Q20" i="3"/>
  <c r="R20" i="3"/>
  <c r="S20" i="3" s="1"/>
  <c r="B413" i="4"/>
  <c r="C413" i="4"/>
  <c r="F413" i="4"/>
  <c r="J413" i="4"/>
  <c r="M413" i="4"/>
  <c r="P413" i="4"/>
  <c r="T413" i="4"/>
  <c r="U413" i="4"/>
  <c r="V413" i="4" s="1"/>
  <c r="B412" i="4"/>
  <c r="C412" i="4"/>
  <c r="F412" i="4"/>
  <c r="J412" i="4"/>
  <c r="M412" i="4"/>
  <c r="P412" i="4"/>
  <c r="T412" i="4"/>
  <c r="U412" i="4"/>
  <c r="V412" i="4" s="1"/>
  <c r="B411" i="4"/>
  <c r="C411" i="4"/>
  <c r="F411" i="4"/>
  <c r="J411" i="4"/>
  <c r="M411" i="4"/>
  <c r="P411" i="4"/>
  <c r="T411" i="4"/>
  <c r="U411" i="4"/>
  <c r="V411" i="4" s="1"/>
  <c r="B410" i="4"/>
  <c r="C410" i="4"/>
  <c r="F410" i="4"/>
  <c r="J410" i="4"/>
  <c r="M410" i="4"/>
  <c r="P410" i="4"/>
  <c r="T410" i="4"/>
  <c r="U410" i="4"/>
  <c r="V410" i="4" s="1"/>
  <c r="B409" i="4"/>
  <c r="C409" i="4"/>
  <c r="F409" i="4"/>
  <c r="J409" i="4"/>
  <c r="M409" i="4"/>
  <c r="P409" i="4"/>
  <c r="T409" i="4"/>
  <c r="U409" i="4"/>
  <c r="V409" i="4" s="1"/>
  <c r="B408" i="4"/>
  <c r="C408" i="4"/>
  <c r="F408" i="4"/>
  <c r="J408" i="4"/>
  <c r="M408" i="4"/>
  <c r="P408" i="4"/>
  <c r="T408" i="4"/>
  <c r="U408" i="4"/>
  <c r="V408" i="4" s="1"/>
  <c r="B407" i="4"/>
  <c r="C407" i="4"/>
  <c r="F407" i="4"/>
  <c r="J407" i="4"/>
  <c r="M407" i="4"/>
  <c r="P407" i="4"/>
  <c r="T407" i="4"/>
  <c r="U407" i="4"/>
  <c r="V407" i="4" s="1"/>
  <c r="B406" i="4"/>
  <c r="C406" i="4"/>
  <c r="F406" i="4"/>
  <c r="J406" i="4"/>
  <c r="M406" i="4"/>
  <c r="P406" i="4"/>
  <c r="T406" i="4"/>
  <c r="U406" i="4"/>
  <c r="V406" i="4" s="1"/>
  <c r="B405" i="4"/>
  <c r="C405" i="4"/>
  <c r="F405" i="4"/>
  <c r="J405" i="4"/>
  <c r="M405" i="4"/>
  <c r="P405" i="4"/>
  <c r="T405" i="4"/>
  <c r="U405" i="4"/>
  <c r="V405" i="4" s="1"/>
  <c r="B404" i="4"/>
  <c r="C404" i="4"/>
  <c r="F404" i="4"/>
  <c r="J404" i="4"/>
  <c r="M404" i="4"/>
  <c r="P404" i="4"/>
  <c r="T404" i="4"/>
  <c r="U404" i="4"/>
  <c r="V404" i="4" s="1"/>
  <c r="T403" i="4"/>
  <c r="B403" i="4"/>
  <c r="C403" i="4"/>
  <c r="F403" i="4"/>
  <c r="J403" i="4"/>
  <c r="M403" i="4"/>
  <c r="P403" i="4"/>
  <c r="U403" i="4"/>
  <c r="V403" i="4" s="1"/>
  <c r="H19" i="3"/>
  <c r="K19" i="3"/>
  <c r="M19" i="3"/>
  <c r="Q19" i="3"/>
  <c r="R19" i="3"/>
  <c r="S19" i="3" s="1"/>
  <c r="J402" i="4"/>
  <c r="B402" i="4"/>
  <c r="C402" i="4"/>
  <c r="F402" i="4"/>
  <c r="M402" i="4"/>
  <c r="P402" i="4"/>
  <c r="T402" i="4"/>
  <c r="U402" i="4"/>
  <c r="V402" i="4" s="1"/>
  <c r="B401" i="4"/>
  <c r="C401" i="4"/>
  <c r="F401" i="4"/>
  <c r="J401" i="4"/>
  <c r="M401" i="4"/>
  <c r="P401" i="4"/>
  <c r="T401" i="4"/>
  <c r="U401" i="4"/>
  <c r="V401" i="4" s="1"/>
  <c r="B400" i="4"/>
  <c r="C400" i="4"/>
  <c r="F400" i="4"/>
  <c r="J400" i="4"/>
  <c r="M400" i="4"/>
  <c r="P400" i="4"/>
  <c r="T400" i="4"/>
  <c r="U400" i="4"/>
  <c r="V400" i="4" s="1"/>
  <c r="B399" i="4"/>
  <c r="C399" i="4"/>
  <c r="F399" i="4"/>
  <c r="J399" i="4"/>
  <c r="M399" i="4"/>
  <c r="P399" i="4"/>
  <c r="T399" i="4"/>
  <c r="U399" i="4"/>
  <c r="V399" i="4" s="1"/>
  <c r="B398" i="4"/>
  <c r="C398" i="4"/>
  <c r="F398" i="4"/>
  <c r="J398" i="4"/>
  <c r="M398" i="4"/>
  <c r="P398" i="4"/>
  <c r="T398" i="4"/>
  <c r="U398" i="4"/>
  <c r="V398" i="4" s="1"/>
  <c r="B397" i="4"/>
  <c r="C397" i="4"/>
  <c r="F397" i="4"/>
  <c r="J397" i="4"/>
  <c r="M397" i="4"/>
  <c r="P397" i="4"/>
  <c r="T397" i="4"/>
  <c r="U397" i="4"/>
  <c r="V397" i="4" s="1"/>
  <c r="B396" i="4"/>
  <c r="C396" i="4"/>
  <c r="F396" i="4"/>
  <c r="J396" i="4"/>
  <c r="M396" i="4"/>
  <c r="P396" i="4"/>
  <c r="T396" i="4"/>
  <c r="U396" i="4"/>
  <c r="V396" i="4" s="1"/>
  <c r="B395" i="4"/>
  <c r="C395" i="4"/>
  <c r="F395" i="4"/>
  <c r="J395" i="4"/>
  <c r="M395" i="4"/>
  <c r="P395" i="4"/>
  <c r="T395" i="4"/>
  <c r="U395" i="4"/>
  <c r="V395" i="4" s="1"/>
  <c r="B394" i="4"/>
  <c r="C394" i="4"/>
  <c r="F394" i="4"/>
  <c r="J394" i="4"/>
  <c r="M394" i="4"/>
  <c r="P394" i="4"/>
  <c r="T394" i="4"/>
  <c r="U394" i="4"/>
  <c r="V394" i="4" s="1"/>
  <c r="B393" i="4"/>
  <c r="C393" i="4"/>
  <c r="F393" i="4"/>
  <c r="J393" i="4"/>
  <c r="M393" i="4"/>
  <c r="P393" i="4"/>
  <c r="T393" i="4"/>
  <c r="U393" i="4"/>
  <c r="V393" i="4" s="1"/>
  <c r="H18" i="3"/>
  <c r="K18" i="3"/>
  <c r="M18" i="3"/>
  <c r="Q18" i="3"/>
  <c r="R18" i="3"/>
  <c r="S18" i="3" s="1"/>
  <c r="B392" i="4"/>
  <c r="C392" i="4"/>
  <c r="F392" i="4"/>
  <c r="J392" i="4"/>
  <c r="M392" i="4"/>
  <c r="P392" i="4"/>
  <c r="T392" i="4"/>
  <c r="U392" i="4"/>
  <c r="V392" i="4" s="1"/>
  <c r="B391" i="4"/>
  <c r="C391" i="4"/>
  <c r="F391" i="4"/>
  <c r="J391" i="4"/>
  <c r="M391" i="4"/>
  <c r="P391" i="4"/>
  <c r="T391" i="4"/>
  <c r="U391" i="4"/>
  <c r="V391" i="4" s="1"/>
  <c r="F390" i="4"/>
  <c r="B390" i="4"/>
  <c r="C390" i="4"/>
  <c r="J390" i="4"/>
  <c r="M390" i="4"/>
  <c r="P390" i="4"/>
  <c r="T390" i="4"/>
  <c r="U390" i="4"/>
  <c r="V390" i="4" s="1"/>
  <c r="B389" i="4"/>
  <c r="C389" i="4"/>
  <c r="F389" i="4"/>
  <c r="J389" i="4"/>
  <c r="M389" i="4"/>
  <c r="P389" i="4"/>
  <c r="T389" i="4"/>
  <c r="U389" i="4"/>
  <c r="V389" i="4" s="1"/>
  <c r="B388" i="4"/>
  <c r="C388" i="4"/>
  <c r="F388" i="4"/>
  <c r="J388" i="4"/>
  <c r="M388" i="4"/>
  <c r="P388" i="4"/>
  <c r="T388" i="4"/>
  <c r="U388" i="4"/>
  <c r="V388" i="4" s="1"/>
  <c r="B387" i="4"/>
  <c r="C387" i="4"/>
  <c r="F387" i="4"/>
  <c r="J387" i="4"/>
  <c r="M387" i="4"/>
  <c r="P387" i="4"/>
  <c r="T387" i="4"/>
  <c r="U387" i="4"/>
  <c r="V387" i="4" s="1"/>
  <c r="B386" i="4" l="1"/>
  <c r="C386" i="4"/>
  <c r="F386" i="4"/>
  <c r="J386" i="4"/>
  <c r="M386" i="4"/>
  <c r="P386" i="4"/>
  <c r="T386" i="4"/>
  <c r="U386" i="4"/>
  <c r="V386" i="4" s="1"/>
  <c r="F385" i="4"/>
  <c r="B385" i="4"/>
  <c r="C385" i="4"/>
  <c r="J385" i="4"/>
  <c r="M385" i="4"/>
  <c r="P385" i="4"/>
  <c r="T385" i="4"/>
  <c r="U385" i="4"/>
  <c r="V385" i="4" s="1"/>
  <c r="M384" i="4"/>
  <c r="B384" i="4"/>
  <c r="C384" i="4"/>
  <c r="F384" i="4"/>
  <c r="J384" i="4"/>
  <c r="P384" i="4"/>
  <c r="T384" i="4"/>
  <c r="U384" i="4"/>
  <c r="V384" i="4" s="1"/>
  <c r="B383" i="4"/>
  <c r="C383" i="4"/>
  <c r="F383" i="4"/>
  <c r="J383" i="4"/>
  <c r="M383" i="4"/>
  <c r="P383" i="4"/>
  <c r="T383" i="4"/>
  <c r="U383" i="4"/>
  <c r="V383" i="4" s="1"/>
  <c r="B382" i="4"/>
  <c r="C382" i="4"/>
  <c r="F382" i="4"/>
  <c r="J382" i="4"/>
  <c r="M382" i="4"/>
  <c r="P382" i="4"/>
  <c r="T382" i="4"/>
  <c r="U382" i="4"/>
  <c r="V382" i="4" s="1"/>
  <c r="H17" i="3"/>
  <c r="K17" i="3"/>
  <c r="M17" i="3"/>
  <c r="Q17" i="3"/>
  <c r="R17" i="3"/>
  <c r="S17" i="3" s="1"/>
  <c r="H16" i="3"/>
  <c r="K16" i="3"/>
  <c r="M16" i="3"/>
  <c r="Q16" i="3"/>
  <c r="R16" i="3"/>
  <c r="S16" i="3" s="1"/>
  <c r="B381" i="4"/>
  <c r="C381" i="4"/>
  <c r="F381" i="4"/>
  <c r="J381" i="4"/>
  <c r="M381" i="4"/>
  <c r="P381" i="4"/>
  <c r="T381" i="4"/>
  <c r="U381" i="4"/>
  <c r="V381" i="4" s="1"/>
  <c r="B380" i="4"/>
  <c r="C380" i="4"/>
  <c r="F380" i="4"/>
  <c r="J380" i="4"/>
  <c r="M380" i="4"/>
  <c r="P380" i="4"/>
  <c r="T380" i="4"/>
  <c r="U380" i="4"/>
  <c r="V380" i="4" s="1"/>
  <c r="B379" i="4"/>
  <c r="C379" i="4"/>
  <c r="F379" i="4"/>
  <c r="J379" i="4"/>
  <c r="M379" i="4"/>
  <c r="P379" i="4"/>
  <c r="T379" i="4"/>
  <c r="U379" i="4"/>
  <c r="V379" i="4" s="1"/>
  <c r="B378" i="4"/>
  <c r="C378" i="4"/>
  <c r="F378" i="4"/>
  <c r="J378" i="4"/>
  <c r="M378" i="4"/>
  <c r="P378" i="4"/>
  <c r="T378" i="4"/>
  <c r="U378" i="4"/>
  <c r="V378" i="4" s="1"/>
  <c r="B377" i="4"/>
  <c r="C377" i="4"/>
  <c r="F377" i="4"/>
  <c r="J377" i="4"/>
  <c r="M377" i="4"/>
  <c r="P377" i="4"/>
  <c r="T377" i="4"/>
  <c r="U377" i="4"/>
  <c r="V377" i="4" s="1"/>
  <c r="B376" i="4"/>
  <c r="C376" i="4"/>
  <c r="F376" i="4"/>
  <c r="J376" i="4"/>
  <c r="M376" i="4"/>
  <c r="P376" i="4"/>
  <c r="T376" i="4"/>
  <c r="U376" i="4"/>
  <c r="V376" i="4" s="1"/>
  <c r="B375" i="4"/>
  <c r="C375" i="4"/>
  <c r="F375" i="4"/>
  <c r="J375" i="4"/>
  <c r="M375" i="4"/>
  <c r="P375" i="4"/>
  <c r="T375" i="4"/>
  <c r="U375" i="4"/>
  <c r="V375" i="4" s="1"/>
  <c r="B374" i="4"/>
  <c r="C374" i="4"/>
  <c r="F374" i="4"/>
  <c r="J374" i="4"/>
  <c r="M374" i="4"/>
  <c r="P374" i="4"/>
  <c r="T374" i="4"/>
  <c r="U374" i="4"/>
  <c r="V374" i="4" s="1"/>
  <c r="B373" i="4"/>
  <c r="C373" i="4"/>
  <c r="F373" i="4"/>
  <c r="J373" i="4"/>
  <c r="M373" i="4"/>
  <c r="P373" i="4"/>
  <c r="T373" i="4"/>
  <c r="U373" i="4"/>
  <c r="V373" i="4" s="1"/>
  <c r="B372" i="4"/>
  <c r="C372" i="4"/>
  <c r="F372" i="4"/>
  <c r="J372" i="4"/>
  <c r="M372" i="4"/>
  <c r="P372" i="4"/>
  <c r="T372" i="4"/>
  <c r="U372" i="4"/>
  <c r="V372" i="4" s="1"/>
  <c r="B371" i="4"/>
  <c r="C371" i="4"/>
  <c r="F371" i="4"/>
  <c r="J371" i="4"/>
  <c r="M371" i="4"/>
  <c r="P371" i="4"/>
  <c r="T371" i="4"/>
  <c r="U371" i="4"/>
  <c r="V371" i="4" s="1"/>
  <c r="B370" i="4"/>
  <c r="C370" i="4"/>
  <c r="F370" i="4"/>
  <c r="J370" i="4"/>
  <c r="M370" i="4"/>
  <c r="P370" i="4"/>
  <c r="T370" i="4"/>
  <c r="U370" i="4"/>
  <c r="V370" i="4" s="1"/>
  <c r="B369" i="4"/>
  <c r="C369" i="4"/>
  <c r="F369" i="4"/>
  <c r="J369" i="4"/>
  <c r="M369" i="4"/>
  <c r="P369" i="4"/>
  <c r="T369" i="4"/>
  <c r="U369" i="4"/>
  <c r="V369" i="4" s="1"/>
  <c r="B368" i="4"/>
  <c r="C368" i="4"/>
  <c r="F368" i="4"/>
  <c r="J368" i="4"/>
  <c r="M368" i="4"/>
  <c r="P368" i="4"/>
  <c r="T368" i="4"/>
  <c r="U368" i="4"/>
  <c r="V368" i="4" s="1"/>
  <c r="B367" i="4"/>
  <c r="C367" i="4"/>
  <c r="F367" i="4"/>
  <c r="J367" i="4"/>
  <c r="M367" i="4"/>
  <c r="P367" i="4"/>
  <c r="T367" i="4"/>
  <c r="U367" i="4"/>
  <c r="V367" i="4" s="1"/>
  <c r="B366" i="4"/>
  <c r="C366" i="4"/>
  <c r="F366" i="4"/>
  <c r="J366" i="4"/>
  <c r="M366" i="4"/>
  <c r="P366" i="4"/>
  <c r="T366" i="4"/>
  <c r="U366" i="4"/>
  <c r="V366" i="4" s="1"/>
  <c r="B365" i="4"/>
  <c r="C365" i="4"/>
  <c r="F365" i="4"/>
  <c r="J365" i="4"/>
  <c r="M365" i="4"/>
  <c r="P365" i="4"/>
  <c r="T365" i="4"/>
  <c r="U365" i="4"/>
  <c r="V365" i="4" s="1"/>
  <c r="B364" i="4"/>
  <c r="C364" i="4"/>
  <c r="F364" i="4"/>
  <c r="J364" i="4"/>
  <c r="M364" i="4"/>
  <c r="P364" i="4"/>
  <c r="T364" i="4"/>
  <c r="U364" i="4"/>
  <c r="V364" i="4" s="1"/>
  <c r="B363" i="4"/>
  <c r="C363" i="4"/>
  <c r="F363" i="4"/>
  <c r="J363" i="4"/>
  <c r="M363" i="4"/>
  <c r="P363" i="4"/>
  <c r="T363" i="4"/>
  <c r="U363" i="4"/>
  <c r="V363" i="4" s="1"/>
  <c r="B362" i="4"/>
  <c r="C362" i="4"/>
  <c r="F362" i="4"/>
  <c r="J362" i="4"/>
  <c r="M362" i="4"/>
  <c r="P362" i="4"/>
  <c r="T362" i="4"/>
  <c r="U362" i="4"/>
  <c r="V362" i="4" s="1"/>
  <c r="B361" i="4"/>
  <c r="C361" i="4"/>
  <c r="F361" i="4"/>
  <c r="J361" i="4"/>
  <c r="M361" i="4"/>
  <c r="P361" i="4"/>
  <c r="T361" i="4"/>
  <c r="U361" i="4"/>
  <c r="V361" i="4" s="1"/>
  <c r="B360" i="4"/>
  <c r="C360" i="4"/>
  <c r="F360" i="4"/>
  <c r="J360" i="4"/>
  <c r="M360" i="4"/>
  <c r="P360" i="4"/>
  <c r="T360" i="4"/>
  <c r="U360" i="4"/>
  <c r="V360" i="4" s="1"/>
  <c r="B359" i="4"/>
  <c r="C359" i="4"/>
  <c r="F359" i="4"/>
  <c r="J359" i="4"/>
  <c r="M359" i="4"/>
  <c r="P359" i="4"/>
  <c r="T359" i="4"/>
  <c r="U359" i="4"/>
  <c r="V359" i="4" s="1"/>
  <c r="B358" i="4"/>
  <c r="C358" i="4"/>
  <c r="F358" i="4"/>
  <c r="J358" i="4"/>
  <c r="M358" i="4"/>
  <c r="P358" i="4"/>
  <c r="T358" i="4"/>
  <c r="U358" i="4"/>
  <c r="V358" i="4" s="1"/>
  <c r="B357" i="4"/>
  <c r="C357" i="4"/>
  <c r="F357" i="4"/>
  <c r="J357" i="4"/>
  <c r="M357" i="4"/>
  <c r="P357" i="4"/>
  <c r="T357" i="4"/>
  <c r="U357" i="4"/>
  <c r="V357" i="4" s="1"/>
  <c r="B356" i="4"/>
  <c r="C356" i="4"/>
  <c r="F356" i="4"/>
  <c r="J356" i="4"/>
  <c r="M356" i="4"/>
  <c r="P356" i="4"/>
  <c r="T356" i="4"/>
  <c r="U356" i="4"/>
  <c r="V356" i="4" s="1"/>
  <c r="B355" i="4"/>
  <c r="C355" i="4"/>
  <c r="F355" i="4"/>
  <c r="J355" i="4"/>
  <c r="M355" i="4"/>
  <c r="P355" i="4"/>
  <c r="T355" i="4"/>
  <c r="U355" i="4"/>
  <c r="V355" i="4" s="1"/>
  <c r="H15" i="3"/>
  <c r="K15" i="3"/>
  <c r="M15" i="3"/>
  <c r="Q15" i="3"/>
  <c r="R15" i="3"/>
  <c r="S15" i="3" s="1"/>
  <c r="B354" i="4"/>
  <c r="C354" i="4"/>
  <c r="F354" i="4"/>
  <c r="J354" i="4"/>
  <c r="M354" i="4"/>
  <c r="P354" i="4"/>
  <c r="T354" i="4"/>
  <c r="U354" i="4"/>
  <c r="V354" i="4" s="1"/>
  <c r="B353" i="4"/>
  <c r="C353" i="4"/>
  <c r="F353" i="4"/>
  <c r="J353" i="4"/>
  <c r="M353" i="4"/>
  <c r="P353" i="4"/>
  <c r="T353" i="4"/>
  <c r="U353" i="4"/>
  <c r="V353" i="4" s="1"/>
  <c r="B352" i="4"/>
  <c r="C352" i="4"/>
  <c r="F352" i="4"/>
  <c r="J352" i="4"/>
  <c r="M352" i="4"/>
  <c r="P352" i="4"/>
  <c r="T352" i="4"/>
  <c r="U352" i="4"/>
  <c r="V352" i="4" s="1"/>
  <c r="B351" i="4"/>
  <c r="C351" i="4"/>
  <c r="F351" i="4"/>
  <c r="J351" i="4"/>
  <c r="M351" i="4"/>
  <c r="P351" i="4"/>
  <c r="T351" i="4"/>
  <c r="U351" i="4"/>
  <c r="V351" i="4" s="1"/>
  <c r="B350" i="4"/>
  <c r="C350" i="4"/>
  <c r="F350" i="4"/>
  <c r="J350" i="4"/>
  <c r="M350" i="4"/>
  <c r="P350" i="4"/>
  <c r="T350" i="4"/>
  <c r="U350" i="4"/>
  <c r="V350" i="4" s="1"/>
  <c r="B349" i="4"/>
  <c r="C349" i="4"/>
  <c r="F349" i="4"/>
  <c r="J349" i="4"/>
  <c r="M349" i="4"/>
  <c r="P349" i="4"/>
  <c r="T349" i="4"/>
  <c r="U349" i="4"/>
  <c r="V349" i="4" s="1"/>
  <c r="B348" i="4"/>
  <c r="C348" i="4"/>
  <c r="F348" i="4"/>
  <c r="J348" i="4"/>
  <c r="M348" i="4"/>
  <c r="P348" i="4"/>
  <c r="T348" i="4"/>
  <c r="U348" i="4"/>
  <c r="V348" i="4" s="1"/>
  <c r="B347" i="4"/>
  <c r="C347" i="4"/>
  <c r="F347" i="4"/>
  <c r="J347" i="4"/>
  <c r="M347" i="4"/>
  <c r="P347" i="4"/>
  <c r="T347" i="4"/>
  <c r="U347" i="4"/>
  <c r="V347" i="4" s="1"/>
  <c r="B346" i="4"/>
  <c r="C346" i="4"/>
  <c r="F346" i="4"/>
  <c r="J346" i="4"/>
  <c r="M346" i="4"/>
  <c r="P346" i="4"/>
  <c r="T346" i="4"/>
  <c r="U346" i="4"/>
  <c r="V346" i="4" s="1"/>
  <c r="B345" i="4"/>
  <c r="C345" i="4"/>
  <c r="F345" i="4"/>
  <c r="J345" i="4"/>
  <c r="M345" i="4"/>
  <c r="P345" i="4"/>
  <c r="T345" i="4"/>
  <c r="U345" i="4"/>
  <c r="V345" i="4" s="1"/>
  <c r="B344" i="4"/>
  <c r="C344" i="4"/>
  <c r="F344" i="4"/>
  <c r="J344" i="4"/>
  <c r="M344" i="4"/>
  <c r="P344" i="4"/>
  <c r="T344" i="4"/>
  <c r="U344" i="4"/>
  <c r="V344" i="4" s="1"/>
  <c r="H14" i="3"/>
  <c r="K14" i="3"/>
  <c r="M14" i="3"/>
  <c r="Q14" i="3"/>
  <c r="R14" i="3"/>
  <c r="S14" i="3" s="1"/>
  <c r="B343" i="4"/>
  <c r="C343" i="4"/>
  <c r="F343" i="4"/>
  <c r="J343" i="4"/>
  <c r="M343" i="4"/>
  <c r="P343" i="4"/>
  <c r="T343" i="4"/>
  <c r="U343" i="4"/>
  <c r="V343" i="4" s="1"/>
  <c r="B342" i="4"/>
  <c r="C342" i="4"/>
  <c r="F342" i="4"/>
  <c r="J342" i="4"/>
  <c r="M342" i="4"/>
  <c r="P342" i="4"/>
  <c r="T342" i="4"/>
  <c r="U342" i="4"/>
  <c r="V342" i="4" s="1"/>
  <c r="B341" i="4"/>
  <c r="C341" i="4"/>
  <c r="F341" i="4"/>
  <c r="J341" i="4"/>
  <c r="M341" i="4"/>
  <c r="P341" i="4"/>
  <c r="T341" i="4"/>
  <c r="U341" i="4"/>
  <c r="V341" i="4" s="1"/>
  <c r="B340" i="4"/>
  <c r="C340" i="4"/>
  <c r="F340" i="4"/>
  <c r="J340" i="4"/>
  <c r="M340" i="4"/>
  <c r="P340" i="4"/>
  <c r="T340" i="4"/>
  <c r="U340" i="4"/>
  <c r="V340" i="4" s="1"/>
  <c r="B339" i="4"/>
  <c r="C339" i="4"/>
  <c r="F339" i="4"/>
  <c r="J339" i="4"/>
  <c r="M339" i="4"/>
  <c r="P339" i="4"/>
  <c r="T339" i="4"/>
  <c r="U339" i="4"/>
  <c r="V339" i="4" s="1"/>
  <c r="B338" i="4"/>
  <c r="C338" i="4"/>
  <c r="F338" i="4"/>
  <c r="J338" i="4"/>
  <c r="M338" i="4"/>
  <c r="P338" i="4"/>
  <c r="T338" i="4"/>
  <c r="U338" i="4"/>
  <c r="V338" i="4" s="1"/>
  <c r="B337" i="4"/>
  <c r="C337" i="4"/>
  <c r="F337" i="4"/>
  <c r="J337" i="4"/>
  <c r="M337" i="4"/>
  <c r="P337" i="4"/>
  <c r="T337" i="4"/>
  <c r="U337" i="4"/>
  <c r="V337" i="4" s="1"/>
  <c r="B336" i="4"/>
  <c r="C336" i="4"/>
  <c r="F336" i="4"/>
  <c r="J336" i="4"/>
  <c r="M336" i="4"/>
  <c r="P336" i="4"/>
  <c r="T336" i="4"/>
  <c r="U336" i="4"/>
  <c r="V336" i="4" s="1"/>
  <c r="B335" i="4"/>
  <c r="C335" i="4"/>
  <c r="F335" i="4"/>
  <c r="J335" i="4"/>
  <c r="M335" i="4"/>
  <c r="P335" i="4"/>
  <c r="T335" i="4"/>
  <c r="U335" i="4"/>
  <c r="V335" i="4" s="1"/>
  <c r="B334" i="4"/>
  <c r="C334" i="4"/>
  <c r="F334" i="4"/>
  <c r="J334" i="4"/>
  <c r="M334" i="4"/>
  <c r="P334" i="4"/>
  <c r="T334" i="4"/>
  <c r="U334" i="4"/>
  <c r="V334" i="4" s="1"/>
  <c r="B333" i="4"/>
  <c r="C333" i="4"/>
  <c r="F333" i="4"/>
  <c r="J333" i="4"/>
  <c r="M333" i="4"/>
  <c r="P333" i="4"/>
  <c r="T333" i="4"/>
  <c r="U333" i="4"/>
  <c r="V333" i="4" s="1"/>
  <c r="H13" i="3"/>
  <c r="K13" i="3"/>
  <c r="M13" i="3"/>
  <c r="Q13" i="3"/>
  <c r="R13" i="3"/>
  <c r="S13" i="3" s="1"/>
  <c r="B332" i="4"/>
  <c r="C332" i="4"/>
  <c r="F332" i="4"/>
  <c r="J332" i="4"/>
  <c r="M332" i="4"/>
  <c r="P332" i="4"/>
  <c r="T332" i="4"/>
  <c r="U332" i="4"/>
  <c r="V332" i="4" s="1"/>
  <c r="B331" i="4"/>
  <c r="C331" i="4"/>
  <c r="F331" i="4"/>
  <c r="J331" i="4"/>
  <c r="M331" i="4"/>
  <c r="P331" i="4"/>
  <c r="T331" i="4"/>
  <c r="U331" i="4"/>
  <c r="V331" i="4" s="1"/>
  <c r="B330" i="4"/>
  <c r="C330" i="4"/>
  <c r="F330" i="4"/>
  <c r="J330" i="4"/>
  <c r="M330" i="4"/>
  <c r="P330" i="4"/>
  <c r="T330" i="4"/>
  <c r="U330" i="4"/>
  <c r="V330" i="4" s="1"/>
  <c r="B329" i="4"/>
  <c r="C329" i="4"/>
  <c r="F329" i="4"/>
  <c r="J329" i="4"/>
  <c r="M329" i="4"/>
  <c r="P329" i="4"/>
  <c r="T329" i="4"/>
  <c r="U329" i="4"/>
  <c r="V329" i="4" s="1"/>
  <c r="F328" i="4"/>
  <c r="B328" i="4"/>
  <c r="C328" i="4"/>
  <c r="J328" i="4"/>
  <c r="M328" i="4"/>
  <c r="P328" i="4"/>
  <c r="T328" i="4"/>
  <c r="U328" i="4"/>
  <c r="V328" i="4" s="1"/>
  <c r="M327" i="4"/>
  <c r="B327" i="4"/>
  <c r="C327" i="4"/>
  <c r="F327" i="4"/>
  <c r="J327" i="4"/>
  <c r="P327" i="4"/>
  <c r="T327" i="4"/>
  <c r="U327" i="4"/>
  <c r="V327" i="4" s="1"/>
  <c r="B326" i="4"/>
  <c r="C326" i="4"/>
  <c r="F326" i="4"/>
  <c r="J326" i="4"/>
  <c r="M326" i="4"/>
  <c r="P326" i="4"/>
  <c r="T326" i="4"/>
  <c r="U326" i="4"/>
  <c r="V326" i="4" s="1"/>
  <c r="B325" i="4"/>
  <c r="C325" i="4"/>
  <c r="F325" i="4"/>
  <c r="J325" i="4"/>
  <c r="M325" i="4"/>
  <c r="P325" i="4"/>
  <c r="T325" i="4"/>
  <c r="U325" i="4"/>
  <c r="V325" i="4" s="1"/>
  <c r="B324" i="4"/>
  <c r="C324" i="4"/>
  <c r="F324" i="4"/>
  <c r="J324" i="4"/>
  <c r="M324" i="4"/>
  <c r="P324" i="4"/>
  <c r="T324" i="4"/>
  <c r="U324" i="4"/>
  <c r="V324" i="4" s="1"/>
  <c r="B323" i="4"/>
  <c r="C323" i="4"/>
  <c r="F323" i="4"/>
  <c r="J323" i="4"/>
  <c r="M323" i="4"/>
  <c r="P323" i="4"/>
  <c r="T323" i="4"/>
  <c r="U323" i="4"/>
  <c r="V323" i="4" s="1"/>
  <c r="K2" i="3"/>
  <c r="K3" i="3"/>
  <c r="K4" i="3"/>
  <c r="K5" i="3"/>
  <c r="K6" i="3"/>
  <c r="K7" i="3"/>
  <c r="K8" i="3"/>
  <c r="K9" i="3"/>
  <c r="K10" i="3"/>
  <c r="K11" i="3"/>
  <c r="K12" i="3"/>
  <c r="H12" i="3"/>
  <c r="M12" i="3"/>
  <c r="Q12" i="3"/>
  <c r="R12" i="3"/>
  <c r="S12" i="3" s="1"/>
  <c r="B322" i="4"/>
  <c r="C322" i="4"/>
  <c r="F322" i="4"/>
  <c r="J322" i="4"/>
  <c r="M322" i="4"/>
  <c r="P322" i="4"/>
  <c r="T322" i="4"/>
  <c r="U322" i="4"/>
  <c r="V322" i="4" s="1"/>
  <c r="B321" i="4"/>
  <c r="C321" i="4"/>
  <c r="F321" i="4"/>
  <c r="J321" i="4"/>
  <c r="M321" i="4"/>
  <c r="P321" i="4"/>
  <c r="T321" i="4"/>
  <c r="U321" i="4"/>
  <c r="V321" i="4" s="1"/>
  <c r="B320" i="4"/>
  <c r="C320" i="4"/>
  <c r="F320" i="4"/>
  <c r="J320" i="4"/>
  <c r="M320" i="4"/>
  <c r="P320" i="4"/>
  <c r="T320" i="4"/>
  <c r="U320" i="4"/>
  <c r="V320" i="4" s="1"/>
  <c r="B319" i="4"/>
  <c r="C319" i="4"/>
  <c r="F319" i="4"/>
  <c r="J319" i="4"/>
  <c r="M319" i="4"/>
  <c r="P319" i="4"/>
  <c r="T319" i="4"/>
  <c r="U319" i="4"/>
  <c r="V319" i="4" s="1"/>
  <c r="B318" i="4"/>
  <c r="C318" i="4"/>
  <c r="F318" i="4"/>
  <c r="J318" i="4"/>
  <c r="M318" i="4"/>
  <c r="P318" i="4"/>
  <c r="T318" i="4"/>
  <c r="U318" i="4"/>
  <c r="V318" i="4" s="1"/>
  <c r="B317" i="4"/>
  <c r="C317" i="4"/>
  <c r="F317" i="4"/>
  <c r="J317" i="4"/>
  <c r="M317" i="4"/>
  <c r="P317" i="4"/>
  <c r="T317" i="4"/>
  <c r="U317" i="4"/>
  <c r="V317" i="4" s="1"/>
  <c r="B316" i="4"/>
  <c r="C316" i="4"/>
  <c r="F316" i="4"/>
  <c r="J316" i="4"/>
  <c r="M316" i="4"/>
  <c r="P316" i="4"/>
  <c r="T316" i="4"/>
  <c r="U316" i="4"/>
  <c r="V316" i="4" s="1"/>
  <c r="B315" i="4"/>
  <c r="C315" i="4"/>
  <c r="F315" i="4"/>
  <c r="J315" i="4"/>
  <c r="M315" i="4"/>
  <c r="P315" i="4"/>
  <c r="T315" i="4"/>
  <c r="U315" i="4"/>
  <c r="V315" i="4" s="1"/>
  <c r="B314" i="4"/>
  <c r="C314" i="4"/>
  <c r="F314" i="4"/>
  <c r="J314" i="4"/>
  <c r="M314" i="4"/>
  <c r="P314" i="4"/>
  <c r="T314" i="4"/>
  <c r="U314" i="4"/>
  <c r="V314" i="4" s="1"/>
  <c r="B313" i="4"/>
  <c r="C313" i="4"/>
  <c r="F313" i="4"/>
  <c r="J313" i="4"/>
  <c r="M313" i="4"/>
  <c r="P313" i="4"/>
  <c r="T313" i="4"/>
  <c r="U313" i="4"/>
  <c r="V313" i="4" s="1"/>
  <c r="B312" i="4"/>
  <c r="C312" i="4"/>
  <c r="F312" i="4"/>
  <c r="J312" i="4"/>
  <c r="M312" i="4"/>
  <c r="P312" i="4"/>
  <c r="T312" i="4"/>
  <c r="U312" i="4"/>
  <c r="V312" i="4" s="1"/>
  <c r="B311" i="4"/>
  <c r="C311" i="4"/>
  <c r="F311" i="4"/>
  <c r="J311" i="4"/>
  <c r="M311" i="4"/>
  <c r="P311" i="4"/>
  <c r="T311" i="4"/>
  <c r="U311" i="4"/>
  <c r="V311" i="4" s="1"/>
  <c r="B310" i="4"/>
  <c r="C310" i="4"/>
  <c r="F310" i="4"/>
  <c r="J310" i="4"/>
  <c r="M310" i="4"/>
  <c r="P310" i="4"/>
  <c r="T310" i="4"/>
  <c r="U310" i="4"/>
  <c r="V310" i="4" s="1"/>
  <c r="B309" i="4"/>
  <c r="C309" i="4"/>
  <c r="F309" i="4"/>
  <c r="J309" i="4"/>
  <c r="M309" i="4"/>
  <c r="P309" i="4"/>
  <c r="T309" i="4"/>
  <c r="U309" i="4"/>
  <c r="V309" i="4" s="1"/>
  <c r="B308" i="4"/>
  <c r="C308" i="4"/>
  <c r="F308" i="4"/>
  <c r="J308" i="4"/>
  <c r="M308" i="4"/>
  <c r="P308" i="4"/>
  <c r="T308" i="4"/>
  <c r="U308" i="4"/>
  <c r="V308" i="4" s="1"/>
  <c r="B307" i="4"/>
  <c r="C307" i="4"/>
  <c r="F307" i="4"/>
  <c r="J307" i="4"/>
  <c r="M307" i="4"/>
  <c r="P307" i="4"/>
  <c r="T307" i="4"/>
  <c r="U307" i="4"/>
  <c r="V307" i="4" s="1"/>
  <c r="B306" i="4"/>
  <c r="C306" i="4"/>
  <c r="F306" i="4"/>
  <c r="J306" i="4"/>
  <c r="M306" i="4"/>
  <c r="P306" i="4"/>
  <c r="T306" i="4"/>
  <c r="U306" i="4"/>
  <c r="V306" i="4" s="1"/>
  <c r="B305" i="4"/>
  <c r="C305" i="4"/>
  <c r="F305" i="4"/>
  <c r="J305" i="4"/>
  <c r="M305" i="4"/>
  <c r="P305" i="4"/>
  <c r="T305" i="4"/>
  <c r="U305" i="4"/>
  <c r="V305" i="4" s="1"/>
  <c r="B304" i="4"/>
  <c r="C304" i="4"/>
  <c r="F304" i="4"/>
  <c r="J304" i="4"/>
  <c r="M304" i="4"/>
  <c r="P304" i="4"/>
  <c r="T304" i="4"/>
  <c r="U304" i="4"/>
  <c r="V304" i="4" s="1"/>
  <c r="B303" i="4"/>
  <c r="C303" i="4"/>
  <c r="F303" i="4"/>
  <c r="J303" i="4"/>
  <c r="M303" i="4"/>
  <c r="P303" i="4"/>
  <c r="T303" i="4"/>
  <c r="U303" i="4"/>
  <c r="V303" i="4" s="1"/>
  <c r="B302" i="4"/>
  <c r="C302" i="4"/>
  <c r="F302" i="4"/>
  <c r="J302" i="4"/>
  <c r="M302" i="4"/>
  <c r="P302" i="4"/>
  <c r="T302" i="4"/>
  <c r="U302" i="4"/>
  <c r="V302" i="4" s="1"/>
  <c r="B301" i="4"/>
  <c r="C301" i="4"/>
  <c r="F301" i="4"/>
  <c r="J301" i="4"/>
  <c r="M301" i="4"/>
  <c r="P301" i="4"/>
  <c r="T301" i="4"/>
  <c r="U301" i="4"/>
  <c r="V301" i="4" s="1"/>
  <c r="H11" i="3"/>
  <c r="M11" i="3"/>
  <c r="Q11" i="3"/>
  <c r="R11" i="3"/>
  <c r="S11" i="3" s="1"/>
  <c r="B300" i="4"/>
  <c r="C300" i="4"/>
  <c r="F300" i="4"/>
  <c r="J300" i="4"/>
  <c r="M300" i="4"/>
  <c r="P300" i="4"/>
  <c r="T300" i="4"/>
  <c r="U300" i="4"/>
  <c r="V300" i="4" s="1"/>
  <c r="B299" i="4"/>
  <c r="C299" i="4"/>
  <c r="F299" i="4"/>
  <c r="J299" i="4"/>
  <c r="M299" i="4"/>
  <c r="P299" i="4"/>
  <c r="T299" i="4"/>
  <c r="U299" i="4"/>
  <c r="V299" i="4" s="1"/>
  <c r="B298" i="4"/>
  <c r="C298" i="4"/>
  <c r="F298" i="4"/>
  <c r="J298" i="4"/>
  <c r="M298" i="4"/>
  <c r="P298" i="4"/>
  <c r="T298" i="4"/>
  <c r="U298" i="4"/>
  <c r="V298" i="4" s="1"/>
  <c r="F297" i="4"/>
  <c r="B297" i="4"/>
  <c r="C297" i="4"/>
  <c r="J297" i="4"/>
  <c r="M297" i="4"/>
  <c r="P297" i="4"/>
  <c r="T297" i="4"/>
  <c r="U297" i="4"/>
  <c r="V297" i="4" s="1"/>
  <c r="J296" i="4"/>
  <c r="B296" i="4"/>
  <c r="C296" i="4"/>
  <c r="F296" i="4"/>
  <c r="M296" i="4"/>
  <c r="P296" i="4"/>
  <c r="T296" i="4"/>
  <c r="U296" i="4"/>
  <c r="V296" i="4" s="1"/>
  <c r="B295" i="4"/>
  <c r="C295" i="4"/>
  <c r="F295" i="4"/>
  <c r="J295" i="4"/>
  <c r="M295" i="4"/>
  <c r="P295" i="4"/>
  <c r="T295" i="4"/>
  <c r="U295" i="4"/>
  <c r="V295" i="4" s="1"/>
  <c r="B294" i="4"/>
  <c r="C294" i="4"/>
  <c r="F294" i="4"/>
  <c r="J294" i="4"/>
  <c r="M294" i="4"/>
  <c r="P294" i="4"/>
  <c r="T294" i="4"/>
  <c r="U294" i="4"/>
  <c r="V294" i="4" s="1"/>
  <c r="B293" i="4"/>
  <c r="C293" i="4"/>
  <c r="F293" i="4"/>
  <c r="J293" i="4"/>
  <c r="M293" i="4"/>
  <c r="P293" i="4"/>
  <c r="T293" i="4"/>
  <c r="U293" i="4"/>
  <c r="V293" i="4" s="1"/>
  <c r="B292" i="4"/>
  <c r="C292" i="4"/>
  <c r="F292" i="4"/>
  <c r="J292" i="4"/>
  <c r="M292" i="4"/>
  <c r="P292" i="4"/>
  <c r="T292" i="4"/>
  <c r="U292" i="4"/>
  <c r="V292" i="4" s="1"/>
  <c r="B291" i="4"/>
  <c r="C291" i="4"/>
  <c r="F291" i="4"/>
  <c r="J291" i="4"/>
  <c r="M291" i="4"/>
  <c r="P291" i="4"/>
  <c r="T291" i="4"/>
  <c r="U291" i="4"/>
  <c r="V291" i="4" s="1"/>
  <c r="B290" i="4"/>
  <c r="C290" i="4"/>
  <c r="F290" i="4"/>
  <c r="J290" i="4"/>
  <c r="M290" i="4"/>
  <c r="P290" i="4"/>
  <c r="T290" i="4"/>
  <c r="U290" i="4"/>
  <c r="V290" i="4" s="1"/>
  <c r="B289" i="4"/>
  <c r="C289" i="4"/>
  <c r="F289" i="4"/>
  <c r="J289" i="4"/>
  <c r="M289" i="4"/>
  <c r="P289" i="4"/>
  <c r="T289" i="4"/>
  <c r="U289" i="4"/>
  <c r="V289" i="4" s="1"/>
  <c r="B288" i="4"/>
  <c r="C288" i="4"/>
  <c r="F288" i="4"/>
  <c r="J288" i="4"/>
  <c r="M288" i="4"/>
  <c r="P288" i="4"/>
  <c r="T288" i="4"/>
  <c r="U288" i="4"/>
  <c r="V288" i="4" s="1"/>
  <c r="B287" i="4"/>
  <c r="C287" i="4"/>
  <c r="F287" i="4"/>
  <c r="J287" i="4"/>
  <c r="M287" i="4"/>
  <c r="P287" i="4"/>
  <c r="T287" i="4"/>
  <c r="U287" i="4"/>
  <c r="V287" i="4" s="1"/>
  <c r="B286" i="4"/>
  <c r="C286" i="4"/>
  <c r="F286" i="4"/>
  <c r="J286" i="4"/>
  <c r="M286" i="4"/>
  <c r="P286" i="4"/>
  <c r="T286" i="4"/>
  <c r="U286" i="4"/>
  <c r="V286" i="4" s="1"/>
  <c r="B285" i="4"/>
  <c r="C285" i="4"/>
  <c r="F285" i="4"/>
  <c r="J285" i="4"/>
  <c r="M285" i="4"/>
  <c r="P285" i="4"/>
  <c r="T285" i="4"/>
  <c r="U285" i="4"/>
  <c r="V285" i="4" s="1"/>
  <c r="B284" i="4"/>
  <c r="C284" i="4"/>
  <c r="F284" i="4"/>
  <c r="J284" i="4"/>
  <c r="M284" i="4"/>
  <c r="P284" i="4"/>
  <c r="T284" i="4"/>
  <c r="U284" i="4"/>
  <c r="V284" i="4" s="1"/>
  <c r="B283" i="4"/>
  <c r="C283" i="4"/>
  <c r="F283" i="4"/>
  <c r="J283" i="4"/>
  <c r="M283" i="4"/>
  <c r="P283" i="4"/>
  <c r="T283" i="4"/>
  <c r="U283" i="4"/>
  <c r="V283" i="4" s="1"/>
  <c r="B282" i="4"/>
  <c r="C282" i="4"/>
  <c r="F282" i="4"/>
  <c r="J282" i="4"/>
  <c r="M282" i="4"/>
  <c r="P282" i="4"/>
  <c r="T282" i="4"/>
  <c r="U282" i="4"/>
  <c r="V282" i="4" s="1"/>
  <c r="B281" i="4"/>
  <c r="C281" i="4"/>
  <c r="F281" i="4"/>
  <c r="J281" i="4"/>
  <c r="M281" i="4"/>
  <c r="P281" i="4"/>
  <c r="T281" i="4"/>
  <c r="U281" i="4"/>
  <c r="V281" i="4" s="1"/>
  <c r="B280" i="4"/>
  <c r="C280" i="4"/>
  <c r="F280" i="4"/>
  <c r="J280" i="4"/>
  <c r="M280" i="4"/>
  <c r="P280" i="4"/>
  <c r="T280" i="4"/>
  <c r="U280" i="4"/>
  <c r="V280" i="4" s="1"/>
  <c r="B279" i="4"/>
  <c r="C279" i="4"/>
  <c r="F279" i="4"/>
  <c r="J279" i="4"/>
  <c r="M279" i="4"/>
  <c r="P279" i="4"/>
  <c r="T279" i="4"/>
  <c r="U279" i="4"/>
  <c r="V279" i="4" s="1"/>
  <c r="B278" i="4"/>
  <c r="C278" i="4"/>
  <c r="F278" i="4"/>
  <c r="J278" i="4"/>
  <c r="M278" i="4"/>
  <c r="P278" i="4"/>
  <c r="T278" i="4"/>
  <c r="U278" i="4"/>
  <c r="V278" i="4" s="1"/>
  <c r="B277" i="4"/>
  <c r="C277" i="4"/>
  <c r="F277" i="4"/>
  <c r="J277" i="4"/>
  <c r="M277" i="4"/>
  <c r="P277" i="4"/>
  <c r="T277" i="4"/>
  <c r="U277" i="4"/>
  <c r="V277" i="4" s="1"/>
  <c r="B276" i="4"/>
  <c r="C276" i="4"/>
  <c r="F276" i="4"/>
  <c r="J276" i="4"/>
  <c r="M276" i="4"/>
  <c r="P276" i="4"/>
  <c r="T276" i="4"/>
  <c r="U276" i="4"/>
  <c r="V276" i="4" s="1"/>
  <c r="B275" i="4"/>
  <c r="C275" i="4"/>
  <c r="F275" i="4"/>
  <c r="J275" i="4"/>
  <c r="M275" i="4"/>
  <c r="P275" i="4"/>
  <c r="T275" i="4"/>
  <c r="U275" i="4"/>
  <c r="V275" i="4" s="1"/>
  <c r="B274" i="4"/>
  <c r="C274" i="4"/>
  <c r="F274" i="4"/>
  <c r="J274" i="4"/>
  <c r="M274" i="4"/>
  <c r="P274" i="4"/>
  <c r="T274" i="4"/>
  <c r="U274" i="4"/>
  <c r="V274" i="4" s="1"/>
  <c r="B273" i="4"/>
  <c r="C273" i="4"/>
  <c r="F273" i="4"/>
  <c r="J273" i="4"/>
  <c r="M273" i="4"/>
  <c r="P273" i="4"/>
  <c r="T273" i="4"/>
  <c r="U273" i="4"/>
  <c r="V273" i="4" s="1"/>
  <c r="B272" i="4"/>
  <c r="C272" i="4"/>
  <c r="F272" i="4"/>
  <c r="J272" i="4"/>
  <c r="M272" i="4"/>
  <c r="P272" i="4"/>
  <c r="T272" i="4"/>
  <c r="U272" i="4"/>
  <c r="V272" i="4" s="1"/>
  <c r="B271" i="4"/>
  <c r="C271" i="4"/>
  <c r="F271" i="4"/>
  <c r="J271" i="4"/>
  <c r="M271" i="4"/>
  <c r="P271" i="4"/>
  <c r="T271" i="4"/>
  <c r="U271" i="4"/>
  <c r="V271" i="4" s="1"/>
  <c r="B270" i="4"/>
  <c r="C270" i="4"/>
  <c r="F270" i="4"/>
  <c r="J270" i="4"/>
  <c r="M270" i="4"/>
  <c r="P270" i="4"/>
  <c r="T270" i="4"/>
  <c r="U270" i="4"/>
  <c r="V270" i="4" s="1"/>
  <c r="B269" i="4"/>
  <c r="C269" i="4"/>
  <c r="F269" i="4"/>
  <c r="J269" i="4"/>
  <c r="M269" i="4"/>
  <c r="P269" i="4"/>
  <c r="T269" i="4"/>
  <c r="U269" i="4"/>
  <c r="V269" i="4" s="1"/>
  <c r="B268" i="4"/>
  <c r="C268" i="4"/>
  <c r="F268" i="4"/>
  <c r="J268" i="4"/>
  <c r="M268" i="4"/>
  <c r="P268" i="4"/>
  <c r="T268" i="4"/>
  <c r="U268" i="4"/>
  <c r="V268" i="4" s="1"/>
  <c r="B267" i="4"/>
  <c r="C267" i="4"/>
  <c r="F267" i="4"/>
  <c r="J267" i="4"/>
  <c r="M267" i="4"/>
  <c r="P267" i="4"/>
  <c r="T267" i="4"/>
  <c r="U267" i="4"/>
  <c r="V267" i="4" s="1"/>
  <c r="B266" i="4"/>
  <c r="C266" i="4"/>
  <c r="F266" i="4"/>
  <c r="J266" i="4"/>
  <c r="M266" i="4"/>
  <c r="P266" i="4"/>
  <c r="T266" i="4"/>
  <c r="U266" i="4"/>
  <c r="V266" i="4" s="1"/>
  <c r="B265" i="4" l="1"/>
  <c r="C265" i="4"/>
  <c r="F265" i="4"/>
  <c r="J265" i="4"/>
  <c r="M265" i="4"/>
  <c r="P265" i="4"/>
  <c r="T265" i="4"/>
  <c r="U265" i="4"/>
  <c r="V265" i="4" s="1"/>
  <c r="B264" i="4"/>
  <c r="C264" i="4"/>
  <c r="F264" i="4"/>
  <c r="J264" i="4"/>
  <c r="M264" i="4"/>
  <c r="P264" i="4"/>
  <c r="T264" i="4"/>
  <c r="U264" i="4"/>
  <c r="V264" i="4" s="1"/>
  <c r="B263" i="4"/>
  <c r="C263" i="4"/>
  <c r="F263" i="4"/>
  <c r="J263" i="4"/>
  <c r="M263" i="4"/>
  <c r="P263" i="4"/>
  <c r="T263" i="4"/>
  <c r="U263" i="4"/>
  <c r="V263" i="4" s="1"/>
  <c r="B262" i="4"/>
  <c r="C262" i="4"/>
  <c r="F262" i="4"/>
  <c r="J262" i="4"/>
  <c r="M262" i="4"/>
  <c r="P262" i="4"/>
  <c r="T262" i="4"/>
  <c r="U262" i="4"/>
  <c r="V262" i="4" s="1"/>
  <c r="B261" i="4"/>
  <c r="C261" i="4"/>
  <c r="F261" i="4"/>
  <c r="J261" i="4"/>
  <c r="M261" i="4"/>
  <c r="P261" i="4"/>
  <c r="T261" i="4"/>
  <c r="U261" i="4"/>
  <c r="V261" i="4" s="1"/>
  <c r="B260" i="4"/>
  <c r="C260" i="4"/>
  <c r="F260" i="4"/>
  <c r="J260" i="4"/>
  <c r="M260" i="4"/>
  <c r="P260" i="4"/>
  <c r="T260" i="4"/>
  <c r="U260" i="4"/>
  <c r="V260" i="4" s="1"/>
  <c r="B259" i="4"/>
  <c r="C259" i="4"/>
  <c r="F259" i="4"/>
  <c r="J259" i="4"/>
  <c r="M259" i="4"/>
  <c r="P259" i="4"/>
  <c r="T259" i="4"/>
  <c r="U259" i="4"/>
  <c r="V259" i="4" s="1"/>
  <c r="M258" i="4"/>
  <c r="B258" i="4"/>
  <c r="C258" i="4"/>
  <c r="F258" i="4"/>
  <c r="J258" i="4"/>
  <c r="P258" i="4"/>
  <c r="T258" i="4"/>
  <c r="U258" i="4"/>
  <c r="V258" i="4" s="1"/>
  <c r="B257" i="4"/>
  <c r="C257" i="4"/>
  <c r="F257" i="4"/>
  <c r="J257" i="4"/>
  <c r="M257" i="4"/>
  <c r="P257" i="4"/>
  <c r="T257" i="4"/>
  <c r="U257" i="4"/>
  <c r="V257" i="4" s="1"/>
  <c r="B256" i="4"/>
  <c r="C256" i="4"/>
  <c r="F256" i="4"/>
  <c r="J256" i="4"/>
  <c r="M256" i="4"/>
  <c r="P256" i="4"/>
  <c r="T256" i="4"/>
  <c r="U256" i="4"/>
  <c r="V256" i="4" s="1"/>
  <c r="F255" i="4"/>
  <c r="B255" i="4"/>
  <c r="C255" i="4"/>
  <c r="J255" i="4"/>
  <c r="M255" i="4"/>
  <c r="P255" i="4"/>
  <c r="T255" i="4"/>
  <c r="U255" i="4"/>
  <c r="V255" i="4" s="1"/>
  <c r="H10" i="3"/>
  <c r="M10" i="3"/>
  <c r="Q10" i="3"/>
  <c r="R10" i="3"/>
  <c r="S10" i="3" s="1"/>
  <c r="B254" i="4"/>
  <c r="C254" i="4"/>
  <c r="F254" i="4"/>
  <c r="J254" i="4"/>
  <c r="M254" i="4"/>
  <c r="P254" i="4"/>
  <c r="T254" i="4"/>
  <c r="U254" i="4"/>
  <c r="V254" i="4" s="1"/>
  <c r="B253" i="4"/>
  <c r="C253" i="4"/>
  <c r="F253" i="4"/>
  <c r="J253" i="4"/>
  <c r="M253" i="4"/>
  <c r="P253" i="4"/>
  <c r="T253" i="4"/>
  <c r="U253" i="4"/>
  <c r="V253" i="4" s="1"/>
  <c r="B252" i="4"/>
  <c r="C252" i="4"/>
  <c r="F252" i="4"/>
  <c r="J252" i="4"/>
  <c r="M252" i="4"/>
  <c r="P252" i="4"/>
  <c r="T252" i="4"/>
  <c r="U252" i="4"/>
  <c r="V252" i="4" s="1"/>
  <c r="B251" i="4"/>
  <c r="C251" i="4"/>
  <c r="F251" i="4"/>
  <c r="J251" i="4"/>
  <c r="M251" i="4"/>
  <c r="P251" i="4"/>
  <c r="T251" i="4"/>
  <c r="U251" i="4"/>
  <c r="V251" i="4" s="1"/>
  <c r="B250" i="4"/>
  <c r="C250" i="4"/>
  <c r="F250" i="4"/>
  <c r="J250" i="4"/>
  <c r="M250" i="4"/>
  <c r="P250" i="4"/>
  <c r="T250" i="4"/>
  <c r="U250" i="4"/>
  <c r="V250" i="4" s="1"/>
  <c r="B249" i="4"/>
  <c r="C249" i="4"/>
  <c r="F249" i="4"/>
  <c r="J249" i="4"/>
  <c r="M249" i="4"/>
  <c r="P249" i="4"/>
  <c r="T249" i="4"/>
  <c r="U249" i="4"/>
  <c r="V249" i="4" s="1"/>
  <c r="B248" i="4"/>
  <c r="C248" i="4"/>
  <c r="F248" i="4"/>
  <c r="J248" i="4"/>
  <c r="M248" i="4"/>
  <c r="P248" i="4"/>
  <c r="T248" i="4"/>
  <c r="U248" i="4"/>
  <c r="V248" i="4" s="1"/>
  <c r="M247" i="4"/>
  <c r="B247" i="4"/>
  <c r="C247" i="4"/>
  <c r="F247" i="4"/>
  <c r="J247" i="4"/>
  <c r="P247" i="4"/>
  <c r="T247" i="4"/>
  <c r="U247" i="4"/>
  <c r="V247" i="4" s="1"/>
  <c r="B246" i="4"/>
  <c r="C246" i="4"/>
  <c r="F246" i="4"/>
  <c r="J246" i="4"/>
  <c r="M246" i="4"/>
  <c r="P246" i="4"/>
  <c r="T246" i="4"/>
  <c r="U246" i="4"/>
  <c r="V246" i="4" s="1"/>
  <c r="B245" i="4"/>
  <c r="C245" i="4"/>
  <c r="F245" i="4"/>
  <c r="J245" i="4"/>
  <c r="M245" i="4"/>
  <c r="P245" i="4"/>
  <c r="T245" i="4"/>
  <c r="U245" i="4"/>
  <c r="V245" i="4" s="1"/>
  <c r="B244" i="4"/>
  <c r="C244" i="4"/>
  <c r="F244" i="4"/>
  <c r="J244" i="4"/>
  <c r="M244" i="4"/>
  <c r="P244" i="4"/>
  <c r="T244" i="4"/>
  <c r="U244" i="4"/>
  <c r="V244" i="4" s="1"/>
  <c r="B243" i="4"/>
  <c r="C243" i="4"/>
  <c r="F243" i="4"/>
  <c r="J243" i="4"/>
  <c r="M243" i="4"/>
  <c r="P243" i="4"/>
  <c r="T243" i="4"/>
  <c r="U243" i="4"/>
  <c r="V243" i="4" s="1"/>
  <c r="B242" i="4"/>
  <c r="C242" i="4"/>
  <c r="F242" i="4"/>
  <c r="J242" i="4"/>
  <c r="M242" i="4"/>
  <c r="P242" i="4"/>
  <c r="T242" i="4"/>
  <c r="U242" i="4"/>
  <c r="V242" i="4" s="1"/>
  <c r="B241" i="4"/>
  <c r="C241" i="4"/>
  <c r="F241" i="4"/>
  <c r="J241" i="4"/>
  <c r="M241" i="4"/>
  <c r="P241" i="4"/>
  <c r="T241" i="4"/>
  <c r="U241" i="4"/>
  <c r="V241" i="4" s="1"/>
  <c r="B240" i="4"/>
  <c r="C240" i="4"/>
  <c r="F240" i="4"/>
  <c r="J240" i="4"/>
  <c r="M240" i="4"/>
  <c r="P240" i="4"/>
  <c r="T240" i="4"/>
  <c r="U240" i="4"/>
  <c r="V240" i="4" s="1"/>
  <c r="B239" i="4"/>
  <c r="C239" i="4"/>
  <c r="F239" i="4"/>
  <c r="J239" i="4"/>
  <c r="M239" i="4"/>
  <c r="P239" i="4"/>
  <c r="T239" i="4"/>
  <c r="U239" i="4"/>
  <c r="V239" i="4" s="1"/>
  <c r="B238" i="4"/>
  <c r="C238" i="4"/>
  <c r="F238" i="4"/>
  <c r="J238" i="4"/>
  <c r="M238" i="4"/>
  <c r="P238" i="4"/>
  <c r="T238" i="4"/>
  <c r="U238" i="4"/>
  <c r="V238" i="4" s="1"/>
  <c r="B237" i="4"/>
  <c r="C237" i="4"/>
  <c r="F237" i="4"/>
  <c r="J237" i="4"/>
  <c r="M237" i="4"/>
  <c r="P237" i="4"/>
  <c r="T237" i="4"/>
  <c r="U237" i="4"/>
  <c r="V237" i="4" s="1"/>
  <c r="B236" i="4"/>
  <c r="C236" i="4"/>
  <c r="F236" i="4"/>
  <c r="J236" i="4"/>
  <c r="M236" i="4"/>
  <c r="P236" i="4"/>
  <c r="T236" i="4"/>
  <c r="U236" i="4"/>
  <c r="V236" i="4" s="1"/>
  <c r="B235" i="4"/>
  <c r="C235" i="4"/>
  <c r="F235" i="4"/>
  <c r="J235" i="4"/>
  <c r="M235" i="4"/>
  <c r="P235" i="4"/>
  <c r="T235" i="4"/>
  <c r="U235" i="4"/>
  <c r="V235" i="4" s="1"/>
  <c r="B234" i="4"/>
  <c r="C234" i="4"/>
  <c r="F234" i="4"/>
  <c r="J234" i="4"/>
  <c r="M234" i="4"/>
  <c r="P234" i="4"/>
  <c r="T234" i="4"/>
  <c r="U234" i="4"/>
  <c r="V234" i="4" s="1"/>
  <c r="B233" i="4"/>
  <c r="C233" i="4"/>
  <c r="F233" i="4"/>
  <c r="J233" i="4"/>
  <c r="M233" i="4"/>
  <c r="P233" i="4"/>
  <c r="T233" i="4"/>
  <c r="U233" i="4"/>
  <c r="V233" i="4" s="1"/>
  <c r="B232" i="4"/>
  <c r="C232" i="4"/>
  <c r="F232" i="4"/>
  <c r="J232" i="4"/>
  <c r="M232" i="4"/>
  <c r="P232" i="4"/>
  <c r="T232" i="4"/>
  <c r="U232" i="4"/>
  <c r="V232" i="4" s="1"/>
  <c r="B231" i="4"/>
  <c r="C231" i="4"/>
  <c r="F231" i="4"/>
  <c r="J231" i="4"/>
  <c r="M231" i="4"/>
  <c r="P231" i="4"/>
  <c r="T231" i="4"/>
  <c r="U231" i="4"/>
  <c r="V231" i="4" s="1"/>
  <c r="B230" i="4"/>
  <c r="C230" i="4"/>
  <c r="F230" i="4"/>
  <c r="J230" i="4"/>
  <c r="M230" i="4"/>
  <c r="P230" i="4"/>
  <c r="T230" i="4"/>
  <c r="U230" i="4"/>
  <c r="V230" i="4" s="1"/>
  <c r="B229" i="4"/>
  <c r="C229" i="4"/>
  <c r="F229" i="4"/>
  <c r="J229" i="4"/>
  <c r="M229" i="4"/>
  <c r="P229" i="4"/>
  <c r="T229" i="4"/>
  <c r="U229" i="4"/>
  <c r="V229" i="4" s="1"/>
  <c r="B228" i="4"/>
  <c r="C228" i="4"/>
  <c r="F228" i="4"/>
  <c r="J228" i="4"/>
  <c r="M228" i="4"/>
  <c r="P228" i="4"/>
  <c r="T228" i="4"/>
  <c r="U228" i="4"/>
  <c r="V228" i="4" s="1"/>
  <c r="B227" i="4"/>
  <c r="C227" i="4"/>
  <c r="F227" i="4"/>
  <c r="J227" i="4"/>
  <c r="M227" i="4"/>
  <c r="P227" i="4"/>
  <c r="T227" i="4"/>
  <c r="U227" i="4"/>
  <c r="V227" i="4" s="1"/>
  <c r="B226" i="4"/>
  <c r="C226" i="4"/>
  <c r="F226" i="4"/>
  <c r="J226" i="4"/>
  <c r="M226" i="4"/>
  <c r="P226" i="4"/>
  <c r="T226" i="4"/>
  <c r="U226" i="4"/>
  <c r="V226" i="4" s="1"/>
  <c r="B225" i="4"/>
  <c r="C225" i="4"/>
  <c r="F225" i="4"/>
  <c r="J225" i="4"/>
  <c r="M225" i="4"/>
  <c r="P225" i="4"/>
  <c r="T225" i="4"/>
  <c r="U225" i="4"/>
  <c r="V225" i="4" s="1"/>
  <c r="B224" i="4"/>
  <c r="C224" i="4"/>
  <c r="F224" i="4"/>
  <c r="J224" i="4"/>
  <c r="M224" i="4"/>
  <c r="P224" i="4"/>
  <c r="T224" i="4"/>
  <c r="U224" i="4"/>
  <c r="V224" i="4" s="1"/>
  <c r="B223" i="4"/>
  <c r="C223" i="4"/>
  <c r="F223" i="4"/>
  <c r="J223" i="4"/>
  <c r="M223" i="4"/>
  <c r="P223" i="4"/>
  <c r="T223" i="4"/>
  <c r="U223" i="4"/>
  <c r="V223" i="4" s="1"/>
  <c r="B222" i="4"/>
  <c r="C222" i="4"/>
  <c r="F222" i="4"/>
  <c r="J222" i="4"/>
  <c r="M222" i="4"/>
  <c r="P222" i="4"/>
  <c r="T222" i="4"/>
  <c r="U222" i="4"/>
  <c r="V222" i="4" s="1"/>
  <c r="B221" i="4"/>
  <c r="C221" i="4"/>
  <c r="F221" i="4"/>
  <c r="J221" i="4"/>
  <c r="M221" i="4"/>
  <c r="P221" i="4"/>
  <c r="T221" i="4"/>
  <c r="U221" i="4"/>
  <c r="V221" i="4" s="1"/>
  <c r="B220" i="4"/>
  <c r="C220" i="4"/>
  <c r="F220" i="4"/>
  <c r="J220" i="4"/>
  <c r="M220" i="4"/>
  <c r="P220" i="4"/>
  <c r="T220" i="4"/>
  <c r="U220" i="4"/>
  <c r="V220" i="4" s="1"/>
  <c r="B219" i="4"/>
  <c r="C219" i="4"/>
  <c r="F219" i="4"/>
  <c r="J219" i="4"/>
  <c r="M219" i="4"/>
  <c r="P219" i="4"/>
  <c r="T219" i="4"/>
  <c r="U219" i="4"/>
  <c r="V219" i="4" s="1"/>
  <c r="B218" i="4"/>
  <c r="C218" i="4"/>
  <c r="F218" i="4"/>
  <c r="J218" i="4"/>
  <c r="M218" i="4"/>
  <c r="P218" i="4"/>
  <c r="T218" i="4"/>
  <c r="U218" i="4"/>
  <c r="V218" i="4" s="1"/>
  <c r="B217" i="4"/>
  <c r="C217" i="4"/>
  <c r="F217" i="4"/>
  <c r="J217" i="4"/>
  <c r="M217" i="4"/>
  <c r="P217" i="4"/>
  <c r="T217" i="4"/>
  <c r="U217" i="4"/>
  <c r="V217" i="4" s="1"/>
  <c r="B216" i="4"/>
  <c r="C216" i="4"/>
  <c r="F216" i="4"/>
  <c r="J216" i="4"/>
  <c r="M216" i="4"/>
  <c r="P216" i="4"/>
  <c r="T216" i="4"/>
  <c r="U216" i="4"/>
  <c r="V216" i="4" s="1"/>
  <c r="B215" i="4"/>
  <c r="C215" i="4"/>
  <c r="F215" i="4"/>
  <c r="J215" i="4"/>
  <c r="M215" i="4"/>
  <c r="P215" i="4"/>
  <c r="T215" i="4"/>
  <c r="U215" i="4"/>
  <c r="V215" i="4" s="1"/>
  <c r="B214" i="4"/>
  <c r="C214" i="4"/>
  <c r="F214" i="4"/>
  <c r="J214" i="4"/>
  <c r="M214" i="4"/>
  <c r="P214" i="4"/>
  <c r="T214" i="4"/>
  <c r="U214" i="4"/>
  <c r="V214" i="4" s="1"/>
  <c r="B213" i="4"/>
  <c r="C213" i="4"/>
  <c r="F213" i="4"/>
  <c r="J213" i="4"/>
  <c r="M213" i="4"/>
  <c r="P213" i="4"/>
  <c r="T213" i="4"/>
  <c r="U213" i="4"/>
  <c r="V213" i="4" s="1"/>
  <c r="B212" i="4"/>
  <c r="C212" i="4"/>
  <c r="F212" i="4"/>
  <c r="J212" i="4"/>
  <c r="M212" i="4"/>
  <c r="P212" i="4"/>
  <c r="T212" i="4"/>
  <c r="U212" i="4"/>
  <c r="V212" i="4" s="1"/>
  <c r="B211" i="4"/>
  <c r="C211" i="4"/>
  <c r="F211" i="4"/>
  <c r="J211" i="4"/>
  <c r="M211" i="4"/>
  <c r="P211" i="4"/>
  <c r="T211" i="4"/>
  <c r="U211" i="4"/>
  <c r="V211" i="4" s="1"/>
  <c r="B210" i="4"/>
  <c r="C210" i="4"/>
  <c r="F210" i="4"/>
  <c r="J210" i="4"/>
  <c r="M210" i="4"/>
  <c r="P210" i="4"/>
  <c r="T210" i="4"/>
  <c r="U210" i="4"/>
  <c r="V210" i="4" s="1"/>
  <c r="B209" i="4"/>
  <c r="C209" i="4"/>
  <c r="F209" i="4"/>
  <c r="J209" i="4"/>
  <c r="M209" i="4"/>
  <c r="P209" i="4"/>
  <c r="T209" i="4"/>
  <c r="U209" i="4"/>
  <c r="V209" i="4" s="1"/>
  <c r="B208" i="4"/>
  <c r="C208" i="4"/>
  <c r="F208" i="4"/>
  <c r="J208" i="4"/>
  <c r="M208" i="4"/>
  <c r="P208" i="4"/>
  <c r="T208" i="4"/>
  <c r="U208" i="4"/>
  <c r="V208" i="4" s="1"/>
  <c r="B207" i="4"/>
  <c r="C207" i="4"/>
  <c r="F207" i="4"/>
  <c r="J207" i="4"/>
  <c r="M207" i="4"/>
  <c r="P207" i="4"/>
  <c r="T207" i="4"/>
  <c r="U207" i="4"/>
  <c r="V207" i="4" s="1"/>
  <c r="B206" i="4"/>
  <c r="C206" i="4"/>
  <c r="F206" i="4"/>
  <c r="J206" i="4"/>
  <c r="M206" i="4"/>
  <c r="P206" i="4"/>
  <c r="T206" i="4"/>
  <c r="U206" i="4"/>
  <c r="V206" i="4" s="1"/>
  <c r="B205" i="4"/>
  <c r="C205" i="4"/>
  <c r="F205" i="4"/>
  <c r="J205" i="4"/>
  <c r="M205" i="4"/>
  <c r="P205" i="4"/>
  <c r="T205" i="4"/>
  <c r="U205" i="4"/>
  <c r="V205" i="4" s="1"/>
  <c r="B204" i="4"/>
  <c r="C204" i="4"/>
  <c r="F204" i="4"/>
  <c r="J204" i="4"/>
  <c r="M204" i="4"/>
  <c r="P204" i="4"/>
  <c r="T204" i="4"/>
  <c r="U204" i="4"/>
  <c r="V204" i="4" s="1"/>
  <c r="B203" i="4"/>
  <c r="C203" i="4"/>
  <c r="F203" i="4"/>
  <c r="J203" i="4"/>
  <c r="M203" i="4"/>
  <c r="P203" i="4"/>
  <c r="T203" i="4"/>
  <c r="U203" i="4"/>
  <c r="V203" i="4" s="1"/>
  <c r="B202" i="4"/>
  <c r="C202" i="4"/>
  <c r="F202" i="4"/>
  <c r="J202" i="4"/>
  <c r="M202" i="4"/>
  <c r="P202" i="4"/>
  <c r="T202" i="4"/>
  <c r="U202" i="4"/>
  <c r="V202" i="4" s="1"/>
  <c r="B201" i="4"/>
  <c r="C201" i="4"/>
  <c r="F201" i="4"/>
  <c r="J201" i="4"/>
  <c r="M201" i="4"/>
  <c r="P201" i="4"/>
  <c r="T201" i="4"/>
  <c r="U201" i="4"/>
  <c r="V201" i="4" s="1"/>
  <c r="B200" i="4"/>
  <c r="C200" i="4"/>
  <c r="F200" i="4"/>
  <c r="J200" i="4"/>
  <c r="M200" i="4"/>
  <c r="P200" i="4"/>
  <c r="T200" i="4"/>
  <c r="U200" i="4"/>
  <c r="V200" i="4" s="1"/>
  <c r="B199" i="4"/>
  <c r="C199" i="4"/>
  <c r="F199" i="4"/>
  <c r="J199" i="4"/>
  <c r="M199" i="4"/>
  <c r="P199" i="4"/>
  <c r="T199" i="4"/>
  <c r="U199" i="4"/>
  <c r="V199" i="4" s="1"/>
  <c r="B198" i="4"/>
  <c r="C198" i="4"/>
  <c r="F198" i="4"/>
  <c r="J198" i="4"/>
  <c r="M198" i="4"/>
  <c r="P198" i="4"/>
  <c r="T198" i="4"/>
  <c r="U198" i="4"/>
  <c r="V198" i="4" s="1"/>
  <c r="B197" i="4"/>
  <c r="C197" i="4"/>
  <c r="F197" i="4"/>
  <c r="J197" i="4"/>
  <c r="M197" i="4"/>
  <c r="P197" i="4"/>
  <c r="T197" i="4"/>
  <c r="U197" i="4"/>
  <c r="V197" i="4" s="1"/>
  <c r="B196" i="4"/>
  <c r="C196" i="4"/>
  <c r="F196" i="4"/>
  <c r="J196" i="4"/>
  <c r="M196" i="4"/>
  <c r="P196" i="4"/>
  <c r="T196" i="4"/>
  <c r="U196" i="4"/>
  <c r="V196" i="4" s="1"/>
  <c r="B195" i="4"/>
  <c r="C195" i="4"/>
  <c r="F195" i="4"/>
  <c r="J195" i="4"/>
  <c r="M195" i="4"/>
  <c r="P195" i="4"/>
  <c r="T195" i="4"/>
  <c r="U195" i="4"/>
  <c r="V195" i="4" s="1"/>
  <c r="B194" i="4"/>
  <c r="C194" i="4"/>
  <c r="F194" i="4"/>
  <c r="J194" i="4"/>
  <c r="M194" i="4"/>
  <c r="P194" i="4"/>
  <c r="T194" i="4"/>
  <c r="U194" i="4"/>
  <c r="V194" i="4" s="1"/>
  <c r="B193" i="4"/>
  <c r="C193" i="4"/>
  <c r="F193" i="4"/>
  <c r="J193" i="4"/>
  <c r="M193" i="4"/>
  <c r="P193" i="4"/>
  <c r="T193" i="4"/>
  <c r="U193" i="4"/>
  <c r="V193" i="4" s="1"/>
  <c r="B192" i="4"/>
  <c r="C192" i="4"/>
  <c r="F192" i="4"/>
  <c r="J192" i="4"/>
  <c r="M192" i="4"/>
  <c r="P192" i="4"/>
  <c r="T192" i="4"/>
  <c r="U192" i="4"/>
  <c r="V192" i="4" s="1"/>
  <c r="B191" i="4"/>
  <c r="C191" i="4"/>
  <c r="F191" i="4"/>
  <c r="J191" i="4"/>
  <c r="M191" i="4"/>
  <c r="P191" i="4"/>
  <c r="T191" i="4"/>
  <c r="U191" i="4"/>
  <c r="V191" i="4" s="1"/>
  <c r="B190" i="4"/>
  <c r="C190" i="4"/>
  <c r="F190" i="4"/>
  <c r="J190" i="4"/>
  <c r="M190" i="4"/>
  <c r="P190" i="4"/>
  <c r="T190" i="4"/>
  <c r="U190" i="4"/>
  <c r="V190" i="4" s="1"/>
  <c r="B189" i="4"/>
  <c r="C189" i="4"/>
  <c r="F189" i="4"/>
  <c r="J189" i="4"/>
  <c r="M189" i="4"/>
  <c r="P189" i="4"/>
  <c r="T189" i="4"/>
  <c r="U189" i="4"/>
  <c r="V189" i="4" s="1"/>
  <c r="B188" i="4"/>
  <c r="C188" i="4"/>
  <c r="F188" i="4"/>
  <c r="J188" i="4"/>
  <c r="M188" i="4"/>
  <c r="P188" i="4"/>
  <c r="T188" i="4"/>
  <c r="U188" i="4"/>
  <c r="V188" i="4" s="1"/>
  <c r="B187" i="4"/>
  <c r="C187" i="4"/>
  <c r="F187" i="4"/>
  <c r="J187" i="4"/>
  <c r="M187" i="4"/>
  <c r="P187" i="4"/>
  <c r="T187" i="4"/>
  <c r="U187" i="4"/>
  <c r="V187" i="4" s="1"/>
  <c r="B186" i="4"/>
  <c r="C186" i="4"/>
  <c r="F186" i="4"/>
  <c r="J186" i="4"/>
  <c r="M186" i="4"/>
  <c r="P186" i="4"/>
  <c r="T186" i="4"/>
  <c r="U186" i="4"/>
  <c r="V186" i="4" s="1"/>
  <c r="B185" i="4"/>
  <c r="C185" i="4"/>
  <c r="F185" i="4"/>
  <c r="J185" i="4"/>
  <c r="M185" i="4"/>
  <c r="P185" i="4"/>
  <c r="T185" i="4"/>
  <c r="U185" i="4"/>
  <c r="V185" i="4" s="1"/>
  <c r="B184" i="4"/>
  <c r="C184" i="4"/>
  <c r="F184" i="4"/>
  <c r="J184" i="4"/>
  <c r="M184" i="4"/>
  <c r="P184" i="4"/>
  <c r="T184" i="4"/>
  <c r="U184" i="4"/>
  <c r="V184" i="4" s="1"/>
  <c r="B183" i="4"/>
  <c r="C183" i="4"/>
  <c r="F183" i="4"/>
  <c r="J183" i="4"/>
  <c r="M183" i="4"/>
  <c r="P183" i="4"/>
  <c r="T183" i="4"/>
  <c r="U183" i="4"/>
  <c r="V183" i="4" s="1"/>
  <c r="B182" i="4"/>
  <c r="C182" i="4"/>
  <c r="F182" i="4"/>
  <c r="J182" i="4"/>
  <c r="M182" i="4"/>
  <c r="P182" i="4"/>
  <c r="T182" i="4"/>
  <c r="U182" i="4"/>
  <c r="V182" i="4" s="1"/>
  <c r="B181" i="4"/>
  <c r="C181" i="4"/>
  <c r="F181" i="4"/>
  <c r="J181" i="4"/>
  <c r="M181" i="4"/>
  <c r="P181" i="4"/>
  <c r="T181" i="4"/>
  <c r="U181" i="4"/>
  <c r="V181" i="4" s="1"/>
  <c r="B180" i="4"/>
  <c r="C180" i="4"/>
  <c r="F180" i="4"/>
  <c r="J180" i="4"/>
  <c r="M180" i="4"/>
  <c r="P180" i="4"/>
  <c r="T180" i="4"/>
  <c r="U180" i="4"/>
  <c r="V180" i="4" s="1"/>
  <c r="M179" i="4"/>
  <c r="B179" i="4"/>
  <c r="C179" i="4"/>
  <c r="F179" i="4"/>
  <c r="J179" i="4"/>
  <c r="P179" i="4"/>
  <c r="T179" i="4"/>
  <c r="U179" i="4"/>
  <c r="V179" i="4" s="1"/>
  <c r="B178" i="4"/>
  <c r="C178" i="4"/>
  <c r="F178" i="4"/>
  <c r="J178" i="4"/>
  <c r="M178" i="4"/>
  <c r="P178" i="4"/>
  <c r="T178" i="4"/>
  <c r="U178" i="4"/>
  <c r="V178" i="4" s="1"/>
  <c r="B177" i="4"/>
  <c r="C177" i="4"/>
  <c r="F177" i="4"/>
  <c r="J177" i="4"/>
  <c r="M177" i="4"/>
  <c r="P177" i="4"/>
  <c r="U177" i="4"/>
  <c r="V177" i="4" s="1"/>
  <c r="P176" i="4"/>
  <c r="B176" i="4"/>
  <c r="C176" i="4"/>
  <c r="F176" i="4"/>
  <c r="J176" i="4"/>
  <c r="M176" i="4"/>
  <c r="T176" i="4"/>
  <c r="U176" i="4"/>
  <c r="V176" i="4" s="1"/>
  <c r="B175" i="4"/>
  <c r="C175" i="4"/>
  <c r="F175" i="4"/>
  <c r="J175" i="4"/>
  <c r="M175" i="4"/>
  <c r="P175" i="4"/>
  <c r="T175" i="4"/>
  <c r="U175" i="4"/>
  <c r="V175" i="4" s="1"/>
  <c r="B174" i="4"/>
  <c r="C174" i="4"/>
  <c r="F174" i="4"/>
  <c r="J174" i="4"/>
  <c r="M174" i="4"/>
  <c r="P174" i="4"/>
  <c r="T174" i="4"/>
  <c r="U174" i="4"/>
  <c r="V174" i="4" s="1"/>
  <c r="B173" i="4"/>
  <c r="C173" i="4"/>
  <c r="F173" i="4"/>
  <c r="J173" i="4"/>
  <c r="M173" i="4"/>
  <c r="P173" i="4"/>
  <c r="T173" i="4"/>
  <c r="U173" i="4"/>
  <c r="V173" i="4" s="1"/>
  <c r="B172" i="4"/>
  <c r="C172" i="4"/>
  <c r="F172" i="4"/>
  <c r="J172" i="4"/>
  <c r="M172" i="4"/>
  <c r="P172" i="4"/>
  <c r="T172" i="4"/>
  <c r="U172" i="4"/>
  <c r="V172" i="4" s="1"/>
  <c r="B171" i="4"/>
  <c r="C171" i="4"/>
  <c r="F171" i="4"/>
  <c r="J171" i="4"/>
  <c r="M171" i="4"/>
  <c r="P171" i="4"/>
  <c r="T171" i="4"/>
  <c r="U171" i="4"/>
  <c r="V171" i="4" s="1"/>
  <c r="B170" i="4"/>
  <c r="C170" i="4"/>
  <c r="F170" i="4"/>
  <c r="J170" i="4"/>
  <c r="M170" i="4"/>
  <c r="P170" i="4"/>
  <c r="T170" i="4"/>
  <c r="U170" i="4"/>
  <c r="V170" i="4" s="1"/>
  <c r="B169" i="4"/>
  <c r="C169" i="4"/>
  <c r="F169" i="4"/>
  <c r="J169" i="4"/>
  <c r="M169" i="4"/>
  <c r="P169" i="4"/>
  <c r="T169" i="4"/>
  <c r="U169" i="4"/>
  <c r="V169" i="4" s="1"/>
  <c r="H9" i="3"/>
  <c r="M9" i="3"/>
  <c r="Q9" i="3"/>
  <c r="R9" i="3"/>
  <c r="S9" i="3" s="1"/>
  <c r="B168" i="4"/>
  <c r="C168" i="4"/>
  <c r="F168" i="4"/>
  <c r="J168" i="4"/>
  <c r="M168" i="4"/>
  <c r="P168" i="4"/>
  <c r="T168" i="4"/>
  <c r="U168" i="4"/>
  <c r="V168" i="4" s="1"/>
  <c r="B167" i="4"/>
  <c r="C167" i="4"/>
  <c r="F167" i="4"/>
  <c r="J167" i="4"/>
  <c r="M167" i="4"/>
  <c r="P167" i="4"/>
  <c r="T167" i="4"/>
  <c r="U167" i="4"/>
  <c r="V167" i="4" s="1"/>
  <c r="B166" i="4"/>
  <c r="C166" i="4"/>
  <c r="F166" i="4"/>
  <c r="J166" i="4"/>
  <c r="M166" i="4"/>
  <c r="P166" i="4"/>
  <c r="T166" i="4"/>
  <c r="U166" i="4"/>
  <c r="V166" i="4" s="1"/>
  <c r="B165" i="4"/>
  <c r="C165" i="4"/>
  <c r="F165" i="4"/>
  <c r="J165" i="4"/>
  <c r="M165" i="4"/>
  <c r="P165" i="4"/>
  <c r="T165" i="4"/>
  <c r="U165" i="4"/>
  <c r="V165" i="4" s="1"/>
  <c r="M164" i="4"/>
  <c r="B164" i="4"/>
  <c r="C164" i="4"/>
  <c r="F164" i="4"/>
  <c r="J164" i="4"/>
  <c r="P164" i="4"/>
  <c r="T164" i="4"/>
  <c r="U164" i="4"/>
  <c r="V164" i="4" s="1"/>
  <c r="B163" i="4"/>
  <c r="C163" i="4"/>
  <c r="F163" i="4"/>
  <c r="J163" i="4"/>
  <c r="M163" i="4"/>
  <c r="P163" i="4"/>
  <c r="T163" i="4"/>
  <c r="U163" i="4"/>
  <c r="V163" i="4" s="1"/>
  <c r="M162" i="4"/>
  <c r="B162" i="4"/>
  <c r="C162" i="4"/>
  <c r="F162" i="4"/>
  <c r="J162" i="4"/>
  <c r="P162" i="4"/>
  <c r="T162" i="4"/>
  <c r="U162" i="4"/>
  <c r="V162" i="4" s="1"/>
  <c r="B161" i="4"/>
  <c r="C161" i="4"/>
  <c r="F161" i="4"/>
  <c r="J161" i="4"/>
  <c r="M161" i="4"/>
  <c r="P161" i="4"/>
  <c r="T161" i="4"/>
  <c r="U161" i="4"/>
  <c r="V161" i="4" s="1"/>
  <c r="B160" i="4"/>
  <c r="C160" i="4"/>
  <c r="F160" i="4"/>
  <c r="J160" i="4"/>
  <c r="M160" i="4"/>
  <c r="P160" i="4"/>
  <c r="T160" i="4"/>
  <c r="U160" i="4"/>
  <c r="V160" i="4" s="1"/>
  <c r="B159" i="4"/>
  <c r="C159" i="4"/>
  <c r="F159" i="4"/>
  <c r="J159" i="4"/>
  <c r="M159" i="4"/>
  <c r="P159" i="4"/>
  <c r="T159" i="4"/>
  <c r="U159" i="4"/>
  <c r="V159" i="4" s="1"/>
  <c r="T47" i="4"/>
  <c r="B158" i="4"/>
  <c r="C158" i="4"/>
  <c r="F158" i="4"/>
  <c r="J158" i="4"/>
  <c r="M158" i="4"/>
  <c r="P158" i="4"/>
  <c r="T158" i="4"/>
  <c r="U158" i="4"/>
  <c r="V158" i="4" s="1"/>
  <c r="B157" i="4"/>
  <c r="C157" i="4"/>
  <c r="F157" i="4"/>
  <c r="J157" i="4"/>
  <c r="M157" i="4"/>
  <c r="P157" i="4"/>
  <c r="T157" i="4"/>
  <c r="U157" i="4"/>
  <c r="V157" i="4" s="1"/>
  <c r="B156" i="4"/>
  <c r="C156" i="4"/>
  <c r="F156" i="4"/>
  <c r="J156" i="4"/>
  <c r="M156" i="4"/>
  <c r="P156" i="4"/>
  <c r="T156" i="4"/>
  <c r="U156" i="4"/>
  <c r="V156" i="4" s="1"/>
  <c r="B155" i="4"/>
  <c r="C155" i="4"/>
  <c r="F155" i="4"/>
  <c r="J155" i="4"/>
  <c r="M155" i="4"/>
  <c r="P155" i="4"/>
  <c r="T155" i="4"/>
  <c r="U155" i="4"/>
  <c r="V155" i="4" s="1"/>
  <c r="B154" i="4"/>
  <c r="C154" i="4"/>
  <c r="F154" i="4"/>
  <c r="J154" i="4"/>
  <c r="M154" i="4"/>
  <c r="P154" i="4"/>
  <c r="T154" i="4"/>
  <c r="U154" i="4"/>
  <c r="V154" i="4" s="1"/>
  <c r="B153" i="4"/>
  <c r="C153" i="4"/>
  <c r="F153" i="4"/>
  <c r="J153" i="4"/>
  <c r="M153" i="4"/>
  <c r="P153" i="4"/>
  <c r="T153" i="4"/>
  <c r="U153" i="4"/>
  <c r="V153" i="4" s="1"/>
  <c r="B152" i="4"/>
  <c r="C152" i="4"/>
  <c r="F152" i="4"/>
  <c r="J152" i="4"/>
  <c r="M152" i="4"/>
  <c r="P152" i="4"/>
  <c r="T152" i="4"/>
  <c r="U152" i="4"/>
  <c r="V152" i="4" s="1"/>
  <c r="B151" i="4"/>
  <c r="C151" i="4"/>
  <c r="F151" i="4"/>
  <c r="J151" i="4"/>
  <c r="M151" i="4"/>
  <c r="P151" i="4"/>
  <c r="T151" i="4"/>
  <c r="U151" i="4"/>
  <c r="V151" i="4" s="1"/>
  <c r="B150" i="4"/>
  <c r="C150" i="4"/>
  <c r="F150" i="4"/>
  <c r="J150" i="4"/>
  <c r="M150" i="4"/>
  <c r="P150" i="4"/>
  <c r="T150" i="4"/>
  <c r="U150" i="4"/>
  <c r="V150" i="4" s="1"/>
  <c r="B149" i="4"/>
  <c r="C149" i="4"/>
  <c r="F149" i="4"/>
  <c r="J149" i="4"/>
  <c r="M149" i="4"/>
  <c r="P149" i="4"/>
  <c r="T149" i="4"/>
  <c r="U149" i="4"/>
  <c r="V149" i="4" s="1"/>
  <c r="B148" i="4"/>
  <c r="C148" i="4"/>
  <c r="F148" i="4"/>
  <c r="J148" i="4"/>
  <c r="M148" i="4"/>
  <c r="P148" i="4"/>
  <c r="T148" i="4"/>
  <c r="U148" i="4"/>
  <c r="V148" i="4" s="1"/>
  <c r="B147" i="4"/>
  <c r="C147" i="4"/>
  <c r="F147" i="4"/>
  <c r="J147" i="4"/>
  <c r="M147" i="4"/>
  <c r="P147" i="4"/>
  <c r="T147" i="4"/>
  <c r="U147" i="4"/>
  <c r="V147" i="4" s="1"/>
  <c r="B146" i="4"/>
  <c r="C146" i="4"/>
  <c r="F146" i="4"/>
  <c r="J146" i="4"/>
  <c r="M146" i="4"/>
  <c r="P146" i="4"/>
  <c r="T146" i="4"/>
  <c r="U146" i="4"/>
  <c r="V146" i="4" s="1"/>
  <c r="B145" i="4"/>
  <c r="C145" i="4"/>
  <c r="F145" i="4"/>
  <c r="J145" i="4"/>
  <c r="M145" i="4"/>
  <c r="P145" i="4"/>
  <c r="T145" i="4"/>
  <c r="U145" i="4"/>
  <c r="V145" i="4" s="1"/>
  <c r="B144" i="4"/>
  <c r="C144" i="4"/>
  <c r="F144" i="4"/>
  <c r="J144" i="4"/>
  <c r="M144" i="4"/>
  <c r="P144" i="4"/>
  <c r="T144" i="4"/>
  <c r="U144" i="4"/>
  <c r="V144" i="4" s="1"/>
  <c r="B143" i="4"/>
  <c r="C143" i="4"/>
  <c r="F143" i="4"/>
  <c r="J143" i="4"/>
  <c r="M143" i="4"/>
  <c r="P143" i="4"/>
  <c r="T143" i="4"/>
  <c r="U143" i="4"/>
  <c r="V143" i="4" s="1"/>
  <c r="T142" i="4"/>
  <c r="B142" i="4"/>
  <c r="C142" i="4"/>
  <c r="F142" i="4"/>
  <c r="J142" i="4"/>
  <c r="M142" i="4"/>
  <c r="P142" i="4"/>
  <c r="U142" i="4"/>
  <c r="V142" i="4" s="1"/>
  <c r="B141" i="4"/>
  <c r="C141" i="4"/>
  <c r="F141" i="4"/>
  <c r="J141" i="4"/>
  <c r="M141" i="4"/>
  <c r="P141" i="4"/>
  <c r="T141" i="4"/>
  <c r="U141" i="4"/>
  <c r="V141" i="4" s="1"/>
  <c r="B140" i="4"/>
  <c r="C140" i="4"/>
  <c r="F140" i="4"/>
  <c r="J140" i="4"/>
  <c r="M140" i="4"/>
  <c r="P140" i="4"/>
  <c r="T140" i="4"/>
  <c r="U140" i="4"/>
  <c r="V140" i="4" s="1"/>
  <c r="B139" i="4"/>
  <c r="C139" i="4"/>
  <c r="F139" i="4"/>
  <c r="J139" i="4"/>
  <c r="M139" i="4"/>
  <c r="P139" i="4"/>
  <c r="T139" i="4"/>
  <c r="U139" i="4"/>
  <c r="V139" i="4" s="1"/>
  <c r="B138" i="4"/>
  <c r="C138" i="4"/>
  <c r="F138" i="4"/>
  <c r="J138" i="4"/>
  <c r="M138" i="4"/>
  <c r="P138" i="4"/>
  <c r="T138" i="4"/>
  <c r="U138" i="4"/>
  <c r="V138" i="4" s="1"/>
  <c r="B137" i="4"/>
  <c r="C137" i="4"/>
  <c r="F137" i="4"/>
  <c r="J137" i="4"/>
  <c r="M137" i="4"/>
  <c r="P137" i="4"/>
  <c r="T137" i="4"/>
  <c r="U137" i="4"/>
  <c r="V137" i="4" s="1"/>
  <c r="B136" i="4"/>
  <c r="C136" i="4"/>
  <c r="F136" i="4"/>
  <c r="J136" i="4"/>
  <c r="M136" i="4"/>
  <c r="P136" i="4"/>
  <c r="T136" i="4"/>
  <c r="U136" i="4"/>
  <c r="V136" i="4" s="1"/>
  <c r="B135" i="4"/>
  <c r="C135" i="4"/>
  <c r="F135" i="4"/>
  <c r="J135" i="4"/>
  <c r="M135" i="4"/>
  <c r="P135" i="4"/>
  <c r="T135" i="4"/>
  <c r="U135" i="4"/>
  <c r="V135" i="4" s="1"/>
  <c r="B134" i="4"/>
  <c r="C134" i="4"/>
  <c r="F134" i="4"/>
  <c r="J134" i="4"/>
  <c r="M134" i="4"/>
  <c r="P134" i="4"/>
  <c r="T134" i="4"/>
  <c r="U134" i="4"/>
  <c r="V134" i="4" s="1"/>
  <c r="B133" i="4"/>
  <c r="C133" i="4"/>
  <c r="F133" i="4"/>
  <c r="J133" i="4"/>
  <c r="M133" i="4"/>
  <c r="P133" i="4"/>
  <c r="T133" i="4"/>
  <c r="U133" i="4"/>
  <c r="V133" i="4" s="1"/>
  <c r="B132" i="4"/>
  <c r="C132" i="4"/>
  <c r="F132" i="4"/>
  <c r="J132" i="4"/>
  <c r="M132" i="4"/>
  <c r="P132" i="4"/>
  <c r="T132" i="4"/>
  <c r="U132" i="4"/>
  <c r="V132" i="4" s="1"/>
  <c r="B131" i="4"/>
  <c r="C131" i="4"/>
  <c r="F131" i="4"/>
  <c r="J131" i="4"/>
  <c r="M131" i="4"/>
  <c r="P131" i="4"/>
  <c r="T131" i="4"/>
  <c r="U131" i="4"/>
  <c r="V131" i="4" s="1"/>
  <c r="B130" i="4"/>
  <c r="C130" i="4"/>
  <c r="F130" i="4"/>
  <c r="J130" i="4"/>
  <c r="M130" i="4"/>
  <c r="P130" i="4"/>
  <c r="T130" i="4"/>
  <c r="U130" i="4"/>
  <c r="V130" i="4" s="1"/>
  <c r="B129" i="4"/>
  <c r="C129" i="4"/>
  <c r="F129" i="4"/>
  <c r="J129" i="4"/>
  <c r="M129" i="4"/>
  <c r="P129" i="4"/>
  <c r="T129" i="4"/>
  <c r="U129" i="4"/>
  <c r="V129" i="4" s="1"/>
  <c r="B128" i="4"/>
  <c r="C128" i="4"/>
  <c r="F128" i="4"/>
  <c r="J128" i="4"/>
  <c r="M128" i="4"/>
  <c r="P128" i="4"/>
  <c r="T128" i="4"/>
  <c r="U128" i="4"/>
  <c r="V128" i="4" s="1"/>
  <c r="H8" i="3"/>
  <c r="M8" i="3"/>
  <c r="Q8" i="3"/>
  <c r="R8" i="3"/>
  <c r="S8" i="3" s="1"/>
  <c r="B127" i="4"/>
  <c r="C127" i="4"/>
  <c r="F127" i="4"/>
  <c r="J127" i="4"/>
  <c r="M127" i="4"/>
  <c r="P127" i="4"/>
  <c r="T127" i="4"/>
  <c r="U127" i="4"/>
  <c r="V127" i="4" s="1"/>
  <c r="B126" i="4"/>
  <c r="C126" i="4"/>
  <c r="F126" i="4"/>
  <c r="J126" i="4"/>
  <c r="M126" i="4"/>
  <c r="P126" i="4"/>
  <c r="T126" i="4"/>
  <c r="U126" i="4"/>
  <c r="V126" i="4" s="1"/>
  <c r="B125" i="4"/>
  <c r="C125" i="4"/>
  <c r="F125" i="4"/>
  <c r="J125" i="4"/>
  <c r="M125" i="4"/>
  <c r="P125" i="4"/>
  <c r="T125" i="4"/>
  <c r="U125" i="4"/>
  <c r="V125" i="4" s="1"/>
  <c r="B124" i="4"/>
  <c r="C124" i="4"/>
  <c r="F124" i="4"/>
  <c r="J124" i="4"/>
  <c r="M124" i="4"/>
  <c r="P124" i="4"/>
  <c r="T124" i="4"/>
  <c r="U124" i="4"/>
  <c r="V124" i="4" s="1"/>
  <c r="B123" i="4"/>
  <c r="C123" i="4"/>
  <c r="F123" i="4"/>
  <c r="J123" i="4"/>
  <c r="M123" i="4"/>
  <c r="P123" i="4"/>
  <c r="T123" i="4"/>
  <c r="U123" i="4"/>
  <c r="V123" i="4" s="1"/>
  <c r="B122" i="4"/>
  <c r="C122" i="4"/>
  <c r="F122" i="4"/>
  <c r="J122" i="4"/>
  <c r="M122" i="4"/>
  <c r="P122" i="4"/>
  <c r="T122" i="4"/>
  <c r="U122" i="4"/>
  <c r="V122" i="4" s="1"/>
  <c r="B121" i="4"/>
  <c r="C121" i="4"/>
  <c r="F121" i="4"/>
  <c r="J121" i="4"/>
  <c r="M121" i="4"/>
  <c r="P121" i="4"/>
  <c r="T121" i="4"/>
  <c r="U121" i="4"/>
  <c r="V121" i="4" s="1"/>
  <c r="B120" i="4"/>
  <c r="C120" i="4"/>
  <c r="F120" i="4"/>
  <c r="J120" i="4"/>
  <c r="M120" i="4"/>
  <c r="P120" i="4"/>
  <c r="T120" i="4"/>
  <c r="U120" i="4"/>
  <c r="V120" i="4" s="1"/>
  <c r="B119" i="4"/>
  <c r="C119" i="4"/>
  <c r="F119" i="4"/>
  <c r="J119" i="4"/>
  <c r="M119" i="4"/>
  <c r="P119" i="4"/>
  <c r="T119" i="4"/>
  <c r="U119" i="4"/>
  <c r="V119" i="4" s="1"/>
  <c r="B118" i="4"/>
  <c r="C118" i="4"/>
  <c r="F118" i="4"/>
  <c r="J118" i="4"/>
  <c r="M118" i="4"/>
  <c r="P118" i="4"/>
  <c r="T118" i="4"/>
  <c r="U118" i="4"/>
  <c r="V118" i="4" s="1"/>
  <c r="B117" i="4"/>
  <c r="C117" i="4"/>
  <c r="F117" i="4"/>
  <c r="J117" i="4"/>
  <c r="M117" i="4"/>
  <c r="P117" i="4"/>
  <c r="T117" i="4"/>
  <c r="U117" i="4"/>
  <c r="V117" i="4" s="1"/>
  <c r="B116" i="4"/>
  <c r="C116" i="4"/>
  <c r="F116" i="4"/>
  <c r="J116" i="4"/>
  <c r="M116" i="4"/>
  <c r="P116" i="4"/>
  <c r="T116" i="4"/>
  <c r="U116" i="4"/>
  <c r="V116" i="4" s="1"/>
  <c r="B115" i="4"/>
  <c r="C115" i="4"/>
  <c r="F115" i="4"/>
  <c r="J115" i="4"/>
  <c r="M115" i="4"/>
  <c r="P115" i="4"/>
  <c r="T115" i="4"/>
  <c r="U115" i="4"/>
  <c r="V115" i="4" s="1"/>
  <c r="B114" i="4"/>
  <c r="C114" i="4"/>
  <c r="F114" i="4"/>
  <c r="J114" i="4"/>
  <c r="M114" i="4"/>
  <c r="P114" i="4"/>
  <c r="T114" i="4"/>
  <c r="U114" i="4"/>
  <c r="V114" i="4" s="1"/>
  <c r="B113" i="4"/>
  <c r="C113" i="4"/>
  <c r="F113" i="4"/>
  <c r="J113" i="4"/>
  <c r="M113" i="4"/>
  <c r="P113" i="4"/>
  <c r="T113" i="4"/>
  <c r="U113" i="4"/>
  <c r="V113" i="4" s="1"/>
  <c r="M111" i="4"/>
  <c r="M112" i="4"/>
  <c r="B112" i="4"/>
  <c r="C112" i="4"/>
  <c r="F112" i="4"/>
  <c r="J112" i="4"/>
  <c r="P112" i="4"/>
  <c r="T112" i="4"/>
  <c r="U112" i="4"/>
  <c r="V112" i="4" s="1"/>
  <c r="C111" i="4"/>
  <c r="B111" i="4"/>
  <c r="F111" i="4"/>
  <c r="J111" i="4"/>
  <c r="P111" i="4"/>
  <c r="T111" i="4"/>
  <c r="U111" i="4"/>
  <c r="V111" i="4" s="1"/>
  <c r="B110" i="4"/>
  <c r="C110" i="4"/>
  <c r="F110" i="4"/>
  <c r="J110" i="4"/>
  <c r="M110" i="4"/>
  <c r="P110" i="4"/>
  <c r="T110" i="4"/>
  <c r="U110" i="4"/>
  <c r="V110" i="4" s="1"/>
  <c r="B109" i="4"/>
  <c r="C109" i="4"/>
  <c r="F109" i="4"/>
  <c r="J109" i="4"/>
  <c r="M109" i="4"/>
  <c r="P109" i="4"/>
  <c r="T109" i="4"/>
  <c r="U109" i="4"/>
  <c r="V109" i="4" s="1"/>
  <c r="B108" i="4"/>
  <c r="C108" i="4"/>
  <c r="F108" i="4"/>
  <c r="J108" i="4"/>
  <c r="M108" i="4"/>
  <c r="P108" i="4"/>
  <c r="T108" i="4"/>
  <c r="U108" i="4"/>
  <c r="V108" i="4" s="1"/>
  <c r="B107" i="4"/>
  <c r="C107" i="4"/>
  <c r="F107" i="4"/>
  <c r="J107" i="4"/>
  <c r="M107" i="4"/>
  <c r="P107" i="4"/>
  <c r="T107" i="4"/>
  <c r="U107" i="4"/>
  <c r="V107" i="4" s="1"/>
  <c r="B106" i="4"/>
  <c r="C106" i="4"/>
  <c r="F106" i="4"/>
  <c r="J106" i="4"/>
  <c r="M106" i="4"/>
  <c r="P106" i="4"/>
  <c r="T106" i="4"/>
  <c r="U106" i="4"/>
  <c r="V106" i="4" s="1"/>
  <c r="B105" i="4"/>
  <c r="C105" i="4"/>
  <c r="F105" i="4"/>
  <c r="J105" i="4"/>
  <c r="M105" i="4"/>
  <c r="P105" i="4"/>
  <c r="T105" i="4"/>
  <c r="U105" i="4"/>
  <c r="V105" i="4" s="1"/>
  <c r="B104" i="4"/>
  <c r="C104" i="4"/>
  <c r="F104" i="4"/>
  <c r="J104" i="4"/>
  <c r="M104" i="4"/>
  <c r="P104" i="4"/>
  <c r="T104" i="4"/>
  <c r="U104" i="4"/>
  <c r="V104" i="4" s="1"/>
  <c r="B103" i="4"/>
  <c r="C103" i="4"/>
  <c r="F103" i="4"/>
  <c r="J103" i="4"/>
  <c r="M103" i="4"/>
  <c r="P103" i="4"/>
  <c r="T103" i="4"/>
  <c r="U103" i="4"/>
  <c r="V103" i="4" s="1"/>
  <c r="B102" i="4"/>
  <c r="C102" i="4"/>
  <c r="F102" i="4"/>
  <c r="J102" i="4"/>
  <c r="M102" i="4"/>
  <c r="P102" i="4"/>
  <c r="T102" i="4"/>
  <c r="U102" i="4"/>
  <c r="V102" i="4" s="1"/>
  <c r="B101" i="4"/>
  <c r="C101" i="4"/>
  <c r="F101" i="4"/>
  <c r="J101" i="4"/>
  <c r="M101" i="4"/>
  <c r="P101" i="4"/>
  <c r="T101" i="4"/>
  <c r="U101" i="4"/>
  <c r="V101" i="4" s="1"/>
  <c r="B100" i="4"/>
  <c r="C100" i="4"/>
  <c r="F100" i="4"/>
  <c r="J100" i="4"/>
  <c r="M100" i="4"/>
  <c r="P100" i="4"/>
  <c r="T100" i="4"/>
  <c r="U100" i="4"/>
  <c r="V100" i="4" s="1"/>
  <c r="B99" i="4"/>
  <c r="C99" i="4"/>
  <c r="F99" i="4"/>
  <c r="J99" i="4"/>
  <c r="M99" i="4"/>
  <c r="P99" i="4"/>
  <c r="T99" i="4"/>
  <c r="U99" i="4"/>
  <c r="V99" i="4" s="1"/>
  <c r="B98" i="4"/>
  <c r="C98" i="4"/>
  <c r="F98" i="4"/>
  <c r="J98" i="4"/>
  <c r="M98" i="4"/>
  <c r="P98" i="4"/>
  <c r="T98" i="4"/>
  <c r="U98" i="4"/>
  <c r="V98" i="4" s="1"/>
  <c r="B97" i="4"/>
  <c r="C97" i="4"/>
  <c r="F97" i="4"/>
  <c r="J97" i="4"/>
  <c r="M97" i="4"/>
  <c r="P97" i="4"/>
  <c r="T97" i="4"/>
  <c r="U97" i="4"/>
  <c r="V97" i="4" s="1"/>
  <c r="T96" i="4"/>
  <c r="P96" i="4"/>
  <c r="B96" i="4"/>
  <c r="C96" i="4"/>
  <c r="F96" i="4"/>
  <c r="J96" i="4"/>
  <c r="M96" i="4"/>
  <c r="U96" i="4"/>
  <c r="V96" i="4" s="1"/>
  <c r="B95" i="4"/>
  <c r="C95" i="4"/>
  <c r="F95" i="4"/>
  <c r="J95" i="4"/>
  <c r="M95" i="4"/>
  <c r="P95" i="4"/>
  <c r="T95" i="4"/>
  <c r="U95" i="4"/>
  <c r="V95" i="4" s="1"/>
  <c r="B94" i="4"/>
  <c r="C94" i="4"/>
  <c r="F94" i="4"/>
  <c r="J94" i="4"/>
  <c r="M94" i="4"/>
  <c r="P94" i="4"/>
  <c r="T94" i="4"/>
  <c r="U94" i="4"/>
  <c r="V94" i="4" s="1"/>
  <c r="B93" i="4"/>
  <c r="C93" i="4"/>
  <c r="F93" i="4"/>
  <c r="J93" i="4"/>
  <c r="M93" i="4"/>
  <c r="P93" i="4"/>
  <c r="T93" i="4"/>
  <c r="U93" i="4"/>
  <c r="V93" i="4" s="1"/>
  <c r="B92" i="4"/>
  <c r="C92" i="4"/>
  <c r="F92" i="4"/>
  <c r="J92" i="4"/>
  <c r="M92" i="4"/>
  <c r="P92" i="4"/>
  <c r="T92" i="4"/>
  <c r="U92" i="4"/>
  <c r="V92" i="4" s="1"/>
  <c r="B91" i="4"/>
  <c r="C91" i="4"/>
  <c r="F91" i="4"/>
  <c r="J91" i="4"/>
  <c r="M91" i="4"/>
  <c r="P91" i="4"/>
  <c r="T91" i="4"/>
  <c r="U91" i="4"/>
  <c r="V91" i="4" s="1"/>
  <c r="B90" i="4"/>
  <c r="C90" i="4"/>
  <c r="F90" i="4"/>
  <c r="J90" i="4"/>
  <c r="M90" i="4"/>
  <c r="P90" i="4"/>
  <c r="T90" i="4"/>
  <c r="U90" i="4"/>
  <c r="V90" i="4" s="1"/>
  <c r="B89" i="4"/>
  <c r="C89" i="4"/>
  <c r="F89" i="4"/>
  <c r="J89" i="4"/>
  <c r="M89" i="4"/>
  <c r="P89" i="4"/>
  <c r="T89" i="4"/>
  <c r="U89" i="4"/>
  <c r="V89" i="4" s="1"/>
  <c r="B88" i="4"/>
  <c r="C88" i="4"/>
  <c r="F88" i="4"/>
  <c r="J88" i="4"/>
  <c r="M88" i="4"/>
  <c r="P88" i="4"/>
  <c r="T88" i="4"/>
  <c r="U88" i="4"/>
  <c r="V88" i="4" s="1"/>
  <c r="B87" i="4"/>
  <c r="C87" i="4"/>
  <c r="F87" i="4"/>
  <c r="J87" i="4"/>
  <c r="M87" i="4"/>
  <c r="P87" i="4"/>
  <c r="T87" i="4"/>
  <c r="U87" i="4"/>
  <c r="V87" i="4" s="1"/>
  <c r="B86" i="4"/>
  <c r="C86" i="4"/>
  <c r="F86" i="4"/>
  <c r="J86" i="4"/>
  <c r="M86" i="4"/>
  <c r="P86" i="4"/>
  <c r="T86" i="4"/>
  <c r="U86" i="4"/>
  <c r="V86" i="4" s="1"/>
  <c r="B85" i="4"/>
  <c r="C85" i="4"/>
  <c r="F85" i="4"/>
  <c r="J85" i="4"/>
  <c r="M85" i="4"/>
  <c r="P85" i="4"/>
  <c r="T85" i="4"/>
  <c r="U85" i="4"/>
  <c r="V85" i="4" s="1"/>
  <c r="B84" i="4"/>
  <c r="C84" i="4"/>
  <c r="F84" i="4"/>
  <c r="J84" i="4"/>
  <c r="M84" i="4"/>
  <c r="P84" i="4"/>
  <c r="T84" i="4"/>
  <c r="U84" i="4"/>
  <c r="V84" i="4" s="1"/>
  <c r="H7" i="3"/>
  <c r="M7" i="3"/>
  <c r="Q7" i="3"/>
  <c r="R7" i="3"/>
  <c r="S7" i="3" s="1"/>
  <c r="H6" i="3"/>
  <c r="M6" i="3"/>
  <c r="Q6" i="3"/>
  <c r="R6" i="3"/>
  <c r="S6" i="3" s="1"/>
  <c r="B83" i="4" l="1"/>
  <c r="C83" i="4"/>
  <c r="F83" i="4"/>
  <c r="J83" i="4"/>
  <c r="M83" i="4"/>
  <c r="P83" i="4"/>
  <c r="T83" i="4"/>
  <c r="U83" i="4"/>
  <c r="V83" i="4" s="1"/>
  <c r="B82" i="4"/>
  <c r="C82" i="4"/>
  <c r="F82" i="4"/>
  <c r="J82" i="4"/>
  <c r="M82" i="4"/>
  <c r="P82" i="4"/>
  <c r="T82" i="4"/>
  <c r="U82" i="4"/>
  <c r="V82" i="4" s="1"/>
  <c r="B81" i="4"/>
  <c r="C81" i="4"/>
  <c r="F81" i="4"/>
  <c r="J81" i="4"/>
  <c r="M81" i="4"/>
  <c r="P81" i="4"/>
  <c r="T81" i="4"/>
  <c r="U81" i="4"/>
  <c r="V81" i="4" s="1"/>
  <c r="B80" i="4"/>
  <c r="C80" i="4"/>
  <c r="F80" i="4"/>
  <c r="J80" i="4"/>
  <c r="M80" i="4"/>
  <c r="P80" i="4"/>
  <c r="T80" i="4"/>
  <c r="U80" i="4"/>
  <c r="V80" i="4" s="1"/>
  <c r="B79" i="4"/>
  <c r="C79" i="4"/>
  <c r="F79" i="4"/>
  <c r="J79" i="4"/>
  <c r="M79" i="4"/>
  <c r="P79" i="4"/>
  <c r="T79" i="4"/>
  <c r="U79" i="4"/>
  <c r="V79" i="4" s="1"/>
  <c r="B78" i="4"/>
  <c r="C78" i="4"/>
  <c r="F78" i="4"/>
  <c r="J78" i="4"/>
  <c r="M78" i="4"/>
  <c r="P78" i="4"/>
  <c r="T78" i="4"/>
  <c r="U78" i="4"/>
  <c r="V78" i="4" s="1"/>
  <c r="B77" i="4"/>
  <c r="C77" i="4"/>
  <c r="F77" i="4"/>
  <c r="J77" i="4"/>
  <c r="M77" i="4"/>
  <c r="P77" i="4"/>
  <c r="T77" i="4"/>
  <c r="U77" i="4"/>
  <c r="V77" i="4" s="1"/>
  <c r="B76" i="4"/>
  <c r="C76" i="4"/>
  <c r="F76" i="4"/>
  <c r="J76" i="4"/>
  <c r="M76" i="4"/>
  <c r="P76" i="4"/>
  <c r="T76" i="4"/>
  <c r="U76" i="4"/>
  <c r="V76" i="4" s="1"/>
  <c r="B75" i="4"/>
  <c r="C75" i="4"/>
  <c r="F75" i="4"/>
  <c r="J75" i="4"/>
  <c r="M75" i="4"/>
  <c r="P75" i="4"/>
  <c r="T75" i="4"/>
  <c r="U75" i="4"/>
  <c r="V75" i="4" s="1"/>
  <c r="B74" i="4"/>
  <c r="C74" i="4"/>
  <c r="F74" i="4"/>
  <c r="J74" i="4"/>
  <c r="M74" i="4"/>
  <c r="P74" i="4"/>
  <c r="T74" i="4"/>
  <c r="U74" i="4"/>
  <c r="V74" i="4" s="1"/>
  <c r="M73" i="4"/>
  <c r="B73" i="4"/>
  <c r="C73" i="4"/>
  <c r="F73" i="4"/>
  <c r="J73" i="4"/>
  <c r="P73" i="4"/>
  <c r="T73" i="4"/>
  <c r="U73" i="4"/>
  <c r="V73" i="4" s="1"/>
  <c r="B72" i="4"/>
  <c r="C72" i="4"/>
  <c r="F72" i="4"/>
  <c r="J72" i="4"/>
  <c r="M72" i="4"/>
  <c r="P72" i="4"/>
  <c r="T72" i="4"/>
  <c r="U72" i="4"/>
  <c r="V72" i="4" s="1"/>
  <c r="B71" i="4"/>
  <c r="C71" i="4"/>
  <c r="F71" i="4"/>
  <c r="J71" i="4"/>
  <c r="M71" i="4"/>
  <c r="P71" i="4"/>
  <c r="T71" i="4"/>
  <c r="U71" i="4"/>
  <c r="V71" i="4" s="1"/>
  <c r="B70" i="4"/>
  <c r="C70" i="4"/>
  <c r="F70" i="4"/>
  <c r="J70" i="4"/>
  <c r="M70" i="4"/>
  <c r="P70" i="4"/>
  <c r="T70" i="4"/>
  <c r="U70" i="4"/>
  <c r="V70" i="4" s="1"/>
  <c r="B69" i="4"/>
  <c r="C69" i="4"/>
  <c r="F69" i="4"/>
  <c r="J69" i="4"/>
  <c r="M69" i="4"/>
  <c r="P69" i="4"/>
  <c r="T69" i="4"/>
  <c r="U69" i="4"/>
  <c r="V69" i="4" s="1"/>
  <c r="B68" i="4"/>
  <c r="C68" i="4"/>
  <c r="F68" i="4"/>
  <c r="J68" i="4"/>
  <c r="M68" i="4"/>
  <c r="P68" i="4"/>
  <c r="T68" i="4"/>
  <c r="U68" i="4"/>
  <c r="V68" i="4" s="1"/>
  <c r="B67" i="4"/>
  <c r="C67" i="4"/>
  <c r="F67" i="4"/>
  <c r="J67" i="4"/>
  <c r="M67" i="4"/>
  <c r="P67" i="4"/>
  <c r="T67" i="4"/>
  <c r="U67" i="4"/>
  <c r="V67" i="4" s="1"/>
  <c r="B66" i="4"/>
  <c r="C66" i="4"/>
  <c r="F66" i="4"/>
  <c r="J66" i="4"/>
  <c r="M66" i="4"/>
  <c r="P66" i="4"/>
  <c r="T66" i="4"/>
  <c r="U66" i="4"/>
  <c r="V66" i="4" s="1"/>
  <c r="C65" i="4"/>
  <c r="B65" i="4"/>
  <c r="F65" i="4"/>
  <c r="J65" i="4"/>
  <c r="M65" i="4"/>
  <c r="P65" i="4"/>
  <c r="T65" i="4"/>
  <c r="U65" i="4"/>
  <c r="V65" i="4" s="1"/>
  <c r="B64" i="4"/>
  <c r="C64" i="4"/>
  <c r="F64" i="4"/>
  <c r="J64" i="4"/>
  <c r="M64" i="4"/>
  <c r="P64" i="4"/>
  <c r="T64" i="4"/>
  <c r="U64" i="4"/>
  <c r="V64" i="4" s="1"/>
  <c r="B63" i="4"/>
  <c r="C63" i="4"/>
  <c r="F63" i="4"/>
  <c r="J63" i="4"/>
  <c r="M63" i="4"/>
  <c r="P63" i="4"/>
  <c r="T63" i="4"/>
  <c r="U63" i="4"/>
  <c r="V63" i="4" s="1"/>
  <c r="B62" i="4"/>
  <c r="C62" i="4"/>
  <c r="F62" i="4"/>
  <c r="J62" i="4"/>
  <c r="M62" i="4"/>
  <c r="P62" i="4"/>
  <c r="T62" i="4"/>
  <c r="U62" i="4"/>
  <c r="V62" i="4" s="1"/>
  <c r="B61" i="4"/>
  <c r="C61" i="4"/>
  <c r="F61" i="4"/>
  <c r="J61" i="4"/>
  <c r="M61" i="4"/>
  <c r="P61" i="4"/>
  <c r="T61" i="4"/>
  <c r="U61" i="4"/>
  <c r="V61" i="4" s="1"/>
  <c r="B60" i="4"/>
  <c r="C60" i="4"/>
  <c r="F60" i="4"/>
  <c r="J60" i="4"/>
  <c r="M60" i="4"/>
  <c r="P60" i="4"/>
  <c r="T60" i="4"/>
  <c r="U60" i="4"/>
  <c r="V60" i="4" s="1"/>
  <c r="B59" i="4"/>
  <c r="C59" i="4"/>
  <c r="F59" i="4"/>
  <c r="J59" i="4"/>
  <c r="M59" i="4"/>
  <c r="P59" i="4"/>
  <c r="T59" i="4"/>
  <c r="U59" i="4"/>
  <c r="V59" i="4" s="1"/>
  <c r="F58" i="4"/>
  <c r="B58" i="4"/>
  <c r="C58" i="4"/>
  <c r="J58" i="4"/>
  <c r="M58" i="4"/>
  <c r="P58" i="4"/>
  <c r="T58" i="4"/>
  <c r="U58" i="4"/>
  <c r="V58" i="4" s="1"/>
  <c r="T57" i="4"/>
  <c r="M57" i="4"/>
  <c r="B57" i="4"/>
  <c r="C57" i="4"/>
  <c r="F57" i="4"/>
  <c r="J57" i="4"/>
  <c r="P57" i="4"/>
  <c r="U57" i="4"/>
  <c r="V57" i="4" s="1"/>
  <c r="B56" i="4"/>
  <c r="C56" i="4"/>
  <c r="F56" i="4"/>
  <c r="J56" i="4"/>
  <c r="M56" i="4"/>
  <c r="P56" i="4"/>
  <c r="T56" i="4"/>
  <c r="U56" i="4"/>
  <c r="V56" i="4" s="1"/>
  <c r="B55" i="4"/>
  <c r="C55" i="4"/>
  <c r="F55" i="4"/>
  <c r="J55" i="4"/>
  <c r="M55" i="4"/>
  <c r="P55" i="4"/>
  <c r="T55" i="4"/>
  <c r="U55" i="4"/>
  <c r="V55" i="4" s="1"/>
  <c r="B54" i="4"/>
  <c r="C54" i="4"/>
  <c r="F54" i="4"/>
  <c r="J54" i="4"/>
  <c r="M54" i="4"/>
  <c r="P54" i="4"/>
  <c r="T54" i="4"/>
  <c r="U54" i="4"/>
  <c r="V54" i="4" s="1"/>
  <c r="B53" i="4"/>
  <c r="C53" i="4"/>
  <c r="F53" i="4"/>
  <c r="J53" i="4"/>
  <c r="M53" i="4"/>
  <c r="P53" i="4"/>
  <c r="T53" i="4"/>
  <c r="U53" i="4"/>
  <c r="V53" i="4" s="1"/>
  <c r="B52" i="4"/>
  <c r="C52" i="4"/>
  <c r="F52" i="4"/>
  <c r="J52" i="4"/>
  <c r="M52" i="4"/>
  <c r="P52" i="4"/>
  <c r="T52" i="4"/>
  <c r="U52" i="4"/>
  <c r="V52" i="4" s="1"/>
  <c r="B51" i="4"/>
  <c r="C51" i="4"/>
  <c r="F51" i="4"/>
  <c r="J51" i="4"/>
  <c r="M51" i="4"/>
  <c r="P51" i="4"/>
  <c r="T51" i="4"/>
  <c r="U51" i="4"/>
  <c r="V51" i="4" s="1"/>
  <c r="M50" i="4"/>
  <c r="B50" i="4"/>
  <c r="C50" i="4"/>
  <c r="F50" i="4"/>
  <c r="J50" i="4"/>
  <c r="P50" i="4"/>
  <c r="T50" i="4"/>
  <c r="U50" i="4"/>
  <c r="V50" i="4" s="1"/>
  <c r="B49" i="4"/>
  <c r="C49" i="4"/>
  <c r="F49" i="4"/>
  <c r="J49" i="4"/>
  <c r="M49" i="4"/>
  <c r="P49" i="4"/>
  <c r="T49" i="4"/>
  <c r="U49" i="4"/>
  <c r="V49" i="4" s="1"/>
  <c r="B48" i="4"/>
  <c r="C48" i="4"/>
  <c r="F48" i="4"/>
  <c r="J48" i="4"/>
  <c r="M48" i="4"/>
  <c r="P48" i="4"/>
  <c r="T48" i="4"/>
  <c r="U48" i="4"/>
  <c r="V48" i="4" s="1"/>
  <c r="B47" i="4"/>
  <c r="C47" i="4"/>
  <c r="F47" i="4"/>
  <c r="J47" i="4"/>
  <c r="M47" i="4"/>
  <c r="P47" i="4"/>
  <c r="U47" i="4"/>
  <c r="V47" i="4" s="1"/>
  <c r="B46" i="4"/>
  <c r="C46" i="4"/>
  <c r="F46" i="4"/>
  <c r="J46" i="4"/>
  <c r="M46" i="4"/>
  <c r="P46" i="4"/>
  <c r="T46" i="4"/>
  <c r="U46" i="4"/>
  <c r="V46" i="4" s="1"/>
  <c r="B45" i="4"/>
  <c r="C45" i="4"/>
  <c r="F45" i="4"/>
  <c r="J45" i="4"/>
  <c r="M45" i="4"/>
  <c r="P45" i="4"/>
  <c r="T45" i="4"/>
  <c r="U45" i="4"/>
  <c r="V45" i="4" s="1"/>
  <c r="H5" i="3"/>
  <c r="M5" i="3"/>
  <c r="Q5" i="3"/>
  <c r="R5" i="3"/>
  <c r="S5" i="3" s="1"/>
  <c r="H4" i="3"/>
  <c r="M4" i="3"/>
  <c r="Q4" i="3"/>
  <c r="R4" i="3"/>
  <c r="S4" i="3" s="1"/>
  <c r="B44" i="4"/>
  <c r="C44" i="4"/>
  <c r="F44" i="4"/>
  <c r="J44" i="4"/>
  <c r="M44" i="4"/>
  <c r="P44" i="4"/>
  <c r="T44" i="4"/>
  <c r="U44" i="4"/>
  <c r="V44" i="4" s="1"/>
  <c r="B43" i="4"/>
  <c r="C43" i="4"/>
  <c r="F43" i="4"/>
  <c r="J43" i="4"/>
  <c r="M43" i="4"/>
  <c r="P43" i="4"/>
  <c r="T43" i="4"/>
  <c r="U43" i="4"/>
  <c r="V43" i="4" s="1"/>
  <c r="B42" i="4"/>
  <c r="C42" i="4"/>
  <c r="F42" i="4"/>
  <c r="J42" i="4"/>
  <c r="M42" i="4"/>
  <c r="P42" i="4"/>
  <c r="T42" i="4"/>
  <c r="U42" i="4"/>
  <c r="V42" i="4" s="1"/>
  <c r="F41" i="4"/>
  <c r="B41" i="4"/>
  <c r="C41" i="4"/>
  <c r="J41" i="4"/>
  <c r="M41" i="4"/>
  <c r="P41" i="4"/>
  <c r="T41" i="4"/>
  <c r="U41" i="4"/>
  <c r="V41" i="4" s="1"/>
  <c r="B40" i="4"/>
  <c r="C40" i="4"/>
  <c r="F40" i="4"/>
  <c r="J40" i="4"/>
  <c r="M40" i="4"/>
  <c r="P40" i="4"/>
  <c r="T40" i="4"/>
  <c r="U40" i="4"/>
  <c r="V40" i="4" s="1"/>
  <c r="B39" i="4"/>
  <c r="C39" i="4"/>
  <c r="F39" i="4"/>
  <c r="J39" i="4"/>
  <c r="M39" i="4"/>
  <c r="P39" i="4"/>
  <c r="T39" i="4"/>
  <c r="U39" i="4"/>
  <c r="V39" i="4" s="1"/>
  <c r="B38" i="4"/>
  <c r="C38" i="4"/>
  <c r="F38" i="4"/>
  <c r="J38" i="4"/>
  <c r="M38" i="4"/>
  <c r="P38" i="4"/>
  <c r="T38" i="4"/>
  <c r="U38" i="4"/>
  <c r="V38" i="4" s="1"/>
  <c r="B37" i="4"/>
  <c r="C37" i="4"/>
  <c r="F37" i="4"/>
  <c r="J37" i="4"/>
  <c r="M37" i="4"/>
  <c r="P37" i="4"/>
  <c r="T37" i="4"/>
  <c r="U37" i="4"/>
  <c r="V37" i="4" s="1"/>
  <c r="B36" i="4"/>
  <c r="C36" i="4"/>
  <c r="F36" i="4"/>
  <c r="J36" i="4"/>
  <c r="M36" i="4"/>
  <c r="P36" i="4"/>
  <c r="T36" i="4"/>
  <c r="U36" i="4"/>
  <c r="V36" i="4" s="1"/>
  <c r="B35" i="4"/>
  <c r="C35" i="4"/>
  <c r="F35" i="4"/>
  <c r="J35" i="4"/>
  <c r="M35" i="4"/>
  <c r="P35" i="4"/>
  <c r="T35" i="4"/>
  <c r="U35" i="4"/>
  <c r="V35" i="4" s="1"/>
  <c r="B34" i="4"/>
  <c r="C34" i="4"/>
  <c r="F34" i="4"/>
  <c r="J34" i="4"/>
  <c r="M34" i="4"/>
  <c r="P34" i="4"/>
  <c r="T34" i="4"/>
  <c r="U34" i="4"/>
  <c r="V34" i="4" s="1"/>
  <c r="B33" i="4"/>
  <c r="C33" i="4"/>
  <c r="F33" i="4"/>
  <c r="J33" i="4"/>
  <c r="M33" i="4"/>
  <c r="P33" i="4"/>
  <c r="T33" i="4"/>
  <c r="U33" i="4"/>
  <c r="V33" i="4" s="1"/>
  <c r="B32" i="4"/>
  <c r="C32" i="4"/>
  <c r="F32" i="4"/>
  <c r="J32" i="4"/>
  <c r="M32" i="4"/>
  <c r="P32" i="4"/>
  <c r="T32" i="4"/>
  <c r="U32" i="4"/>
  <c r="V32" i="4" s="1"/>
  <c r="B31" i="4"/>
  <c r="C31" i="4"/>
  <c r="F31" i="4"/>
  <c r="J31" i="4"/>
  <c r="M31" i="4"/>
  <c r="P31" i="4"/>
  <c r="T31" i="4"/>
  <c r="U31" i="4"/>
  <c r="V31" i="4" s="1"/>
  <c r="B30" i="4"/>
  <c r="C30" i="4"/>
  <c r="F30" i="4"/>
  <c r="J30" i="4"/>
  <c r="M30" i="4"/>
  <c r="P30" i="4"/>
  <c r="T30" i="4"/>
  <c r="U30" i="4"/>
  <c r="V30" i="4" s="1"/>
  <c r="B29" i="4"/>
  <c r="C29" i="4"/>
  <c r="F29" i="4"/>
  <c r="J29" i="4"/>
  <c r="M29" i="4"/>
  <c r="P29" i="4"/>
  <c r="T29" i="4"/>
  <c r="U29" i="4"/>
  <c r="V29" i="4" s="1"/>
  <c r="B28" i="4"/>
  <c r="C28" i="4"/>
  <c r="F28" i="4"/>
  <c r="J28" i="4"/>
  <c r="M28" i="4"/>
  <c r="P28" i="4"/>
  <c r="T28" i="4"/>
  <c r="U28" i="4"/>
  <c r="V28" i="4" s="1"/>
  <c r="B27" i="4"/>
  <c r="C27" i="4"/>
  <c r="F27" i="4"/>
  <c r="J27" i="4"/>
  <c r="M27" i="4"/>
  <c r="P27" i="4"/>
  <c r="T27" i="4"/>
  <c r="U27" i="4"/>
  <c r="V27" i="4" s="1"/>
  <c r="B26" i="4"/>
  <c r="C26" i="4"/>
  <c r="F26" i="4"/>
  <c r="J26" i="4"/>
  <c r="M26" i="4"/>
  <c r="P26" i="4"/>
  <c r="T26" i="4"/>
  <c r="U26" i="4"/>
  <c r="V26" i="4" s="1"/>
  <c r="B25" i="4"/>
  <c r="C25" i="4"/>
  <c r="F25" i="4"/>
  <c r="J25" i="4"/>
  <c r="M25" i="4"/>
  <c r="P25" i="4"/>
  <c r="T25" i="4"/>
  <c r="U25" i="4"/>
  <c r="V25" i="4" s="1"/>
  <c r="B24" i="4"/>
  <c r="C24" i="4"/>
  <c r="F24" i="4"/>
  <c r="J24" i="4"/>
  <c r="M24" i="4"/>
  <c r="P24" i="4"/>
  <c r="T24" i="4"/>
  <c r="U24" i="4"/>
  <c r="V24" i="4" s="1"/>
  <c r="B23" i="4"/>
  <c r="C23" i="4"/>
  <c r="F23" i="4"/>
  <c r="J23" i="4"/>
  <c r="M23" i="4"/>
  <c r="P23" i="4"/>
  <c r="T23" i="4"/>
  <c r="U23" i="4"/>
  <c r="V23" i="4" s="1"/>
  <c r="B22" i="4"/>
  <c r="C22" i="4"/>
  <c r="F22" i="4"/>
  <c r="J22" i="4"/>
  <c r="M22" i="4"/>
  <c r="P22" i="4"/>
  <c r="T22" i="4"/>
  <c r="U22" i="4"/>
  <c r="V22" i="4" s="1"/>
  <c r="B21" i="4"/>
  <c r="C21" i="4"/>
  <c r="F21" i="4"/>
  <c r="J21" i="4"/>
  <c r="M21" i="4"/>
  <c r="P21" i="4"/>
  <c r="T21" i="4"/>
  <c r="U21" i="4"/>
  <c r="V21" i="4" s="1"/>
  <c r="B20" i="4"/>
  <c r="C20" i="4"/>
  <c r="F20" i="4"/>
  <c r="J20" i="4"/>
  <c r="M20" i="4"/>
  <c r="P20" i="4"/>
  <c r="T20" i="4"/>
  <c r="U20" i="4"/>
  <c r="V20" i="4" s="1"/>
  <c r="B19" i="4"/>
  <c r="C19" i="4"/>
  <c r="F19" i="4"/>
  <c r="J19" i="4"/>
  <c r="M19" i="4"/>
  <c r="P19" i="4"/>
  <c r="T19" i="4"/>
  <c r="U19" i="4"/>
  <c r="V19" i="4" s="1"/>
  <c r="B18" i="4"/>
  <c r="C18" i="4"/>
  <c r="F18" i="4"/>
  <c r="J18" i="4"/>
  <c r="M18" i="4"/>
  <c r="P18" i="4"/>
  <c r="T18" i="4"/>
  <c r="U18" i="4"/>
  <c r="V18" i="4" s="1"/>
  <c r="B17" i="4"/>
  <c r="C17" i="4"/>
  <c r="F17" i="4"/>
  <c r="J17" i="4"/>
  <c r="M17" i="4"/>
  <c r="P17" i="4"/>
  <c r="T17" i="4"/>
  <c r="U17" i="4"/>
  <c r="V17" i="4" s="1"/>
  <c r="B16" i="4"/>
  <c r="C16" i="4"/>
  <c r="F16" i="4"/>
  <c r="J16" i="4"/>
  <c r="M16" i="4"/>
  <c r="P16" i="4"/>
  <c r="T16" i="4"/>
  <c r="U16" i="4"/>
  <c r="V16" i="4" s="1"/>
  <c r="B15" i="4"/>
  <c r="C15" i="4"/>
  <c r="F15" i="4"/>
  <c r="J15" i="4"/>
  <c r="M15" i="4"/>
  <c r="P15" i="4"/>
  <c r="T15" i="4"/>
  <c r="U15" i="4"/>
  <c r="V15" i="4" s="1"/>
  <c r="B14" i="4"/>
  <c r="C14" i="4"/>
  <c r="F14" i="4"/>
  <c r="J14" i="4"/>
  <c r="M14" i="4"/>
  <c r="P14" i="4"/>
  <c r="T14" i="4"/>
  <c r="U14" i="4"/>
  <c r="V14" i="4" s="1"/>
  <c r="J12" i="4"/>
  <c r="J13" i="4"/>
  <c r="B13" i="4"/>
  <c r="C13" i="4"/>
  <c r="F13" i="4"/>
  <c r="M13" i="4"/>
  <c r="P13" i="4"/>
  <c r="T13" i="4"/>
  <c r="U13" i="4"/>
  <c r="V13" i="4" s="1"/>
  <c r="F2" i="4"/>
  <c r="F3" i="4"/>
  <c r="F4" i="4"/>
  <c r="F5" i="4"/>
  <c r="F6" i="4"/>
  <c r="F7" i="4"/>
  <c r="F8" i="4"/>
  <c r="F9" i="4"/>
  <c r="F10" i="4"/>
  <c r="F11" i="4"/>
  <c r="F12" i="4"/>
  <c r="B12" i="4"/>
  <c r="C12" i="4"/>
  <c r="M12" i="4"/>
  <c r="P12" i="4"/>
  <c r="T12" i="4"/>
  <c r="U12" i="4"/>
  <c r="V12" i="4" s="1"/>
  <c r="B11" i="4"/>
  <c r="C11" i="4"/>
  <c r="J11" i="4"/>
  <c r="M11" i="4"/>
  <c r="P11" i="4"/>
  <c r="T11" i="4"/>
  <c r="U11" i="4"/>
  <c r="V11" i="4" s="1"/>
  <c r="B10" i="4"/>
  <c r="C10" i="4"/>
  <c r="J10" i="4"/>
  <c r="M10" i="4"/>
  <c r="P10" i="4"/>
  <c r="T10" i="4"/>
  <c r="U10" i="4"/>
  <c r="V10" i="4" s="1"/>
  <c r="B9" i="4"/>
  <c r="C9" i="4"/>
  <c r="J9" i="4"/>
  <c r="M9" i="4"/>
  <c r="P9" i="4"/>
  <c r="T9" i="4"/>
  <c r="U9" i="4"/>
  <c r="V9" i="4" s="1"/>
  <c r="B8" i="4"/>
  <c r="C8" i="4"/>
  <c r="J8" i="4"/>
  <c r="M8" i="4"/>
  <c r="P8" i="4"/>
  <c r="T8" i="4"/>
  <c r="U8" i="4"/>
  <c r="V8" i="4" s="1"/>
  <c r="B7" i="4"/>
  <c r="C7" i="4"/>
  <c r="J7" i="4"/>
  <c r="M7" i="4"/>
  <c r="P7" i="4"/>
  <c r="T7" i="4"/>
  <c r="U7" i="4"/>
  <c r="V7" i="4" s="1"/>
  <c r="B6" i="4"/>
  <c r="C6" i="4"/>
  <c r="J6" i="4"/>
  <c r="M6" i="4"/>
  <c r="P6" i="4"/>
  <c r="T6" i="4"/>
  <c r="U6" i="4"/>
  <c r="V6" i="4" s="1"/>
  <c r="B5" i="4"/>
  <c r="C5" i="4"/>
  <c r="J5" i="4"/>
  <c r="M5" i="4"/>
  <c r="P5" i="4"/>
  <c r="T5" i="4"/>
  <c r="U5" i="4"/>
  <c r="V5" i="4" s="1"/>
  <c r="B4" i="4"/>
  <c r="C4" i="4"/>
  <c r="J4" i="4"/>
  <c r="M4" i="4"/>
  <c r="P4" i="4"/>
  <c r="T4" i="4"/>
  <c r="U4" i="4"/>
  <c r="V4" i="4" s="1"/>
  <c r="B2" i="4"/>
  <c r="B3" i="4"/>
  <c r="C3" i="4"/>
  <c r="J3" i="4"/>
  <c r="M3" i="4"/>
  <c r="P3" i="4"/>
  <c r="T3" i="4"/>
  <c r="U3" i="4"/>
  <c r="V3" i="4" s="1"/>
  <c r="C2" i="4"/>
  <c r="J2" i="4"/>
  <c r="M2" i="4"/>
  <c r="P2" i="4"/>
  <c r="T2" i="4"/>
  <c r="U2" i="4"/>
  <c r="V2" i="4" s="1"/>
  <c r="H3" i="3"/>
  <c r="M3" i="3"/>
  <c r="Q3" i="3"/>
  <c r="R3" i="3"/>
  <c r="S3" i="3" s="1"/>
  <c r="M2" i="3"/>
  <c r="R2" i="3"/>
  <c r="S2" i="3" s="1"/>
  <c r="Q2" i="3"/>
  <c r="H2" i="3"/>
</calcChain>
</file>

<file path=xl/sharedStrings.xml><?xml version="1.0" encoding="utf-8"?>
<sst xmlns="http://schemas.openxmlformats.org/spreadsheetml/2006/main" count="1209" uniqueCount="96">
  <si>
    <t>Data</t>
  </si>
  <si>
    <t>Placa</t>
  </si>
  <si>
    <t>Carreta</t>
  </si>
  <si>
    <t>Motorista</t>
  </si>
  <si>
    <t>Valor Frete</t>
  </si>
  <si>
    <t>Valor Mercadoria</t>
  </si>
  <si>
    <t>Peso</t>
  </si>
  <si>
    <t>% Frete</t>
  </si>
  <si>
    <t>Hr Saida</t>
  </si>
  <si>
    <t>Hr Chegada</t>
  </si>
  <si>
    <t>Tempo</t>
  </si>
  <si>
    <t>Km Saída</t>
  </si>
  <si>
    <t>Km Chegada</t>
  </si>
  <si>
    <t>Km/Dia</t>
  </si>
  <si>
    <t>Qtde Entregas</t>
  </si>
  <si>
    <t>Entregas Realizadas</t>
  </si>
  <si>
    <t xml:space="preserve"> Retornadas</t>
  </si>
  <si>
    <t>% Entrega</t>
  </si>
  <si>
    <t>Meta</t>
  </si>
  <si>
    <t>Cidade Destino</t>
  </si>
  <si>
    <t>Nfs Voltaram</t>
  </si>
  <si>
    <t>Código ocorrência</t>
  </si>
  <si>
    <t>IUG8882</t>
  </si>
  <si>
    <t>RKV1173</t>
  </si>
  <si>
    <t>Arnaldo</t>
  </si>
  <si>
    <t>LTY8B39</t>
  </si>
  <si>
    <t>Gilberto</t>
  </si>
  <si>
    <t>IUG8855</t>
  </si>
  <si>
    <t>RJA2C91</t>
  </si>
  <si>
    <t>IUG8744</t>
  </si>
  <si>
    <t>Sandro</t>
  </si>
  <si>
    <t>IUG8767</t>
  </si>
  <si>
    <t>Jerson</t>
  </si>
  <si>
    <t>IYD7460</t>
  </si>
  <si>
    <t>Paulo</t>
  </si>
  <si>
    <t>IXY4731</t>
  </si>
  <si>
    <t>IVX5G13</t>
  </si>
  <si>
    <t>TBO7E32</t>
  </si>
  <si>
    <t>Manoel</t>
  </si>
  <si>
    <t>Belém</t>
  </si>
  <si>
    <t>Benevides</t>
  </si>
  <si>
    <t>Castanhal</t>
  </si>
  <si>
    <t>Vols</t>
  </si>
  <si>
    <t>Ananindeua</t>
  </si>
  <si>
    <t>NXW6G67</t>
  </si>
  <si>
    <t>Marinaldo</t>
  </si>
  <si>
    <t>Frete</t>
  </si>
  <si>
    <t>% Frete T</t>
  </si>
  <si>
    <t>Entregas</t>
  </si>
  <si>
    <t>Realizadas</t>
  </si>
  <si>
    <t>Ocorrência</t>
  </si>
  <si>
    <t>Mês</t>
  </si>
  <si>
    <t>Ano</t>
  </si>
  <si>
    <t>TRD2G21</t>
  </si>
  <si>
    <t>Osvaldo</t>
  </si>
  <si>
    <t>Wesley</t>
  </si>
  <si>
    <t>Edilson</t>
  </si>
  <si>
    <t>NSE5B85</t>
  </si>
  <si>
    <t>Silvio</t>
  </si>
  <si>
    <t>38, 9</t>
  </si>
  <si>
    <t>9 , 5</t>
  </si>
  <si>
    <t>42, 9</t>
  </si>
  <si>
    <t>Rosinaldo</t>
  </si>
  <si>
    <t>Marituba</t>
  </si>
  <si>
    <t>Santa Izabel</t>
  </si>
  <si>
    <t>JVY9G53</t>
  </si>
  <si>
    <t>Pedro</t>
  </si>
  <si>
    <t>10,13,5</t>
  </si>
  <si>
    <t>13,13,13,13,13</t>
  </si>
  <si>
    <t>13,13,13</t>
  </si>
  <si>
    <t>13,13,13,38,38</t>
  </si>
  <si>
    <t>13,13,13,13</t>
  </si>
  <si>
    <t>13,13,13,13,13,13,13,13,13,13,8,8,8,8</t>
  </si>
  <si>
    <t>Rota</t>
  </si>
  <si>
    <t>13,13,13,13,13,13,13,13</t>
  </si>
  <si>
    <t>13,13,38,38,38,38,10</t>
  </si>
  <si>
    <t>38,38,38,38,38</t>
  </si>
  <si>
    <t>13,13,13,13,13,13,13,13,13</t>
  </si>
  <si>
    <t>William</t>
  </si>
  <si>
    <t>5,5,8,8</t>
  </si>
  <si>
    <t>13,27,27,27</t>
  </si>
  <si>
    <t>Heremilton</t>
  </si>
  <si>
    <t>38,38,38</t>
  </si>
  <si>
    <t>42,10,13,13</t>
  </si>
  <si>
    <t>42,9,9</t>
  </si>
  <si>
    <t>38,38,38,9,13,13,13</t>
  </si>
  <si>
    <t>10,9,42,9</t>
  </si>
  <si>
    <t>13,13,13,13,9</t>
  </si>
  <si>
    <t>27,27,27,27</t>
  </si>
  <si>
    <t>38,38,38,38</t>
  </si>
  <si>
    <t>13,13,8</t>
  </si>
  <si>
    <t>Mosqueiro</t>
  </si>
  <si>
    <t>38,38,38,8</t>
  </si>
  <si>
    <t>38,8,8</t>
  </si>
  <si>
    <t>9,9,9,9,38</t>
  </si>
  <si>
    <t>9,9,13,13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</si>
</sst>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&quot; R$ &quot;* #,##0.00&quot; &quot;;&quot;-R$ &quot;* #,##0.00&quot; &quot;;&quot; R$ &quot;* &quot;-&quot;00&quot; &quot;;&quot; &quot;@&quot; &quot;"/>
    <numFmt numFmtId="165" formatCode="&quot; &quot;[$R$-416]&quot; &quot;* #,##0.00&quot; &quot;;&quot;-&quot;[$R$-416]&quot; &quot;* #,##0.00&quot; &quot;;&quot; &quot;[$R$-416]&quot; &quot;* &quot;-&quot;#&quot; &quot;;&quot; &quot;@&quot; &quot;"/>
    <numFmt numFmtId="166" formatCode="[h]:mm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outline/>
      <sz val="11"/>
      <color rgb="FFFFFFFF"/>
      <name val="Calibri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Border="0" applyProtection="0"/>
    <xf numFmtId="164" fontId="4" fillId="0" borderId="0" applyFont="0" applyBorder="0" applyProtection="0"/>
    <xf numFmtId="165" fontId="4" fillId="0" borderId="0" applyFont="0" applyFill="0" applyBorder="0" applyAlignment="0" applyProtection="0"/>
  </cellStyleXfs>
  <cellXfs count="28">
    <xf numFmtId="0" fontId="0" fillId="0" borderId="0" xfId="0"/>
    <xf numFmtId="0" fontId="3" fillId="2" borderId="2" xfId="3" applyFont="1" applyFill="1" applyBorder="1" applyAlignment="1">
      <alignment horizontal="center" vertical="center"/>
    </xf>
    <xf numFmtId="0" fontId="3" fillId="2" borderId="3" xfId="3" applyFont="1" applyFill="1" applyBorder="1" applyAlignment="1">
      <alignment horizontal="center" vertical="center"/>
    </xf>
    <xf numFmtId="0" fontId="3" fillId="2" borderId="4" xfId="3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164" fontId="2" fillId="0" borderId="8" xfId="4" applyFont="1" applyBorder="1" applyAlignment="1">
      <alignment horizontal="center"/>
    </xf>
    <xf numFmtId="10" fontId="2" fillId="0" borderId="9" xfId="5" applyNumberFormat="1" applyFont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10" fontId="0" fillId="0" borderId="6" xfId="2" applyNumberFormat="1" applyFont="1" applyBorder="1" applyAlignment="1">
      <alignment horizontal="center"/>
    </xf>
    <xf numFmtId="44" fontId="0" fillId="0" borderId="6" xfId="1" applyFont="1" applyBorder="1" applyAlignment="1">
      <alignment horizontal="center"/>
    </xf>
    <xf numFmtId="20" fontId="0" fillId="0" borderId="6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10" fontId="2" fillId="0" borderId="1" xfId="5" applyNumberFormat="1" applyFont="1" applyBorder="1" applyAlignment="1">
      <alignment horizontal="center"/>
    </xf>
    <xf numFmtId="164" fontId="2" fillId="0" borderId="1" xfId="4" applyFont="1" applyBorder="1" applyAlignment="1">
      <alignment horizontal="center"/>
    </xf>
    <xf numFmtId="166" fontId="0" fillId="0" borderId="6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0" fontId="2" fillId="0" borderId="6" xfId="3" applyNumberFormat="1" applyBorder="1" applyAlignment="1">
      <alignment horizontal="center"/>
    </xf>
    <xf numFmtId="10" fontId="2" fillId="0" borderId="1" xfId="1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4" fontId="0" fillId="0" borderId="0" xfId="1" applyFont="1"/>
    <xf numFmtId="44" fontId="3" fillId="2" borderId="3" xfId="1" applyFont="1" applyFill="1" applyBorder="1" applyAlignment="1">
      <alignment horizontal="center" vertical="center"/>
    </xf>
    <xf numFmtId="14" fontId="3" fillId="2" borderId="2" xfId="3" applyNumberFormat="1" applyFont="1" applyFill="1" applyBorder="1" applyAlignment="1">
      <alignment horizontal="center" vertical="center"/>
    </xf>
    <xf numFmtId="14" fontId="0" fillId="0" borderId="0" xfId="0" applyNumberFormat="1"/>
    <xf numFmtId="44" fontId="3" fillId="2" borderId="3" xfId="3" applyNumberFormat="1" applyFont="1" applyFill="1" applyBorder="1" applyAlignment="1">
      <alignment horizontal="center" vertical="center"/>
    </xf>
    <xf numFmtId="44" fontId="0" fillId="0" borderId="0" xfId="0" applyNumberFormat="1"/>
    <xf numFmtId="0" fontId="0" fillId="0" borderId="5" xfId="0" applyNumberFormat="1" applyBorder="1" applyAlignment="1">
      <alignment horizontal="center"/>
    </xf>
    <xf numFmtId="44" fontId="0" fillId="0" borderId="6" xfId="1" applyNumberFormat="1" applyFont="1" applyBorder="1" applyAlignment="1">
      <alignment horizontal="center"/>
    </xf>
  </cellXfs>
  <cellStyles count="6">
    <cellStyle name="Moeda" xfId="1" builtinId="4"/>
    <cellStyle name="Moeda 2 2" xfId="5" xr:uid="{213BF60D-2A3B-4125-AC13-CF8E5639E2C1}"/>
    <cellStyle name="Moeda 3" xfId="4" xr:uid="{0F6A0B39-ABEB-45F8-9B63-380D53288F03}"/>
    <cellStyle name="Normal" xfId="0" builtinId="0"/>
    <cellStyle name="Normal 2 2 2" xfId="3" xr:uid="{F6D7429B-6BC2-41D1-B818-FB0128371036}"/>
    <cellStyle name="Porcentagem" xfId="2" builtinId="5"/>
  </cellStyles>
  <dxfs count="134">
    <dxf>
      <font>
        <b/>
        <color rgb="FF00B050"/>
        <family val="2"/>
      </font>
    </dxf>
    <dxf>
      <font>
        <b/>
        <color rgb="FFFF0000"/>
        <family val="2"/>
      </font>
    </dxf>
    <dxf>
      <font>
        <b/>
        <color rgb="FF00B050"/>
        <family val="2"/>
      </font>
    </dxf>
    <dxf>
      <font>
        <b/>
        <color rgb="FF00B050"/>
        <family val="2"/>
      </font>
    </dxf>
    <dxf>
      <font>
        <b/>
        <color rgb="FFFF0000"/>
        <family val="2"/>
      </font>
    </dxf>
    <dxf>
      <font>
        <b/>
        <color rgb="FFFF0000"/>
        <family val="2"/>
      </font>
    </dxf>
    <dxf>
      <font>
        <b/>
        <color rgb="FF00B050"/>
        <family val="2"/>
      </font>
    </dxf>
    <dxf>
      <font>
        <b/>
        <color rgb="FF00B050"/>
        <family val="2"/>
      </font>
    </dxf>
    <dxf>
      <font>
        <b/>
        <color rgb="FFFF0000"/>
        <family val="2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color rgb="FF00B050"/>
        <family val="2"/>
      </font>
    </dxf>
    <dxf>
      <font>
        <b/>
        <color rgb="FFFF0000"/>
        <family val="2"/>
      </font>
    </dxf>
    <dxf>
      <font>
        <b/>
        <color rgb="FF00B050"/>
        <family val="2"/>
      </font>
    </dxf>
    <dxf>
      <font>
        <b/>
        <color rgb="FF00B050"/>
        <family val="2"/>
      </font>
    </dxf>
    <dxf>
      <font>
        <b/>
        <color rgb="FFFF0000"/>
        <family val="2"/>
      </font>
    </dxf>
    <dxf>
      <font>
        <b/>
        <color rgb="FFFF0000"/>
        <family val="2"/>
      </font>
    </dxf>
    <dxf>
      <font>
        <b/>
        <color rgb="FF00B050"/>
        <family val="2"/>
      </font>
    </dxf>
    <dxf>
      <font>
        <b/>
        <color rgb="FF00B050"/>
        <family val="2"/>
      </font>
    </dxf>
    <dxf>
      <font>
        <b/>
        <color rgb="FFFF0000"/>
        <family val="2"/>
      </font>
    </dxf>
    <dxf>
      <font>
        <b/>
        <i val="0"/>
        <color rgb="FF00B050"/>
      </font>
    </dxf>
    <dxf>
      <font>
        <b/>
        <i val="0"/>
        <color rgb="FFFF0000"/>
      </font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Calibri"/>
        <family val="2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rgb="FF000000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[h]:mm"/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[h]:mm"/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5" formatCode="hh:mm"/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numFmt numFmtId="19" formatCode="dd/mm/yyyy"/>
      <alignment horizont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0070C0"/>
          <bgColor rgb="FF0070C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color rgb="FF00B050"/>
        <family val="2"/>
      </font>
    </dxf>
    <dxf>
      <font>
        <b/>
        <color rgb="FFFF0000"/>
        <family val="2"/>
      </font>
    </dxf>
    <dxf>
      <font>
        <b/>
        <color rgb="FF00B050"/>
        <family val="2"/>
      </font>
    </dxf>
    <dxf>
      <font>
        <b/>
        <color rgb="FF00B050"/>
        <family val="2"/>
      </font>
    </dxf>
    <dxf>
      <font>
        <b/>
        <color rgb="FFFF0000"/>
        <family val="2"/>
      </font>
    </dxf>
    <dxf>
      <font>
        <b/>
        <color rgb="FFFF0000"/>
        <family val="2"/>
      </font>
    </dxf>
    <dxf>
      <font>
        <b/>
        <color rgb="FF00B050"/>
        <family val="2"/>
      </font>
    </dxf>
    <dxf>
      <font>
        <b/>
        <color rgb="FF00B050"/>
        <family val="2"/>
      </font>
    </dxf>
    <dxf>
      <font>
        <b/>
        <color rgb="FFFF0000"/>
        <family val="2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color rgb="FF00B050"/>
        <family val="2"/>
      </font>
    </dxf>
    <dxf>
      <font>
        <b/>
        <color rgb="FFFF0000"/>
        <family val="2"/>
      </font>
    </dxf>
    <dxf>
      <font>
        <b/>
        <color rgb="FF00B050"/>
        <family val="2"/>
      </font>
    </dxf>
    <dxf>
      <font>
        <b/>
        <color rgb="FF00B050"/>
        <family val="2"/>
      </font>
    </dxf>
    <dxf>
      <font>
        <b/>
        <color rgb="FFFF0000"/>
        <family val="2"/>
      </font>
    </dxf>
    <dxf>
      <font>
        <b/>
        <color rgb="FFFF0000"/>
        <family val="2"/>
      </font>
    </dxf>
    <dxf>
      <font>
        <b/>
        <color rgb="FF00B050"/>
        <family val="2"/>
      </font>
    </dxf>
    <dxf>
      <font>
        <b/>
        <color rgb="FF00B050"/>
        <family val="2"/>
      </font>
    </dxf>
    <dxf>
      <font>
        <b/>
        <color rgb="FFFF0000"/>
        <family val="2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color rgb="FF00B050"/>
        <family val="2"/>
      </font>
    </dxf>
    <dxf>
      <font>
        <b/>
        <color rgb="FFFF0000"/>
        <family val="2"/>
      </font>
    </dxf>
    <dxf>
      <font>
        <b/>
        <color rgb="FF00B050"/>
        <family val="2"/>
      </font>
    </dxf>
    <dxf>
      <font>
        <b/>
        <color rgb="FF00B050"/>
        <family val="2"/>
      </font>
    </dxf>
    <dxf>
      <font>
        <b/>
        <color rgb="FFFF0000"/>
        <family val="2"/>
      </font>
    </dxf>
    <dxf>
      <font>
        <b/>
        <color rgb="FFFF0000"/>
        <family val="2"/>
      </font>
    </dxf>
    <dxf>
      <font>
        <b/>
        <color rgb="FF00B050"/>
        <family val="2"/>
      </font>
    </dxf>
    <dxf>
      <font>
        <b/>
        <color rgb="FF00B050"/>
        <family val="2"/>
      </font>
    </dxf>
    <dxf>
      <font>
        <b/>
        <color rgb="FFFF0000"/>
        <family val="2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color rgb="FF00B050"/>
        <family val="2"/>
      </font>
    </dxf>
    <dxf>
      <font>
        <b/>
        <color rgb="FFFF0000"/>
        <family val="2"/>
      </font>
    </dxf>
    <dxf>
      <font>
        <b/>
        <color rgb="FF00B050"/>
        <family val="2"/>
      </font>
    </dxf>
    <dxf>
      <font>
        <b/>
        <color rgb="FF00B050"/>
        <family val="2"/>
      </font>
    </dxf>
    <dxf>
      <font>
        <b/>
        <color rgb="FFFF0000"/>
        <family val="2"/>
      </font>
    </dxf>
    <dxf>
      <font>
        <b/>
        <color rgb="FFFF0000"/>
        <family val="2"/>
      </font>
    </dxf>
    <dxf>
      <font>
        <b/>
        <color rgb="FF00B050"/>
        <family val="2"/>
      </font>
    </dxf>
    <dxf>
      <font>
        <b/>
        <color rgb="FF00B050"/>
        <family val="2"/>
      </font>
    </dxf>
    <dxf>
      <font>
        <b/>
        <color rgb="FFFF0000"/>
        <family val="2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color rgb="FF00B050"/>
        <family val="2"/>
      </font>
    </dxf>
    <dxf>
      <font>
        <b/>
        <color rgb="FFFF0000"/>
        <family val="2"/>
      </font>
    </dxf>
    <dxf>
      <font>
        <b/>
        <color rgb="FF00B050"/>
        <family val="2"/>
      </font>
    </dxf>
    <dxf>
      <font>
        <b/>
        <color rgb="FF00B050"/>
        <family val="2"/>
      </font>
    </dxf>
    <dxf>
      <font>
        <b/>
        <color rgb="FFFF0000"/>
        <family val="2"/>
      </font>
    </dxf>
    <dxf>
      <font>
        <b/>
        <color rgb="FFFF0000"/>
        <family val="2"/>
      </font>
    </dxf>
    <dxf>
      <font>
        <b/>
        <color rgb="FF00B050"/>
        <family val="2"/>
      </font>
    </dxf>
    <dxf>
      <font>
        <b/>
        <color rgb="FF00B050"/>
        <family val="2"/>
      </font>
    </dxf>
    <dxf>
      <font>
        <b/>
        <color rgb="FFFF0000"/>
        <family val="2"/>
      </font>
    </dxf>
    <dxf>
      <font>
        <b/>
        <i val="0"/>
        <color rgb="FF00B050"/>
      </font>
    </dxf>
    <dxf>
      <font>
        <b/>
        <i val="0"/>
        <color rgb="FFFF0000"/>
      </font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Calibri"/>
        <family val="2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rgb="FF000000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4" formatCode="_-&quot;R$&quot;\ * #,##0.00_-;\-&quot;R$&quot;\ * #,##0.00_-;_-&quot;R$&quot;\ * &quot;-&quot;??_-;_-@_-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4" formatCode="_-&quot;R$&quot;\ * #,##0.00_-;\-&quot;R$&quot;\ * #,##0.00_-;_-&quot;R$&quot;\ * &quot;-&quot;??_-;_-@_-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numFmt numFmtId="19" formatCode="dd/mm/yyyy"/>
      <alignment horizont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0070C0"/>
          <bgColor rgb="FF0070C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FF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C542174-E978-4F11-84D0-04B8EC2335EF}" name="Tabela35" displayName="Tabela35" ref="A1:V27" totalsRowShown="0" headerRowDxfId="133" dataDxfId="131" headerRowBorderDxfId="132" tableBorderDxfId="130" totalsRowBorderDxfId="129" headerRowCellStyle="Normal 2 2 2">
  <autoFilter ref="A1:V27" xr:uid="{DCE91C63-7150-4B05-9681-4C03C82B532C}"/>
  <tableColumns count="22">
    <tableColumn id="1" xr3:uid="{26A85748-1AED-4A71-96D3-23AF97AC5D2B}" name="Data" dataDxfId="128"/>
    <tableColumn id="25" xr3:uid="{D413966D-CDFC-4875-A3AE-6AE9D849E75F}" name="Placa" dataDxfId="127"/>
    <tableColumn id="3" xr3:uid="{D30CA2C3-D31F-4082-8392-1A98EB60EDD3}" name="Carreta" dataDxfId="126"/>
    <tableColumn id="4" xr3:uid="{758E5D51-7D49-4A69-8227-C9CE8E4A907A}" name="Motorista" dataDxfId="125"/>
    <tableColumn id="6" xr3:uid="{842361EA-39E1-4EF7-90A4-9BDC9C0966DF}" name="Valor Frete" dataDxfId="124" dataCellStyle="Moeda"/>
    <tableColumn id="7" xr3:uid="{D4C1D57F-C6B7-49EE-9F7B-47EBA6030041}" name="Valor Mercadoria" dataDxfId="123" dataCellStyle="Moeda"/>
    <tableColumn id="8" xr3:uid="{C79AB3D8-0BFF-4FFE-B20B-E81367BFEEFC}" name="Peso" dataDxfId="122"/>
    <tableColumn id="9" xr3:uid="{7D4ACBB5-8F17-463A-A61F-84A8EFF41604}" name="% Frete" dataDxfId="121" dataCellStyle="Porcentagem">
      <calculatedColumnFormula>Tabela35[[#This Row],[Valor Frete]]/Tabela35[[#This Row],[Valor Mercadoria]]</calculatedColumnFormula>
    </tableColumn>
    <tableColumn id="10" xr3:uid="{B93772F3-4DD6-4AA9-86E6-5E65788A8D0A}" name="Hr Saida" dataDxfId="120"/>
    <tableColumn id="11" xr3:uid="{DC726A91-384E-47C4-A94A-9095E8138925}" name="Hr Chegada" dataDxfId="119"/>
    <tableColumn id="12" xr3:uid="{9A37D38C-D321-47A3-881E-B95F03E5DB0D}" name="Tempo" dataDxfId="118">
      <calculatedColumnFormula>Tabela35[[#This Row],[Hr Chegada]]-Tabela35[[#This Row],[Hr Saida]]</calculatedColumnFormula>
    </tableColumn>
    <tableColumn id="13" xr3:uid="{E5643091-5008-4800-BF73-88DFC566FBE9}" name="Frete" dataDxfId="117" dataCellStyle="Moeda"/>
    <tableColumn id="14" xr3:uid="{5E8F8636-0E97-4E52-8561-725D1AD8BAF1}" name="% Frete T" dataDxfId="116" dataCellStyle="Porcentagem">
      <calculatedColumnFormula>Tabela35[[#This Row],[Frete]]/Tabela35[[#This Row],[Valor Frete]]</calculatedColumnFormula>
    </tableColumn>
    <tableColumn id="16" xr3:uid="{F64AFFB0-A5D7-49FD-8B66-BD3FBD830A8C}" name="Vols" dataDxfId="115"/>
    <tableColumn id="17" xr3:uid="{36B8097A-82AA-4880-AA26-8A84D3BFDAE9}" name="Qtde Entregas" dataDxfId="114"/>
    <tableColumn id="18" xr3:uid="{8BF06732-0C91-4852-86A9-342D98B30169}" name="Entregas Realizadas" dataDxfId="113"/>
    <tableColumn id="19" xr3:uid="{20BD31A4-57AA-4F11-A73A-2B181C01798B}" name=" Retornadas" dataDxfId="112">
      <calculatedColumnFormula>Tabela35[[#This Row],[Qtde Entregas]]-Tabela35[[#This Row],[Entregas Realizadas]]</calculatedColumnFormula>
    </tableColumn>
    <tableColumn id="20" xr3:uid="{F3EDF45C-B4E9-4FE6-A74A-C49CA0273F75}" name="% Entrega" dataDxfId="111" dataCellStyle="Moeda 2 2">
      <calculatedColumnFormula>Tabela35[[#This Row],[Entregas Realizadas]]/Tabela35[[#This Row],[Qtde Entregas]]</calculatedColumnFormula>
    </tableColumn>
    <tableColumn id="21" xr3:uid="{25A768B3-401C-4B3F-B390-C9B4AA1DD346}" name="Meta" dataDxfId="110" dataCellStyle="Moeda 3">
      <calculatedColumnFormula>IF(Tabela35[[#This Row],[% Entrega]]&gt;=96%,"Atendeu a Meta","Não Atendeu a Meta")</calculatedColumnFormula>
    </tableColumn>
    <tableColumn id="22" xr3:uid="{F55B1675-851F-46DE-9F3E-6389EFBFB7B9}" name="Cidade Destino" dataDxfId="109"/>
    <tableColumn id="23" xr3:uid="{D7BA1AAD-39A7-4F74-8E2B-3DAD30E78669}" name="Nfs Voltaram" dataDxfId="108"/>
    <tableColumn id="24" xr3:uid="{3938B063-E851-4B1A-B457-042DD7442897}" name="Código ocorrência" dataDxfId="10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009C12-8110-4F05-A50D-013940C9873F}" name="Tabela32" displayName="Tabela32" ref="A1:Y522" totalsRowShown="0" headerRowDxfId="51" dataDxfId="50" headerRowBorderDxfId="48" tableBorderDxfId="49" totalsRowBorderDxfId="47">
  <tableColumns count="25">
    <tableColumn id="1" xr3:uid="{B118DAB0-A500-46F5-A61D-A15BA1838F69}" name="Data" dataDxfId="46"/>
    <tableColumn id="25" xr3:uid="{DAA903FE-736A-4CBF-95D8-B9E859203B97}" name="Ano" dataDxfId="45">
      <calculatedColumnFormula>YEAR(Tabela32[[#This Row],[Data]])</calculatedColumnFormula>
    </tableColumn>
    <tableColumn id="5" xr3:uid="{90D6CF8C-ACE3-46EA-828E-BB258996DD8F}" name="Mês" dataDxfId="44">
      <calculatedColumnFormula>MONTH(Tabela32[[#This Row],[Data]])</calculatedColumnFormula>
    </tableColumn>
    <tableColumn id="2" xr3:uid="{9E2D603E-103D-4F88-A5C8-5E9A03E2A3EE}" name="Placa" dataDxfId="43"/>
    <tableColumn id="3" xr3:uid="{7935B67B-4456-42E7-8B2D-EAF1D5C1B4F9}" name="Rota" dataDxfId="42"/>
    <tableColumn id="4" xr3:uid="{74C94A9C-B298-4701-847E-59C66BC8BBC2}" name="Motorista" dataDxfId="41">
      <calculatedColumnFormula>IFERROR(VLOOKUP(Tabela32[[#This Row],[Placa]],Planilha2!$A$1:$B$12,2,0),"")</calculatedColumnFormula>
    </tableColumn>
    <tableColumn id="6" xr3:uid="{694C94D7-8F01-480E-AA0C-B9B0FA8D2345}" name="Valor Frete" dataDxfId="40" dataCellStyle="Moeda"/>
    <tableColumn id="7" xr3:uid="{7D623530-7EED-4526-B289-B392FA2EF883}" name="Valor Mercadoria" dataDxfId="39" dataCellStyle="Moeda"/>
    <tableColumn id="8" xr3:uid="{3D927A69-B557-47A5-A269-05DEBEF85C73}" name="Peso" dataDxfId="38"/>
    <tableColumn id="9" xr3:uid="{69BC588C-6D01-4257-B2D9-CF2D843D1C40}" name="% Frete" dataDxfId="37" dataCellStyle="Normal 2 2 2">
      <calculatedColumnFormula>IFERROR(Tabela32[[#This Row],[Valor Frete]]/Tabela32[[#This Row],[Valor Mercadoria]],"")</calculatedColumnFormula>
    </tableColumn>
    <tableColumn id="10" xr3:uid="{FC8CD81E-7FD3-41D6-921B-F1A94EDAF621}" name="Hr Saida" dataDxfId="36"/>
    <tableColumn id="11" xr3:uid="{3B907CC4-B262-4107-87FF-1E75280AC1BF}" name="Hr Chegada" dataDxfId="35"/>
    <tableColumn id="12" xr3:uid="{ED725939-179A-4D21-873C-15774DD68F53}" name="Tempo" dataDxfId="34">
      <calculatedColumnFormula>Tabela32[[#This Row],[Hr Chegada]]-Tabela32[[#This Row],[Hr Saida]]</calculatedColumnFormula>
    </tableColumn>
    <tableColumn id="13" xr3:uid="{74EA350D-6976-4E2D-A058-0785043C5735}" name="Km Saída" dataDxfId="33"/>
    <tableColumn id="14" xr3:uid="{496AFEAD-5BFE-466C-B0AF-20375AAEECFC}" name="Km Chegada" dataDxfId="32"/>
    <tableColumn id="15" xr3:uid="{AB2841F1-639E-4525-98D9-0FAED04E102B}" name="Km/Dia" dataDxfId="31">
      <calculatedColumnFormula>Tabela32[[#This Row],[Km Chegada]]-Tabela32[[#This Row],[Km Saída]]</calculatedColumnFormula>
    </tableColumn>
    <tableColumn id="16" xr3:uid="{D83FBC01-4652-43E1-B278-CE34A958D106}" name="Vols" dataDxfId="30"/>
    <tableColumn id="17" xr3:uid="{CA7BF05C-1770-40EE-89A9-C80AA88EFC06}" name="Entregas" dataDxfId="29"/>
    <tableColumn id="18" xr3:uid="{037F6348-AFD4-431D-99B0-8147EA9E213B}" name="Realizadas" dataDxfId="28"/>
    <tableColumn id="19" xr3:uid="{196A1910-314C-450C-B67A-E51295FA6A18}" name=" Retornadas" dataDxfId="27">
      <calculatedColumnFormula>Tabela32[[#This Row],[Entregas]]-Tabela32[[#This Row],[Realizadas]]</calculatedColumnFormula>
    </tableColumn>
    <tableColumn id="20" xr3:uid="{F0BBC004-BAAB-43E2-A50E-1DD3FAEFD5F0}" name="% Entrega" dataDxfId="26" dataCellStyle="Moeda">
      <calculatedColumnFormula>Tabela32[[#This Row],[Realizadas]]/Tabela32[[#This Row],[Entregas]]</calculatedColumnFormula>
    </tableColumn>
    <tableColumn id="21" xr3:uid="{BB53A276-7721-4934-9C42-DB7E1D2740B3}" name="Meta" dataDxfId="25">
      <calculatedColumnFormula>IF(Tabela32[[#This Row],[% Entrega]]&gt;=96%,"Atendeu a Meta","Não Atendeu a Meta")</calculatedColumnFormula>
    </tableColumn>
    <tableColumn id="22" xr3:uid="{CE1DD687-26CA-4D2F-BCFC-661EB14CAD0F}" name="Cidade Destino" dataDxfId="24"/>
    <tableColumn id="23" xr3:uid="{F8FFD74E-1FF0-45CC-9EA9-8E8EA807957C}" name="Nfs Voltaram" dataDxfId="23"/>
    <tableColumn id="24" xr3:uid="{2EC98F08-AFB3-40A3-B3CE-1C9A788E39CD}" name="Ocorrência" dataDxfId="2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F5318-E0E7-4F8E-A3B1-67BD30D58029}">
  <dimension ref="A1:B12"/>
  <sheetViews>
    <sheetView workbookViewId="0">
      <selection activeCell="B11" sqref="B11"/>
    </sheetView>
  </sheetViews>
  <sheetFormatPr defaultRowHeight="15" x14ac:dyDescent="0.25"/>
  <sheetData>
    <row r="1" spans="1:2" x14ac:dyDescent="0.25">
      <c r="A1" t="s">
        <v>22</v>
      </c>
      <c r="B1" t="s">
        <v>55</v>
      </c>
    </row>
    <row r="2" spans="1:2" x14ac:dyDescent="0.25">
      <c r="A2" t="s">
        <v>23</v>
      </c>
      <c r="B2" t="s">
        <v>78</v>
      </c>
    </row>
    <row r="3" spans="1:2" x14ac:dyDescent="0.25">
      <c r="A3" t="s">
        <v>25</v>
      </c>
      <c r="B3" t="s">
        <v>26</v>
      </c>
    </row>
    <row r="4" spans="1:2" x14ac:dyDescent="0.25">
      <c r="A4" t="s">
        <v>27</v>
      </c>
      <c r="B4" t="s">
        <v>62</v>
      </c>
    </row>
    <row r="5" spans="1:2" x14ac:dyDescent="0.25">
      <c r="A5" t="s">
        <v>28</v>
      </c>
      <c r="B5" t="s">
        <v>56</v>
      </c>
    </row>
    <row r="6" spans="1:2" x14ac:dyDescent="0.25">
      <c r="A6" t="s">
        <v>29</v>
      </c>
      <c r="B6" t="s">
        <v>30</v>
      </c>
    </row>
    <row r="7" spans="1:2" x14ac:dyDescent="0.25">
      <c r="A7" t="s">
        <v>31</v>
      </c>
      <c r="B7" t="s">
        <v>32</v>
      </c>
    </row>
    <row r="8" spans="1:2" x14ac:dyDescent="0.25">
      <c r="A8" t="s">
        <v>33</v>
      </c>
      <c r="B8" t="s">
        <v>34</v>
      </c>
    </row>
    <row r="9" spans="1:2" x14ac:dyDescent="0.25">
      <c r="A9" t="s">
        <v>35</v>
      </c>
      <c r="B9" t="s">
        <v>54</v>
      </c>
    </row>
    <row r="10" spans="1:2" x14ac:dyDescent="0.25">
      <c r="A10" t="s">
        <v>36</v>
      </c>
      <c r="B10" t="s">
        <v>81</v>
      </c>
    </row>
    <row r="11" spans="1:2" x14ac:dyDescent="0.25">
      <c r="A11" t="s">
        <v>37</v>
      </c>
      <c r="B11" t="s">
        <v>38</v>
      </c>
    </row>
    <row r="12" spans="1:2" x14ac:dyDescent="0.25">
      <c r="A12" t="s">
        <v>53</v>
      </c>
      <c r="B12" t="s">
        <v>24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0DE7D-8F3F-47CF-9E37-B95AFD2ED76A}">
  <dimension ref="A1:V27"/>
  <sheetViews>
    <sheetView showGridLines="0" workbookViewId="0">
      <pane xSplit="8" ySplit="1" topLeftCell="R2" activePane="bottomRight" state="frozen"/>
      <selection pane="topRight" activeCell="I1" sqref="I1"/>
      <selection pane="bottomLeft" activeCell="A2" sqref="A2"/>
      <selection pane="bottomRight" activeCell="B27" sqref="B27"/>
    </sheetView>
  </sheetViews>
  <sheetFormatPr defaultRowHeight="15" x14ac:dyDescent="0.25"/>
  <cols>
    <col min="1" max="1" width="10.42578125" style="23" bestFit="1" customWidth="1"/>
    <col min="2" max="2" width="10.42578125" customWidth="1"/>
    <col min="3" max="3" width="9.5703125" customWidth="1"/>
    <col min="4" max="4" width="11.85546875" customWidth="1"/>
    <col min="5" max="5" width="13" style="25" customWidth="1"/>
    <col min="6" max="6" width="18.42578125" style="25" customWidth="1"/>
    <col min="8" max="8" width="9.85546875" customWidth="1"/>
    <col min="9" max="9" width="10.28515625" customWidth="1"/>
    <col min="10" max="10" width="13.140625" customWidth="1"/>
    <col min="11" max="11" width="9.28515625" customWidth="1"/>
    <col min="12" max="12" width="11.140625" style="20" customWidth="1"/>
    <col min="13" max="13" width="14" customWidth="1"/>
    <col min="14" max="14" width="15.85546875" customWidth="1"/>
    <col min="15" max="15" width="15.5703125" customWidth="1"/>
    <col min="16" max="16" width="18.140625" customWidth="1"/>
    <col min="17" max="17" width="13.5703125" customWidth="1"/>
    <col min="18" max="18" width="11.85546875" customWidth="1"/>
    <col min="19" max="19" width="20.42578125" bestFit="1" customWidth="1"/>
    <col min="20" max="20" width="16.5703125" customWidth="1"/>
    <col min="21" max="21" width="14.7109375" customWidth="1"/>
    <col min="22" max="22" width="19" customWidth="1"/>
  </cols>
  <sheetData>
    <row r="1" spans="1:22" x14ac:dyDescent="0.25">
      <c r="A1" s="22" t="s">
        <v>0</v>
      </c>
      <c r="B1" s="1" t="s">
        <v>1</v>
      </c>
      <c r="C1" s="2" t="s">
        <v>2</v>
      </c>
      <c r="D1" s="2" t="s">
        <v>3</v>
      </c>
      <c r="E1" s="24" t="s">
        <v>4</v>
      </c>
      <c r="F1" s="24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1" t="s">
        <v>46</v>
      </c>
      <c r="M1" s="2" t="s">
        <v>47</v>
      </c>
      <c r="N1" s="2" t="s">
        <v>42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</row>
    <row r="2" spans="1:22" x14ac:dyDescent="0.25">
      <c r="A2" s="8">
        <v>46027</v>
      </c>
      <c r="B2" s="8" t="s">
        <v>44</v>
      </c>
      <c r="C2" s="4"/>
      <c r="D2" s="4" t="s">
        <v>45</v>
      </c>
      <c r="E2" s="10">
        <v>4275.3</v>
      </c>
      <c r="F2" s="10">
        <v>77009.210000000006</v>
      </c>
      <c r="G2" s="4">
        <v>1483</v>
      </c>
      <c r="H2" s="9">
        <f>Tabela35[[#This Row],[Valor Frete]]/Tabela35[[#This Row],[Valor Mercadoria]]</f>
        <v>5.5516736244924467E-2</v>
      </c>
      <c r="I2" s="11"/>
      <c r="J2" s="11"/>
      <c r="K2" s="11">
        <f>Tabela35[[#This Row],[Hr Chegada]]-Tabela35[[#This Row],[Hr Saida]]</f>
        <v>0</v>
      </c>
      <c r="L2" s="10">
        <v>500</v>
      </c>
      <c r="M2" s="9">
        <f>Tabela35[[#This Row],[Frete]]/Tabela35[[#This Row],[Valor Frete]]</f>
        <v>0.11695085724978363</v>
      </c>
      <c r="N2" s="4">
        <v>45</v>
      </c>
      <c r="O2" s="4">
        <v>4</v>
      </c>
      <c r="P2" s="4">
        <v>4</v>
      </c>
      <c r="Q2" s="4">
        <f>Tabela35[[#This Row],[Qtde Entregas]]-Tabela35[[#This Row],[Entregas Realizadas]]</f>
        <v>0</v>
      </c>
      <c r="R2" s="7">
        <f>Tabela35[[#This Row],[Entregas Realizadas]]/Tabela35[[#This Row],[Qtde Entregas]]</f>
        <v>1</v>
      </c>
      <c r="S2" s="6" t="str">
        <f>IF(Tabela35[[#This Row],[% Entrega]]&gt;=96%,"Atendeu a Meta","Não Atendeu a Meta")</f>
        <v>Atendeu a Meta</v>
      </c>
      <c r="T2" s="4" t="s">
        <v>39</v>
      </c>
      <c r="U2" s="4">
        <v>0</v>
      </c>
      <c r="V2" s="5">
        <v>0</v>
      </c>
    </row>
    <row r="3" spans="1:22" x14ac:dyDescent="0.25">
      <c r="A3" s="8">
        <v>46238</v>
      </c>
      <c r="B3" s="8" t="s">
        <v>57</v>
      </c>
      <c r="C3" s="4"/>
      <c r="D3" s="4" t="s">
        <v>58</v>
      </c>
      <c r="E3" s="10">
        <v>7461.93</v>
      </c>
      <c r="F3" s="10">
        <v>46748.29</v>
      </c>
      <c r="G3" s="4">
        <v>457</v>
      </c>
      <c r="H3" s="9">
        <f>Tabela35[[#This Row],[Valor Frete]]/Tabela35[[#This Row],[Valor Mercadoria]]</f>
        <v>0.15961931441770383</v>
      </c>
      <c r="I3" s="4"/>
      <c r="J3" s="4"/>
      <c r="K3" s="4">
        <f>Tabela35[[#This Row],[Hr Chegada]]-Tabela35[[#This Row],[Hr Saida]]</f>
        <v>0</v>
      </c>
      <c r="L3" s="10"/>
      <c r="M3" s="9">
        <f>Tabela35[[#This Row],[Frete]]/Tabela35[[#This Row],[Valor Frete]]</f>
        <v>0</v>
      </c>
      <c r="N3" s="4"/>
      <c r="O3" s="4"/>
      <c r="P3" s="4"/>
      <c r="Q3" s="12">
        <f>Tabela35[[#This Row],[Qtde Entregas]]-Tabela35[[#This Row],[Entregas Realizadas]]</f>
        <v>0</v>
      </c>
      <c r="R3" s="13" t="e">
        <f>Tabela35[[#This Row],[Entregas Realizadas]]/Tabela35[[#This Row],[Qtde Entregas]]</f>
        <v>#DIV/0!</v>
      </c>
      <c r="S3" s="14" t="e">
        <f>IF(Tabela35[[#This Row],[% Entrega]]&gt;=96%,"Atendeu a Meta","Não Atendeu a Meta")</f>
        <v>#DIV/0!</v>
      </c>
      <c r="T3" s="4"/>
      <c r="U3" s="4"/>
      <c r="V3" s="5"/>
    </row>
    <row r="4" spans="1:22" x14ac:dyDescent="0.25">
      <c r="A4" s="8">
        <v>46241</v>
      </c>
      <c r="B4" s="8" t="s">
        <v>44</v>
      </c>
      <c r="C4" s="4"/>
      <c r="D4" s="4" t="s">
        <v>45</v>
      </c>
      <c r="E4" s="10">
        <v>4770.58</v>
      </c>
      <c r="F4" s="10">
        <v>89040.79</v>
      </c>
      <c r="G4" s="4">
        <v>1291</v>
      </c>
      <c r="H4" s="9">
        <f>Tabela35[[#This Row],[Valor Frete]]/Tabela35[[#This Row],[Valor Mercadoria]]</f>
        <v>5.357746713612941E-2</v>
      </c>
      <c r="I4" s="4"/>
      <c r="J4" s="4"/>
      <c r="K4" s="4">
        <f>Tabela35[[#This Row],[Hr Chegada]]-Tabela35[[#This Row],[Hr Saida]]</f>
        <v>0</v>
      </c>
      <c r="L4" s="10">
        <v>500</v>
      </c>
      <c r="M4" s="9">
        <f>Tabela35[[#This Row],[Frete]]/Tabela35[[#This Row],[Valor Frete]]</f>
        <v>0.1048090588565751</v>
      </c>
      <c r="N4" s="4">
        <v>208</v>
      </c>
      <c r="O4" s="4">
        <v>8</v>
      </c>
      <c r="P4" s="4">
        <v>6</v>
      </c>
      <c r="Q4" s="12">
        <f>Tabela35[[#This Row],[Qtde Entregas]]-Tabela35[[#This Row],[Entregas Realizadas]]</f>
        <v>2</v>
      </c>
      <c r="R4" s="13">
        <f>Tabela35[[#This Row],[Entregas Realizadas]]/Tabela35[[#This Row],[Qtde Entregas]]</f>
        <v>0.75</v>
      </c>
      <c r="S4" s="14" t="str">
        <f>IF(Tabela35[[#This Row],[% Entrega]]&gt;=96%,"Atendeu a Meta","Não Atendeu a Meta")</f>
        <v>Não Atendeu a Meta</v>
      </c>
      <c r="T4" s="4" t="s">
        <v>39</v>
      </c>
      <c r="U4" s="4">
        <v>2</v>
      </c>
      <c r="V4" s="5">
        <v>0</v>
      </c>
    </row>
    <row r="5" spans="1:22" x14ac:dyDescent="0.25">
      <c r="A5" s="8">
        <v>46245</v>
      </c>
      <c r="B5" s="8" t="s">
        <v>44</v>
      </c>
      <c r="C5" s="4"/>
      <c r="D5" s="4" t="s">
        <v>45</v>
      </c>
      <c r="E5" s="10">
        <v>7701.21</v>
      </c>
      <c r="F5" s="10">
        <v>160981.76000000001</v>
      </c>
      <c r="G5" s="4">
        <v>1938</v>
      </c>
      <c r="H5" s="9">
        <f>Tabela35[[#This Row],[Valor Frete]]/Tabela35[[#This Row],[Valor Mercadoria]]</f>
        <v>4.783902225941622E-2</v>
      </c>
      <c r="I5" s="4"/>
      <c r="J5" s="4"/>
      <c r="K5" s="4">
        <f>Tabela35[[#This Row],[Hr Chegada]]-Tabela35[[#This Row],[Hr Saida]]</f>
        <v>0</v>
      </c>
      <c r="L5" s="10">
        <v>500</v>
      </c>
      <c r="M5" s="9">
        <f>Tabela35[[#This Row],[Frete]]/Tabela35[[#This Row],[Valor Frete]]</f>
        <v>6.4924862456678889E-2</v>
      </c>
      <c r="N5" s="4">
        <v>346</v>
      </c>
      <c r="O5" s="4">
        <v>14</v>
      </c>
      <c r="P5" s="4">
        <v>14</v>
      </c>
      <c r="Q5" s="12">
        <f>Tabela35[[#This Row],[Qtde Entregas]]-Tabela35[[#This Row],[Entregas Realizadas]]</f>
        <v>0</v>
      </c>
      <c r="R5" s="13">
        <f>Tabela35[[#This Row],[Entregas Realizadas]]/Tabela35[[#This Row],[Qtde Entregas]]</f>
        <v>1</v>
      </c>
      <c r="S5" s="14" t="str">
        <f>IF(Tabela35[[#This Row],[% Entrega]]&gt;=96%,"Atendeu a Meta","Não Atendeu a Meta")</f>
        <v>Atendeu a Meta</v>
      </c>
      <c r="T5" s="4" t="s">
        <v>43</v>
      </c>
      <c r="U5" s="4"/>
      <c r="V5" s="5"/>
    </row>
    <row r="6" spans="1:22" x14ac:dyDescent="0.25">
      <c r="A6" s="8">
        <v>46247</v>
      </c>
      <c r="B6" s="8" t="s">
        <v>44</v>
      </c>
      <c r="C6" s="4"/>
      <c r="D6" s="4" t="s">
        <v>45</v>
      </c>
      <c r="E6" s="10">
        <v>5668.48</v>
      </c>
      <c r="F6" s="10">
        <v>94110.1</v>
      </c>
      <c r="G6" s="4">
        <v>787</v>
      </c>
      <c r="H6" s="9">
        <f>Tabela35[[#This Row],[Valor Frete]]/Tabela35[[#This Row],[Valor Mercadoria]]</f>
        <v>6.0232429887971631E-2</v>
      </c>
      <c r="I6" s="4"/>
      <c r="J6" s="4"/>
      <c r="K6" s="4">
        <f>Tabela35[[#This Row],[Hr Chegada]]-Tabela35[[#This Row],[Hr Saida]]</f>
        <v>0</v>
      </c>
      <c r="L6" s="10">
        <v>500</v>
      </c>
      <c r="M6" s="9">
        <f>Tabela35[[#This Row],[Frete]]/Tabela35[[#This Row],[Valor Frete]]</f>
        <v>8.8207067855933172E-2</v>
      </c>
      <c r="N6" s="4">
        <v>201</v>
      </c>
      <c r="O6" s="4">
        <v>20</v>
      </c>
      <c r="P6" s="4">
        <v>19</v>
      </c>
      <c r="Q6" s="12">
        <f>Tabela35[[#This Row],[Qtde Entregas]]-Tabela35[[#This Row],[Entregas Realizadas]]</f>
        <v>1</v>
      </c>
      <c r="R6" s="13">
        <f>Tabela35[[#This Row],[Entregas Realizadas]]/Tabela35[[#This Row],[Qtde Entregas]]</f>
        <v>0.95</v>
      </c>
      <c r="S6" s="14" t="str">
        <f>IF(Tabela35[[#This Row],[% Entrega]]&gt;=96%,"Atendeu a Meta","Não Atendeu a Meta")</f>
        <v>Não Atendeu a Meta</v>
      </c>
      <c r="T6" s="4" t="s">
        <v>39</v>
      </c>
      <c r="U6" s="4">
        <v>1</v>
      </c>
      <c r="V6" s="5">
        <v>10</v>
      </c>
    </row>
    <row r="7" spans="1:22" x14ac:dyDescent="0.25">
      <c r="A7" s="8">
        <v>46252</v>
      </c>
      <c r="B7" s="8" t="s">
        <v>44</v>
      </c>
      <c r="C7" s="4"/>
      <c r="D7" s="4" t="s">
        <v>45</v>
      </c>
      <c r="E7" s="10">
        <v>8639.84</v>
      </c>
      <c r="F7" s="10">
        <v>131603.82</v>
      </c>
      <c r="G7" s="4">
        <v>1536</v>
      </c>
      <c r="H7" s="9">
        <f>Tabela35[[#This Row],[Valor Frete]]/Tabela35[[#This Row],[Valor Mercadoria]]</f>
        <v>6.5650373978506094E-2</v>
      </c>
      <c r="I7" s="4"/>
      <c r="J7" s="4"/>
      <c r="K7" s="4">
        <f>Tabela35[[#This Row],[Hr Chegada]]-Tabela35[[#This Row],[Hr Saida]]</f>
        <v>0</v>
      </c>
      <c r="L7" s="10">
        <v>500</v>
      </c>
      <c r="M7" s="9">
        <f>Tabela35[[#This Row],[Frete]]/Tabela35[[#This Row],[Valor Frete]]</f>
        <v>5.7871442063741924E-2</v>
      </c>
      <c r="N7" s="4">
        <v>194</v>
      </c>
      <c r="O7" s="4">
        <v>31</v>
      </c>
      <c r="P7" s="4">
        <v>31</v>
      </c>
      <c r="Q7" s="12">
        <f>Tabela35[[#This Row],[Qtde Entregas]]-Tabela35[[#This Row],[Entregas Realizadas]]</f>
        <v>0</v>
      </c>
      <c r="R7" s="13">
        <f>Tabela35[[#This Row],[Entregas Realizadas]]/Tabela35[[#This Row],[Qtde Entregas]]</f>
        <v>1</v>
      </c>
      <c r="S7" s="14" t="str">
        <f>IF(Tabela35[[#This Row],[% Entrega]]&gt;=96%,"Atendeu a Meta","Não Atendeu a Meta")</f>
        <v>Atendeu a Meta</v>
      </c>
      <c r="T7" s="4" t="s">
        <v>43</v>
      </c>
      <c r="U7" s="4">
        <v>1</v>
      </c>
      <c r="V7" s="5">
        <v>9</v>
      </c>
    </row>
    <row r="8" spans="1:22" x14ac:dyDescent="0.25">
      <c r="A8" s="8">
        <v>46253</v>
      </c>
      <c r="B8" s="8" t="s">
        <v>65</v>
      </c>
      <c r="C8" s="4"/>
      <c r="D8" s="4" t="s">
        <v>66</v>
      </c>
      <c r="E8" s="10">
        <v>8971</v>
      </c>
      <c r="F8" s="10">
        <v>79084.990000000005</v>
      </c>
      <c r="G8" s="4">
        <v>808</v>
      </c>
      <c r="H8" s="9">
        <f>Tabela35[[#This Row],[Valor Frete]]/Tabela35[[#This Row],[Valor Mercadoria]]</f>
        <v>0.11343492614717407</v>
      </c>
      <c r="I8" s="4"/>
      <c r="J8" s="4"/>
      <c r="K8" s="4">
        <f>Tabela35[[#This Row],[Hr Chegada]]-Tabela35[[#This Row],[Hr Saida]]</f>
        <v>0</v>
      </c>
      <c r="L8" s="10">
        <v>500</v>
      </c>
      <c r="M8" s="9">
        <f>Tabela35[[#This Row],[Frete]]/Tabela35[[#This Row],[Valor Frete]]</f>
        <v>5.5735146583435514E-2</v>
      </c>
      <c r="N8" s="4">
        <v>165</v>
      </c>
      <c r="O8" s="4">
        <v>14</v>
      </c>
      <c r="P8" s="4">
        <v>14</v>
      </c>
      <c r="Q8" s="12">
        <f>Tabela35[[#This Row],[Qtde Entregas]]-Tabela35[[#This Row],[Entregas Realizadas]]</f>
        <v>0</v>
      </c>
      <c r="R8" s="13">
        <f>Tabela35[[#This Row],[Entregas Realizadas]]/Tabela35[[#This Row],[Qtde Entregas]]</f>
        <v>1</v>
      </c>
      <c r="S8" s="14" t="str">
        <f>IF(Tabela35[[#This Row],[% Entrega]]&gt;=96%,"Atendeu a Meta","Não Atendeu a Meta")</f>
        <v>Atendeu a Meta</v>
      </c>
      <c r="T8" s="4"/>
      <c r="U8" s="4"/>
      <c r="V8" s="5"/>
    </row>
    <row r="9" spans="1:22" x14ac:dyDescent="0.25">
      <c r="A9" s="8">
        <v>46268</v>
      </c>
      <c r="B9" s="8" t="s">
        <v>57</v>
      </c>
      <c r="C9" s="4"/>
      <c r="D9" s="4" t="s">
        <v>45</v>
      </c>
      <c r="E9" s="10">
        <v>5954.82</v>
      </c>
      <c r="F9" s="10">
        <v>69924.039999999994</v>
      </c>
      <c r="G9" s="4">
        <v>1514</v>
      </c>
      <c r="H9" s="9">
        <f>Tabela35[[#This Row],[Valor Frete]]/Tabela35[[#This Row],[Valor Mercadoria]]</f>
        <v>8.5161269285927987E-2</v>
      </c>
      <c r="I9" s="4"/>
      <c r="J9" s="4"/>
      <c r="K9" s="4">
        <f>Tabela35[[#This Row],[Hr Chegada]]-Tabela35[[#This Row],[Hr Saida]]</f>
        <v>0</v>
      </c>
      <c r="L9" s="10">
        <v>500</v>
      </c>
      <c r="M9" s="9">
        <f>Tabela35[[#This Row],[Frete]]/Tabela35[[#This Row],[Valor Frete]]</f>
        <v>8.3965594258096812E-2</v>
      </c>
      <c r="N9" s="4"/>
      <c r="O9" s="4"/>
      <c r="P9" s="4"/>
      <c r="Q9" s="12">
        <f>Tabela35[[#This Row],[Qtde Entregas]]-Tabela35[[#This Row],[Entregas Realizadas]]</f>
        <v>0</v>
      </c>
      <c r="R9" s="13" t="e">
        <f>Tabela35[[#This Row],[Entregas Realizadas]]/Tabela35[[#This Row],[Qtde Entregas]]</f>
        <v>#DIV/0!</v>
      </c>
      <c r="S9" s="14" t="e">
        <f>IF(Tabela35[[#This Row],[% Entrega]]&gt;=96%,"Atendeu a Meta","Não Atendeu a Meta")</f>
        <v>#DIV/0!</v>
      </c>
      <c r="T9" s="4"/>
      <c r="U9" s="4"/>
      <c r="V9" s="5"/>
    </row>
    <row r="10" spans="1:22" x14ac:dyDescent="0.25">
      <c r="A10" s="8">
        <v>46269</v>
      </c>
      <c r="B10" s="8" t="s">
        <v>57</v>
      </c>
      <c r="C10" s="4"/>
      <c r="D10" s="4" t="s">
        <v>45</v>
      </c>
      <c r="E10" s="10">
        <v>24238.02</v>
      </c>
      <c r="F10" s="10">
        <v>167202.07</v>
      </c>
      <c r="G10" s="4">
        <v>2185</v>
      </c>
      <c r="H10" s="9">
        <f>Tabela35[[#This Row],[Valor Frete]]/Tabela35[[#This Row],[Valor Mercadoria]]</f>
        <v>0.14496243975926854</v>
      </c>
      <c r="I10" s="4"/>
      <c r="J10" s="4"/>
      <c r="K10" s="4">
        <f>Tabela35[[#This Row],[Hr Chegada]]-Tabela35[[#This Row],[Hr Saida]]</f>
        <v>0</v>
      </c>
      <c r="L10" s="10">
        <v>500</v>
      </c>
      <c r="M10" s="9">
        <f>Tabela35[[#This Row],[Frete]]/Tabela35[[#This Row],[Valor Frete]]</f>
        <v>2.0628747727743438E-2</v>
      </c>
      <c r="N10" s="4"/>
      <c r="O10" s="4"/>
      <c r="P10" s="4"/>
      <c r="Q10" s="12">
        <f>Tabela35[[#This Row],[Qtde Entregas]]-Tabela35[[#This Row],[Entregas Realizadas]]</f>
        <v>0</v>
      </c>
      <c r="R10" s="13" t="e">
        <f>Tabela35[[#This Row],[Entregas Realizadas]]/Tabela35[[#This Row],[Qtde Entregas]]</f>
        <v>#DIV/0!</v>
      </c>
      <c r="S10" s="14" t="e">
        <f>IF(Tabela35[[#This Row],[% Entrega]]&gt;=96%,"Atendeu a Meta","Não Atendeu a Meta")</f>
        <v>#DIV/0!</v>
      </c>
      <c r="T10" s="4"/>
      <c r="U10" s="4"/>
      <c r="V10" s="5"/>
    </row>
    <row r="11" spans="1:22" x14ac:dyDescent="0.25">
      <c r="A11" s="8">
        <v>46276</v>
      </c>
      <c r="B11" s="8" t="s">
        <v>44</v>
      </c>
      <c r="C11" s="4"/>
      <c r="D11" s="4" t="s">
        <v>45</v>
      </c>
      <c r="E11" s="10">
        <v>4224.17</v>
      </c>
      <c r="F11" s="10">
        <v>96676.42</v>
      </c>
      <c r="G11" s="4">
        <v>879</v>
      </c>
      <c r="H11" s="9">
        <f>Tabela35[[#This Row],[Valor Frete]]/Tabela35[[#This Row],[Valor Mercadoria]]</f>
        <v>4.3693901780806531E-2</v>
      </c>
      <c r="I11" s="4"/>
      <c r="J11" s="4"/>
      <c r="K11" s="4">
        <f>Tabela35[[#This Row],[Hr Chegada]]-Tabela35[[#This Row],[Hr Saida]]</f>
        <v>0</v>
      </c>
      <c r="L11" s="10">
        <v>500</v>
      </c>
      <c r="M11" s="9">
        <f>Tabela35[[#This Row],[Frete]]/Tabela35[[#This Row],[Valor Frete]]</f>
        <v>0.11836644832002499</v>
      </c>
      <c r="N11" s="4"/>
      <c r="O11" s="4"/>
      <c r="P11" s="4"/>
      <c r="Q11" s="12">
        <f>Tabela35[[#This Row],[Qtde Entregas]]-Tabela35[[#This Row],[Entregas Realizadas]]</f>
        <v>0</v>
      </c>
      <c r="R11" s="13" t="e">
        <f>Tabela35[[#This Row],[Entregas Realizadas]]/Tabela35[[#This Row],[Qtde Entregas]]</f>
        <v>#DIV/0!</v>
      </c>
      <c r="S11" s="14" t="e">
        <f>IF(Tabela35[[#This Row],[% Entrega]]&gt;=96%,"Atendeu a Meta","Não Atendeu a Meta")</f>
        <v>#DIV/0!</v>
      </c>
      <c r="T11" s="4"/>
      <c r="U11" s="4"/>
      <c r="V11" s="5"/>
    </row>
    <row r="12" spans="1:22" x14ac:dyDescent="0.25">
      <c r="A12" s="8">
        <v>46280</v>
      </c>
      <c r="B12" s="8" t="s">
        <v>44</v>
      </c>
      <c r="C12" s="4"/>
      <c r="D12" s="4" t="s">
        <v>45</v>
      </c>
      <c r="E12" s="10">
        <v>3592.03</v>
      </c>
      <c r="F12" s="10">
        <v>44758.63</v>
      </c>
      <c r="G12" s="4"/>
      <c r="H12" s="9">
        <f>Tabela35[[#This Row],[Valor Frete]]/Tabela35[[#This Row],[Valor Mercadoria]]</f>
        <v>8.0253350024341683E-2</v>
      </c>
      <c r="I12" s="4"/>
      <c r="J12" s="4"/>
      <c r="K12" s="4">
        <f>Tabela35[[#This Row],[Hr Chegada]]-Tabela35[[#This Row],[Hr Saida]]</f>
        <v>0</v>
      </c>
      <c r="L12" s="10">
        <v>500</v>
      </c>
      <c r="M12" s="9">
        <f>Tabela35[[#This Row],[Frete]]/Tabela35[[#This Row],[Valor Frete]]</f>
        <v>0.13919705570387775</v>
      </c>
      <c r="N12" s="4"/>
      <c r="O12" s="4"/>
      <c r="P12" s="4"/>
      <c r="Q12" s="12">
        <f>Tabela35[[#This Row],[Qtde Entregas]]-Tabela35[[#This Row],[Entregas Realizadas]]</f>
        <v>0</v>
      </c>
      <c r="R12" s="13" t="e">
        <f>Tabela35[[#This Row],[Entregas Realizadas]]/Tabela35[[#This Row],[Qtde Entregas]]</f>
        <v>#DIV/0!</v>
      </c>
      <c r="S12" s="14" t="e">
        <f>IF(Tabela35[[#This Row],[% Entrega]]&gt;=96%,"Atendeu a Meta","Não Atendeu a Meta")</f>
        <v>#DIV/0!</v>
      </c>
      <c r="T12" s="4"/>
      <c r="U12" s="4"/>
      <c r="V12" s="5"/>
    </row>
    <row r="13" spans="1:22" x14ac:dyDescent="0.25">
      <c r="A13" s="8">
        <v>46281</v>
      </c>
      <c r="B13" s="8" t="s">
        <v>44</v>
      </c>
      <c r="C13" s="4"/>
      <c r="D13" s="4" t="s">
        <v>45</v>
      </c>
      <c r="E13" s="10">
        <v>4998.43</v>
      </c>
      <c r="F13" s="10">
        <v>82581.279999999999</v>
      </c>
      <c r="G13" s="4"/>
      <c r="H13" s="9">
        <f>Tabela35[[#This Row],[Valor Frete]]/Tabela35[[#This Row],[Valor Mercadoria]]</f>
        <v>6.0527397976878054E-2</v>
      </c>
      <c r="I13" s="4"/>
      <c r="J13" s="4"/>
      <c r="K13" s="4">
        <f>Tabela35[[#This Row],[Hr Chegada]]-Tabela35[[#This Row],[Hr Saida]]</f>
        <v>0</v>
      </c>
      <c r="L13" s="10">
        <v>500</v>
      </c>
      <c r="M13" s="9">
        <f>Tabela35[[#This Row],[Frete]]/Tabela35[[#This Row],[Valor Frete]]</f>
        <v>0.10003140986269689</v>
      </c>
      <c r="N13" s="4"/>
      <c r="O13" s="4"/>
      <c r="P13" s="4"/>
      <c r="Q13" s="12">
        <f>Tabela35[[#This Row],[Qtde Entregas]]-Tabela35[[#This Row],[Entregas Realizadas]]</f>
        <v>0</v>
      </c>
      <c r="R13" s="13" t="e">
        <f>Tabela35[[#This Row],[Entregas Realizadas]]/Tabela35[[#This Row],[Qtde Entregas]]</f>
        <v>#DIV/0!</v>
      </c>
      <c r="S13" s="14" t="e">
        <f>IF(Tabela35[[#This Row],[% Entrega]]&gt;=96%,"Atendeu a Meta","Não Atendeu a Meta")</f>
        <v>#DIV/0!</v>
      </c>
      <c r="T13" s="4"/>
      <c r="U13" s="4"/>
      <c r="V13" s="5"/>
    </row>
    <row r="14" spans="1:22" x14ac:dyDescent="0.25">
      <c r="A14" s="8">
        <v>46282</v>
      </c>
      <c r="B14" s="8" t="s">
        <v>44</v>
      </c>
      <c r="C14" s="4"/>
      <c r="D14" s="4" t="s">
        <v>45</v>
      </c>
      <c r="E14" s="10">
        <v>3850.15</v>
      </c>
      <c r="F14" s="10">
        <v>59193.01</v>
      </c>
      <c r="G14" s="4">
        <v>537</v>
      </c>
      <c r="H14" s="9">
        <f>Tabela35[[#This Row],[Valor Frete]]/Tabela35[[#This Row],[Valor Mercadoria]]</f>
        <v>6.5043997593634786E-2</v>
      </c>
      <c r="I14" s="4"/>
      <c r="J14" s="4"/>
      <c r="K14" s="4">
        <f>Tabela35[[#This Row],[Hr Chegada]]-Tabela35[[#This Row],[Hr Saida]]</f>
        <v>0</v>
      </c>
      <c r="L14" s="10">
        <v>500</v>
      </c>
      <c r="M14" s="9">
        <f>Tabela35[[#This Row],[Frete]]/Tabela35[[#This Row],[Valor Frete]]</f>
        <v>0.12986507019207044</v>
      </c>
      <c r="N14" s="4"/>
      <c r="O14" s="4">
        <v>16</v>
      </c>
      <c r="P14" s="4">
        <v>14</v>
      </c>
      <c r="Q14" s="12">
        <f>Tabela35[[#This Row],[Qtde Entregas]]-Tabela35[[#This Row],[Entregas Realizadas]]</f>
        <v>2</v>
      </c>
      <c r="R14" s="13">
        <f>Tabela35[[#This Row],[Entregas Realizadas]]/Tabela35[[#This Row],[Qtde Entregas]]</f>
        <v>0.875</v>
      </c>
      <c r="S14" s="14" t="str">
        <f>IF(Tabela35[[#This Row],[% Entrega]]&gt;=96%,"Atendeu a Meta","Não Atendeu a Meta")</f>
        <v>Não Atendeu a Meta</v>
      </c>
      <c r="T14" s="4" t="s">
        <v>39</v>
      </c>
      <c r="U14" s="4">
        <v>2</v>
      </c>
      <c r="V14" s="5"/>
    </row>
    <row r="15" spans="1:22" x14ac:dyDescent="0.25">
      <c r="A15" s="8">
        <v>46283</v>
      </c>
      <c r="B15" s="8" t="s">
        <v>44</v>
      </c>
      <c r="C15" s="4"/>
      <c r="D15" s="4" t="s">
        <v>45</v>
      </c>
      <c r="E15" s="10">
        <v>6994.8</v>
      </c>
      <c r="F15" s="10">
        <v>202752.86</v>
      </c>
      <c r="G15" s="4">
        <v>1833</v>
      </c>
      <c r="H15" s="9">
        <f>Tabela35[[#This Row],[Valor Frete]]/Tabela35[[#This Row],[Valor Mercadoria]]</f>
        <v>3.4499143439949503E-2</v>
      </c>
      <c r="I15" s="4"/>
      <c r="J15" s="4"/>
      <c r="K15" s="4">
        <f>Tabela35[[#This Row],[Hr Chegada]]-Tabela35[[#This Row],[Hr Saida]]</f>
        <v>0</v>
      </c>
      <c r="L15" s="10">
        <v>500</v>
      </c>
      <c r="M15" s="9">
        <f>Tabela35[[#This Row],[Frete]]/Tabela35[[#This Row],[Valor Frete]]</f>
        <v>7.1481672099273738E-2</v>
      </c>
      <c r="N15" s="4"/>
      <c r="O15" s="4"/>
      <c r="P15" s="4"/>
      <c r="Q15" s="12">
        <f>Tabela35[[#This Row],[Qtde Entregas]]-Tabela35[[#This Row],[Entregas Realizadas]]</f>
        <v>0</v>
      </c>
      <c r="R15" s="13" t="e">
        <f>Tabela35[[#This Row],[Entregas Realizadas]]/Tabela35[[#This Row],[Qtde Entregas]]</f>
        <v>#DIV/0!</v>
      </c>
      <c r="S15" s="14" t="e">
        <f>IF(Tabela35[[#This Row],[% Entrega]]&gt;=96%,"Atendeu a Meta","Não Atendeu a Meta")</f>
        <v>#DIV/0!</v>
      </c>
      <c r="T15" s="4"/>
      <c r="U15" s="4"/>
      <c r="V15" s="5"/>
    </row>
    <row r="16" spans="1:22" x14ac:dyDescent="0.25">
      <c r="A16" s="8">
        <v>46287</v>
      </c>
      <c r="B16" s="8" t="s">
        <v>44</v>
      </c>
      <c r="C16" s="4"/>
      <c r="D16" s="4" t="s">
        <v>45</v>
      </c>
      <c r="E16" s="10">
        <v>6537.08</v>
      </c>
      <c r="F16" s="10">
        <v>70656.17</v>
      </c>
      <c r="G16" s="4">
        <v>2255</v>
      </c>
      <c r="H16" s="9">
        <f>Tabela35[[#This Row],[Valor Frete]]/Tabela35[[#This Row],[Valor Mercadoria]]</f>
        <v>9.2519591707277651E-2</v>
      </c>
      <c r="I16" s="4"/>
      <c r="J16" s="4"/>
      <c r="K16" s="4">
        <f>Tabela35[[#This Row],[Hr Chegada]]-Tabela35[[#This Row],[Hr Saida]]</f>
        <v>0</v>
      </c>
      <c r="L16" s="10">
        <v>500</v>
      </c>
      <c r="M16" s="9">
        <f>Tabela35[[#This Row],[Frete]]/Tabela35[[#This Row],[Valor Frete]]</f>
        <v>7.6486749435527787E-2</v>
      </c>
      <c r="N16" s="4"/>
      <c r="O16" s="4">
        <v>11</v>
      </c>
      <c r="P16" s="4">
        <v>11</v>
      </c>
      <c r="Q16" s="12">
        <f>Tabela35[[#This Row],[Qtde Entregas]]-Tabela35[[#This Row],[Entregas Realizadas]]</f>
        <v>0</v>
      </c>
      <c r="R16" s="13">
        <f>Tabela35[[#This Row],[Entregas Realizadas]]/Tabela35[[#This Row],[Qtde Entregas]]</f>
        <v>1</v>
      </c>
      <c r="S16" s="14" t="str">
        <f>IF(Tabela35[[#This Row],[% Entrega]]&gt;=96%,"Atendeu a Meta","Não Atendeu a Meta")</f>
        <v>Atendeu a Meta</v>
      </c>
      <c r="T16" s="4"/>
      <c r="U16" s="4"/>
      <c r="V16" s="5"/>
    </row>
    <row r="17" spans="1:22" x14ac:dyDescent="0.25">
      <c r="A17" s="8">
        <v>46287</v>
      </c>
      <c r="B17" s="8" t="s">
        <v>65</v>
      </c>
      <c r="C17" s="4"/>
      <c r="D17" s="4" t="s">
        <v>66</v>
      </c>
      <c r="E17" s="10">
        <v>4118.54</v>
      </c>
      <c r="F17" s="10">
        <v>62885.27</v>
      </c>
      <c r="G17" s="4">
        <v>632</v>
      </c>
      <c r="H17" s="9">
        <f>Tabela35[[#This Row],[Valor Frete]]/Tabela35[[#This Row],[Valor Mercadoria]]</f>
        <v>6.5492920679198804E-2</v>
      </c>
      <c r="I17" s="4"/>
      <c r="J17" s="4"/>
      <c r="K17" s="4">
        <f>Tabela35[[#This Row],[Hr Chegada]]-Tabela35[[#This Row],[Hr Saida]]</f>
        <v>0</v>
      </c>
      <c r="L17" s="10">
        <v>500</v>
      </c>
      <c r="M17" s="9">
        <f>Tabela35[[#This Row],[Frete]]/Tabela35[[#This Row],[Valor Frete]]</f>
        <v>0.12140224448469604</v>
      </c>
      <c r="N17" s="4"/>
      <c r="O17" s="4">
        <v>5</v>
      </c>
      <c r="P17" s="4">
        <v>5</v>
      </c>
      <c r="Q17" s="12">
        <f>Tabela35[[#This Row],[Qtde Entregas]]-Tabela35[[#This Row],[Entregas Realizadas]]</f>
        <v>0</v>
      </c>
      <c r="R17" s="13">
        <f>Tabela35[[#This Row],[Entregas Realizadas]]/Tabela35[[#This Row],[Qtde Entregas]]</f>
        <v>1</v>
      </c>
      <c r="S17" s="14" t="str">
        <f>IF(Tabela35[[#This Row],[% Entrega]]&gt;=96%,"Atendeu a Meta","Não Atendeu a Meta")</f>
        <v>Atendeu a Meta</v>
      </c>
      <c r="T17" s="4"/>
      <c r="U17" s="4"/>
      <c r="V17" s="5"/>
    </row>
    <row r="18" spans="1:22" x14ac:dyDescent="0.25">
      <c r="A18" s="8">
        <v>46288</v>
      </c>
      <c r="B18" s="8" t="s">
        <v>44</v>
      </c>
      <c r="C18" s="4"/>
      <c r="D18" s="4" t="s">
        <v>45</v>
      </c>
      <c r="E18" s="10">
        <v>4151.1400000000003</v>
      </c>
      <c r="F18" s="10">
        <v>51812.79</v>
      </c>
      <c r="G18" s="4">
        <v>631</v>
      </c>
      <c r="H18" s="9">
        <f>Tabela35[[#This Row],[Valor Frete]]/Tabela35[[#This Row],[Valor Mercadoria]]</f>
        <v>8.0118055792787843E-2</v>
      </c>
      <c r="I18" s="4"/>
      <c r="J18" s="4"/>
      <c r="K18" s="4">
        <f>Tabela35[[#This Row],[Hr Chegada]]-Tabela35[[#This Row],[Hr Saida]]</f>
        <v>0</v>
      </c>
      <c r="L18" s="10">
        <v>500</v>
      </c>
      <c r="M18" s="9">
        <f>Tabela35[[#This Row],[Frete]]/Tabela35[[#This Row],[Valor Frete]]</f>
        <v>0.12044884055946077</v>
      </c>
      <c r="N18" s="4"/>
      <c r="O18" s="4">
        <v>11</v>
      </c>
      <c r="P18" s="4">
        <v>11</v>
      </c>
      <c r="Q18" s="12">
        <f>Tabela35[[#This Row],[Qtde Entregas]]-Tabela35[[#This Row],[Entregas Realizadas]]</f>
        <v>0</v>
      </c>
      <c r="R18" s="13">
        <f>Tabela35[[#This Row],[Entregas Realizadas]]/Tabela35[[#This Row],[Qtde Entregas]]</f>
        <v>1</v>
      </c>
      <c r="S18" s="14" t="str">
        <f>IF(Tabela35[[#This Row],[% Entrega]]&gt;=96%,"Atendeu a Meta","Não Atendeu a Meta")</f>
        <v>Atendeu a Meta</v>
      </c>
      <c r="T18" s="4"/>
      <c r="U18" s="4"/>
      <c r="V18" s="5"/>
    </row>
    <row r="19" spans="1:22" x14ac:dyDescent="0.25">
      <c r="A19" s="8">
        <v>46289</v>
      </c>
      <c r="B19" s="8" t="s">
        <v>44</v>
      </c>
      <c r="C19" s="4"/>
      <c r="D19" s="4" t="s">
        <v>45</v>
      </c>
      <c r="E19" s="10">
        <v>3779.58</v>
      </c>
      <c r="F19" s="10">
        <v>77696.94</v>
      </c>
      <c r="G19" s="4">
        <v>718</v>
      </c>
      <c r="H19" s="9">
        <f>Tabela35[[#This Row],[Valor Frete]]/Tabela35[[#This Row],[Valor Mercadoria]]</f>
        <v>4.864515899853971E-2</v>
      </c>
      <c r="I19" s="4"/>
      <c r="J19" s="4"/>
      <c r="K19" s="4">
        <f>Tabela35[[#This Row],[Hr Chegada]]-Tabela35[[#This Row],[Hr Saida]]</f>
        <v>0</v>
      </c>
      <c r="L19" s="10">
        <v>500</v>
      </c>
      <c r="M19" s="9">
        <f>Tabela35[[#This Row],[Frete]]/Tabela35[[#This Row],[Valor Frete]]</f>
        <v>0.13228983114525952</v>
      </c>
      <c r="N19" s="4"/>
      <c r="O19" s="4">
        <v>14</v>
      </c>
      <c r="P19" s="4">
        <v>14</v>
      </c>
      <c r="Q19" s="12">
        <f>Tabela35[[#This Row],[Qtde Entregas]]-Tabela35[[#This Row],[Entregas Realizadas]]</f>
        <v>0</v>
      </c>
      <c r="R19" s="13">
        <f>Tabela35[[#This Row],[Entregas Realizadas]]/Tabela35[[#This Row],[Qtde Entregas]]</f>
        <v>1</v>
      </c>
      <c r="S19" s="14" t="str">
        <f>IF(Tabela35[[#This Row],[% Entrega]]&gt;=96%,"Atendeu a Meta","Não Atendeu a Meta")</f>
        <v>Atendeu a Meta</v>
      </c>
      <c r="T19" s="4">
        <v>0</v>
      </c>
      <c r="U19" s="4">
        <v>38</v>
      </c>
      <c r="V19" s="5"/>
    </row>
    <row r="20" spans="1:22" x14ac:dyDescent="0.25">
      <c r="A20" s="8">
        <v>46290</v>
      </c>
      <c r="B20" s="8" t="s">
        <v>44</v>
      </c>
      <c r="C20" s="4"/>
      <c r="D20" s="4" t="s">
        <v>45</v>
      </c>
      <c r="E20" s="10">
        <v>10761.38</v>
      </c>
      <c r="F20" s="10">
        <v>181084.37</v>
      </c>
      <c r="G20" s="4">
        <v>2461</v>
      </c>
      <c r="H20" s="9">
        <f>Tabela35[[#This Row],[Valor Frete]]/Tabela35[[#This Row],[Valor Mercadoria]]</f>
        <v>5.9427437055997706E-2</v>
      </c>
      <c r="I20" s="4"/>
      <c r="J20" s="4"/>
      <c r="K20" s="4">
        <f>Tabela35[[#This Row],[Hr Chegada]]-Tabela35[[#This Row],[Hr Saida]]</f>
        <v>0</v>
      </c>
      <c r="L20" s="10">
        <v>500</v>
      </c>
      <c r="M20" s="9">
        <f>Tabela35[[#This Row],[Frete]]/Tabela35[[#This Row],[Valor Frete]]</f>
        <v>4.646244254918979E-2</v>
      </c>
      <c r="N20" s="4"/>
      <c r="O20" s="4">
        <v>28</v>
      </c>
      <c r="P20" s="4">
        <v>28</v>
      </c>
      <c r="Q20" s="12">
        <f>Tabela35[[#This Row],[Qtde Entregas]]-Tabela35[[#This Row],[Entregas Realizadas]]</f>
        <v>0</v>
      </c>
      <c r="R20" s="13">
        <f>Tabela35[[#This Row],[Entregas Realizadas]]/Tabela35[[#This Row],[Qtde Entregas]]</f>
        <v>1</v>
      </c>
      <c r="S20" s="14" t="str">
        <f>IF(Tabela35[[#This Row],[% Entrega]]&gt;=96%,"Atendeu a Meta","Não Atendeu a Meta")</f>
        <v>Atendeu a Meta</v>
      </c>
      <c r="T20" s="4">
        <v>0</v>
      </c>
      <c r="U20" s="4" t="s">
        <v>82</v>
      </c>
      <c r="V20" s="5"/>
    </row>
    <row r="21" spans="1:22" x14ac:dyDescent="0.25">
      <c r="A21" s="8">
        <v>46294</v>
      </c>
      <c r="B21" s="8" t="s">
        <v>57</v>
      </c>
      <c r="C21" s="4"/>
      <c r="D21" s="4" t="s">
        <v>58</v>
      </c>
      <c r="E21" s="10"/>
      <c r="F21" s="10"/>
      <c r="G21" s="4"/>
      <c r="H21" s="9" t="e">
        <f>Tabela35[[#This Row],[Valor Frete]]/Tabela35[[#This Row],[Valor Mercadoria]]</f>
        <v>#DIV/0!</v>
      </c>
      <c r="I21" s="4"/>
      <c r="J21" s="4"/>
      <c r="K21" s="4">
        <f>Tabela35[[#This Row],[Hr Chegada]]-Tabela35[[#This Row],[Hr Saida]]</f>
        <v>0</v>
      </c>
      <c r="L21" s="10"/>
      <c r="M21" s="9" t="e">
        <f>Tabela35[[#This Row],[Frete]]/Tabela35[[#This Row],[Valor Frete]]</f>
        <v>#DIV/0!</v>
      </c>
      <c r="N21" s="4"/>
      <c r="O21" s="4"/>
      <c r="P21" s="4"/>
      <c r="Q21" s="12">
        <f>Tabela35[[#This Row],[Qtde Entregas]]-Tabela35[[#This Row],[Entregas Realizadas]]</f>
        <v>0</v>
      </c>
      <c r="R21" s="13" t="e">
        <f>Tabela35[[#This Row],[Entregas Realizadas]]/Tabela35[[#This Row],[Qtde Entregas]]</f>
        <v>#DIV/0!</v>
      </c>
      <c r="S21" s="14" t="e">
        <f>IF(Tabela35[[#This Row],[% Entrega]]&gt;=96%,"Atendeu a Meta","Não Atendeu a Meta")</f>
        <v>#DIV/0!</v>
      </c>
      <c r="T21" s="4"/>
      <c r="U21" s="4"/>
      <c r="V21" s="5"/>
    </row>
    <row r="22" spans="1:22" x14ac:dyDescent="0.25">
      <c r="A22" s="8">
        <v>46295</v>
      </c>
      <c r="B22" s="8" t="s">
        <v>57</v>
      </c>
      <c r="C22" s="4"/>
      <c r="D22" s="4" t="s">
        <v>58</v>
      </c>
      <c r="E22" s="10"/>
      <c r="F22" s="10"/>
      <c r="G22" s="4"/>
      <c r="H22" s="9" t="e">
        <f>Tabela35[[#This Row],[Valor Frete]]/Tabela35[[#This Row],[Valor Mercadoria]]</f>
        <v>#DIV/0!</v>
      </c>
      <c r="I22" s="4"/>
      <c r="J22" s="4"/>
      <c r="K22" s="4">
        <f>Tabela35[[#This Row],[Hr Chegada]]-Tabela35[[#This Row],[Hr Saida]]</f>
        <v>0</v>
      </c>
      <c r="L22" s="10"/>
      <c r="M22" s="9" t="e">
        <f>Tabela35[[#This Row],[Frete]]/Tabela35[[#This Row],[Valor Frete]]</f>
        <v>#DIV/0!</v>
      </c>
      <c r="N22" s="4"/>
      <c r="O22" s="4"/>
      <c r="P22" s="4"/>
      <c r="Q22" s="12">
        <f>Tabela35[[#This Row],[Qtde Entregas]]-Tabela35[[#This Row],[Entregas Realizadas]]</f>
        <v>0</v>
      </c>
      <c r="R22" s="13" t="e">
        <f>Tabela35[[#This Row],[Entregas Realizadas]]/Tabela35[[#This Row],[Qtde Entregas]]</f>
        <v>#DIV/0!</v>
      </c>
      <c r="S22" s="14" t="e">
        <f>IF(Tabela35[[#This Row],[% Entrega]]&gt;=96%,"Atendeu a Meta","Não Atendeu a Meta")</f>
        <v>#DIV/0!</v>
      </c>
      <c r="T22" s="4"/>
      <c r="U22" s="4"/>
      <c r="V22" s="5"/>
    </row>
    <row r="23" spans="1:22" x14ac:dyDescent="0.25">
      <c r="A23" s="8">
        <v>46296</v>
      </c>
      <c r="B23" s="8" t="s">
        <v>44</v>
      </c>
      <c r="C23" s="4"/>
      <c r="D23" s="4" t="s">
        <v>45</v>
      </c>
      <c r="E23" s="10">
        <v>9007.2099999999991</v>
      </c>
      <c r="F23" s="10">
        <v>179512.59</v>
      </c>
      <c r="G23" s="4">
        <v>2015</v>
      </c>
      <c r="H23" s="9">
        <f>Tabela35[[#This Row],[Valor Frete]]/Tabela35[[#This Row],[Valor Mercadoria]]</f>
        <v>5.0175923593994157E-2</v>
      </c>
      <c r="I23" s="4"/>
      <c r="J23" s="4"/>
      <c r="K23" s="4">
        <f>Tabela35[[#This Row],[Hr Chegada]]-Tabela35[[#This Row],[Hr Saida]]</f>
        <v>0</v>
      </c>
      <c r="L23" s="10">
        <v>500</v>
      </c>
      <c r="M23" s="9">
        <f>Tabela35[[#This Row],[Frete]]/Tabela35[[#This Row],[Valor Frete]]</f>
        <v>5.5511085008565365E-2</v>
      </c>
      <c r="N23" s="4"/>
      <c r="O23" s="4"/>
      <c r="P23" s="4"/>
      <c r="Q23" s="12">
        <f>Tabela35[[#This Row],[Qtde Entregas]]-Tabela35[[#This Row],[Entregas Realizadas]]</f>
        <v>0</v>
      </c>
      <c r="R23" s="13" t="e">
        <f>Tabela35[[#This Row],[Entregas Realizadas]]/Tabela35[[#This Row],[Qtde Entregas]]</f>
        <v>#DIV/0!</v>
      </c>
      <c r="S23" s="14" t="e">
        <f>IF(Tabela35[[#This Row],[% Entrega]]&gt;=96%,"Atendeu a Meta","Não Atendeu a Meta")</f>
        <v>#DIV/0!</v>
      </c>
      <c r="T23" s="4"/>
      <c r="U23" s="4"/>
      <c r="V23" s="5"/>
    </row>
    <row r="24" spans="1:22" x14ac:dyDescent="0.25">
      <c r="A24" s="8">
        <v>46301</v>
      </c>
      <c r="B24" s="8" t="s">
        <v>44</v>
      </c>
      <c r="C24" s="4"/>
      <c r="D24" s="4" t="s">
        <v>45</v>
      </c>
      <c r="E24" s="10">
        <v>6185.78</v>
      </c>
      <c r="F24" s="10">
        <v>89820.800000000003</v>
      </c>
      <c r="G24" s="4"/>
      <c r="H24" s="9">
        <f>Tabela35[[#This Row],[Valor Frete]]/Tabela35[[#This Row],[Valor Mercadoria]]</f>
        <v>6.8868012754284086E-2</v>
      </c>
      <c r="I24" s="4"/>
      <c r="J24" s="4"/>
      <c r="K24" s="4">
        <f>Tabela35[[#This Row],[Hr Chegada]]-Tabela35[[#This Row],[Hr Saida]]</f>
        <v>0</v>
      </c>
      <c r="L24" s="10">
        <v>500</v>
      </c>
      <c r="M24" s="9">
        <f>Tabela35[[#This Row],[Frete]]/Tabela35[[#This Row],[Valor Frete]]</f>
        <v>8.0830550068059323E-2</v>
      </c>
      <c r="N24" s="4"/>
      <c r="O24" s="4"/>
      <c r="P24" s="4"/>
      <c r="Q24" s="12">
        <f>Tabela35[[#This Row],[Qtde Entregas]]-Tabela35[[#This Row],[Entregas Realizadas]]</f>
        <v>0</v>
      </c>
      <c r="R24" s="13" t="e">
        <f>Tabela35[[#This Row],[Entregas Realizadas]]/Tabela35[[#This Row],[Qtde Entregas]]</f>
        <v>#DIV/0!</v>
      </c>
      <c r="S24" s="14" t="e">
        <f>IF(Tabela35[[#This Row],[% Entrega]]&gt;=96%,"Atendeu a Meta","Não Atendeu a Meta")</f>
        <v>#DIV/0!</v>
      </c>
      <c r="T24" s="4"/>
      <c r="U24" s="4"/>
      <c r="V24" s="5"/>
    </row>
    <row r="25" spans="1:22" x14ac:dyDescent="0.25">
      <c r="A25" s="8">
        <v>46302</v>
      </c>
      <c r="B25" s="8" t="s">
        <v>44</v>
      </c>
      <c r="C25" s="4"/>
      <c r="D25" s="4" t="s">
        <v>45</v>
      </c>
      <c r="E25" s="10">
        <v>8104.3</v>
      </c>
      <c r="F25" s="10">
        <v>95783.11</v>
      </c>
      <c r="G25" s="4"/>
      <c r="H25" s="9">
        <f>Tabela35[[#This Row],[Valor Frete]]/Tabela35[[#This Row],[Valor Mercadoria]]</f>
        <v>8.4610950719808536E-2</v>
      </c>
      <c r="I25" s="4"/>
      <c r="J25" s="4"/>
      <c r="K25" s="4">
        <f>Tabela35[[#This Row],[Hr Chegada]]-Tabela35[[#This Row],[Hr Saida]]</f>
        <v>0</v>
      </c>
      <c r="L25" s="10">
        <v>500</v>
      </c>
      <c r="M25" s="9">
        <f>Tabela35[[#This Row],[Frete]]/Tabela35[[#This Row],[Valor Frete]]</f>
        <v>6.1695643053687549E-2</v>
      </c>
      <c r="N25" s="4"/>
      <c r="O25" s="4">
        <v>16</v>
      </c>
      <c r="P25" s="4">
        <v>16</v>
      </c>
      <c r="Q25" s="12">
        <f>Tabela35[[#This Row],[Qtde Entregas]]-Tabela35[[#This Row],[Entregas Realizadas]]</f>
        <v>0</v>
      </c>
      <c r="R25" s="13">
        <f>Tabela35[[#This Row],[Entregas Realizadas]]/Tabela35[[#This Row],[Qtde Entregas]]</f>
        <v>1</v>
      </c>
      <c r="S25" s="14" t="str">
        <f>IF(Tabela35[[#This Row],[% Entrega]]&gt;=96%,"Atendeu a Meta","Não Atendeu a Meta")</f>
        <v>Atendeu a Meta</v>
      </c>
      <c r="T25" s="4" t="s">
        <v>39</v>
      </c>
      <c r="U25" s="4">
        <v>38</v>
      </c>
      <c r="V25" s="5"/>
    </row>
    <row r="26" spans="1:22" x14ac:dyDescent="0.25">
      <c r="A26" s="8">
        <v>46303</v>
      </c>
      <c r="B26" s="8" t="s">
        <v>44</v>
      </c>
      <c r="C26" s="4"/>
      <c r="D26" s="4" t="s">
        <v>45</v>
      </c>
      <c r="E26" s="27">
        <v>5994.53</v>
      </c>
      <c r="F26" s="27">
        <v>131439.71</v>
      </c>
      <c r="G26" s="4">
        <v>1808</v>
      </c>
      <c r="H26" s="9">
        <f>Tabela35[[#This Row],[Valor Frete]]/Tabela35[[#This Row],[Valor Mercadoria]]</f>
        <v>4.5606689180918002E-2</v>
      </c>
      <c r="I26" s="4"/>
      <c r="J26" s="4"/>
      <c r="K26" s="4">
        <f>Tabela35[[#This Row],[Hr Chegada]]-Tabela35[[#This Row],[Hr Saida]]</f>
        <v>0</v>
      </c>
      <c r="L26" s="10">
        <v>500</v>
      </c>
      <c r="M26" s="9">
        <f>Tabela35[[#This Row],[Frete]]/Tabela35[[#This Row],[Valor Frete]]</f>
        <v>8.340937488009903E-2</v>
      </c>
      <c r="N26" s="4">
        <v>359</v>
      </c>
      <c r="O26" s="4">
        <v>19</v>
      </c>
      <c r="P26" s="4">
        <v>19</v>
      </c>
      <c r="Q26" s="12">
        <f>Tabela35[[#This Row],[Qtde Entregas]]-Tabela35[[#This Row],[Entregas Realizadas]]</f>
        <v>0</v>
      </c>
      <c r="R26" s="13">
        <f>Tabela35[[#This Row],[Entregas Realizadas]]/Tabela35[[#This Row],[Qtde Entregas]]</f>
        <v>1</v>
      </c>
      <c r="S26" s="14" t="str">
        <f>IF(Tabela35[[#This Row],[% Entrega]]&gt;=96%,"Atendeu a Meta","Não Atendeu a Meta")</f>
        <v>Atendeu a Meta</v>
      </c>
      <c r="T26" s="4" t="s">
        <v>39</v>
      </c>
      <c r="U26" s="4">
        <v>0</v>
      </c>
      <c r="V26" s="5">
        <v>0</v>
      </c>
    </row>
    <row r="27" spans="1:22" x14ac:dyDescent="0.25">
      <c r="A27" s="8">
        <v>46304</v>
      </c>
      <c r="B27" s="8"/>
      <c r="C27" s="4"/>
      <c r="D27" s="4"/>
      <c r="E27" s="27"/>
      <c r="F27" s="27"/>
      <c r="G27" s="4"/>
      <c r="H27" s="9" t="e">
        <f>Tabela35[[#This Row],[Valor Frete]]/Tabela35[[#This Row],[Valor Mercadoria]]</f>
        <v>#DIV/0!</v>
      </c>
      <c r="I27" s="4"/>
      <c r="J27" s="4"/>
      <c r="K27" s="4">
        <f>Tabela35[[#This Row],[Hr Chegada]]-Tabela35[[#This Row],[Hr Saida]]</f>
        <v>0</v>
      </c>
      <c r="L27" s="10"/>
      <c r="M27" s="9" t="e">
        <f>Tabela35[[#This Row],[Frete]]/Tabela35[[#This Row],[Valor Frete]]</f>
        <v>#DIV/0!</v>
      </c>
      <c r="N27" s="4"/>
      <c r="O27" s="4"/>
      <c r="P27" s="4"/>
      <c r="Q27" s="12">
        <f>Tabela35[[#This Row],[Qtde Entregas]]-Tabela35[[#This Row],[Entregas Realizadas]]</f>
        <v>0</v>
      </c>
      <c r="R27" s="13" t="e">
        <f>Tabela35[[#This Row],[Entregas Realizadas]]/Tabela35[[#This Row],[Qtde Entregas]]</f>
        <v>#DIV/0!</v>
      </c>
      <c r="S27" s="14" t="e">
        <f>IF(Tabela35[[#This Row],[% Entrega]]&gt;=96%,"Atendeu a Meta","Não Atendeu a Meta")</f>
        <v>#DIV/0!</v>
      </c>
      <c r="T27" s="4"/>
      <c r="U27" s="4"/>
      <c r="V27" s="5"/>
    </row>
  </sheetData>
  <conditionalFormatting sqref="H2:H27">
    <cfRule type="cellIs" dxfId="106" priority="1" operator="lessThan">
      <formula>0.05</formula>
    </cfRule>
    <cfRule type="cellIs" dxfId="105" priority="2" operator="greaterThanOrEqual">
      <formula>0.05</formula>
    </cfRule>
  </conditionalFormatting>
  <conditionalFormatting sqref="R2:R27">
    <cfRule type="cellIs" dxfId="104" priority="7" stopIfTrue="1" operator="lessThanOrEqual">
      <formula>0.949</formula>
    </cfRule>
    <cfRule type="cellIs" dxfId="103" priority="8" stopIfTrue="1" operator="greaterThanOrEqual">
      <formula>0.9</formula>
    </cfRule>
    <cfRule type="cellIs" dxfId="102" priority="9" stopIfTrue="1" operator="greaterThanOrEqual">
      <formula>90</formula>
    </cfRule>
    <cfRule type="cellIs" dxfId="101" priority="10" stopIfTrue="1" operator="lessThan">
      <formula>0</formula>
    </cfRule>
    <cfRule type="cellIs" dxfId="100" priority="11" stopIfTrue="1" operator="lessThan">
      <formula>1</formula>
    </cfRule>
    <cfRule type="cellIs" dxfId="99" priority="12" stopIfTrue="1" operator="greaterThan">
      <formula>100</formula>
    </cfRule>
    <cfRule type="cellIs" dxfId="98" priority="13" stopIfTrue="1" operator="greaterThan">
      <formula>1</formula>
    </cfRule>
  </conditionalFormatting>
  <conditionalFormatting sqref="S2:S27">
    <cfRule type="expression" dxfId="97" priority="3" stopIfTrue="1">
      <formula>NOT(ISERROR(SEARCH("Não Atendeu a Meta",S2)))</formula>
    </cfRule>
    <cfRule type="expression" priority="4" stopIfTrue="1">
      <formula>NOT(ISERROR(SEARCH("""Atendeu a Meta""",S2)))</formula>
    </cfRule>
    <cfRule type="expression" priority="5" stopIfTrue="1">
      <formula>NOT(ISERROR(SEARCH("Não Atendeu a Meta",S2)))</formula>
    </cfRule>
    <cfRule type="expression" dxfId="96" priority="6" stopIfTrue="1">
      <formula>NOT(ISERROR(SEARCH("Atendeu a Meta",S2)))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A93CC-B655-4DE0-B90B-BE96AD645946}">
  <dimension ref="A1:Y522"/>
  <sheetViews>
    <sheetView showGridLines="0" tabSelected="1" workbookViewId="0">
      <pane xSplit="10" ySplit="1" topLeftCell="W496" activePane="bottomRight" state="frozen"/>
      <selection pane="topRight" activeCell="I1" sqref="I1"/>
      <selection pane="bottomLeft" activeCell="A2" sqref="A2"/>
      <selection pane="bottomRight" activeCell="J502" sqref="J502"/>
    </sheetView>
  </sheetViews>
  <sheetFormatPr defaultRowHeight="15" x14ac:dyDescent="0.25"/>
  <cols>
    <col min="1" max="1" width="10.42578125" bestFit="1" customWidth="1"/>
    <col min="2" max="3" width="10.42578125" customWidth="1"/>
    <col min="5" max="5" width="9.5703125" customWidth="1"/>
    <col min="6" max="6" width="11.85546875" customWidth="1"/>
    <col min="7" max="7" width="14.28515625" style="20" bestFit="1" customWidth="1"/>
    <col min="8" max="8" width="18.42578125" style="20" customWidth="1"/>
    <col min="10" max="10" width="9.85546875" customWidth="1"/>
    <col min="11" max="11" width="10.28515625" customWidth="1"/>
    <col min="12" max="12" width="13.140625" customWidth="1"/>
    <col min="13" max="13" width="9.85546875" customWidth="1"/>
    <col min="14" max="14" width="11.140625" customWidth="1"/>
    <col min="15" max="15" width="14" customWidth="1"/>
    <col min="16" max="16" width="9.7109375" customWidth="1"/>
    <col min="17" max="17" width="7.42578125" customWidth="1"/>
    <col min="18" max="18" width="8.85546875" customWidth="1"/>
    <col min="19" max="19" width="14.85546875" bestFit="1" customWidth="1"/>
    <col min="20" max="20" width="13.5703125" customWidth="1"/>
    <col min="21" max="21" width="11.85546875" customWidth="1"/>
    <col min="22" max="22" width="20.42578125" bestFit="1" customWidth="1"/>
    <col min="23" max="23" width="16.5703125" customWidth="1"/>
    <col min="24" max="24" width="14.7109375" customWidth="1"/>
    <col min="25" max="25" width="33.140625" bestFit="1" customWidth="1"/>
  </cols>
  <sheetData>
    <row r="1" spans="1:25" x14ac:dyDescent="0.25">
      <c r="A1" s="1" t="s">
        <v>0</v>
      </c>
      <c r="B1" s="1" t="s">
        <v>52</v>
      </c>
      <c r="C1" s="1" t="s">
        <v>51</v>
      </c>
      <c r="D1" s="2" t="s">
        <v>1</v>
      </c>
      <c r="E1" s="2" t="s">
        <v>73</v>
      </c>
      <c r="F1" s="2" t="s">
        <v>3</v>
      </c>
      <c r="G1" s="21" t="s">
        <v>4</v>
      </c>
      <c r="H1" s="21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42</v>
      </c>
      <c r="R1" s="2" t="s">
        <v>48</v>
      </c>
      <c r="S1" s="2" t="s">
        <v>49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  <c r="Y1" s="3" t="s">
        <v>50</v>
      </c>
    </row>
    <row r="2" spans="1:25" x14ac:dyDescent="0.25">
      <c r="A2" s="8">
        <v>46237</v>
      </c>
      <c r="B2" s="16">
        <f>YEAR(Tabela32[[#This Row],[Data]])</f>
        <v>2026</v>
      </c>
      <c r="C2" s="16">
        <f>MONTH(Tabela32[[#This Row],[Data]])</f>
        <v>8</v>
      </c>
      <c r="D2" s="4" t="s">
        <v>23</v>
      </c>
      <c r="E2" s="4">
        <v>3</v>
      </c>
      <c r="F2" s="4" t="str">
        <f>IFERROR(VLOOKUP(Tabela32[[#This Row],[Placa]],Planilha2!$A$1:$B$12,2,0),"")</f>
        <v>William</v>
      </c>
      <c r="G2" s="10">
        <v>8845.4</v>
      </c>
      <c r="H2" s="10">
        <v>229478.26</v>
      </c>
      <c r="I2" s="4">
        <v>2224</v>
      </c>
      <c r="J2" s="9">
        <f>IFERROR(Tabela32[[#This Row],[Valor Frete]]/Tabela32[[#This Row],[Valor Mercadoria]],"")</f>
        <v>3.8545699274519507E-2</v>
      </c>
      <c r="K2" s="11">
        <v>0.27083333333333331</v>
      </c>
      <c r="L2" s="15">
        <v>0.75694444444444442</v>
      </c>
      <c r="M2" s="15">
        <f>Tabela32[[#This Row],[Hr Chegada]]-Tabela32[[#This Row],[Hr Saida]]</f>
        <v>0.4861111111111111</v>
      </c>
      <c r="N2" s="4">
        <v>123165</v>
      </c>
      <c r="O2" s="4">
        <v>123227</v>
      </c>
      <c r="P2" s="4">
        <f>Tabela32[[#This Row],[Km Chegada]]-Tabela32[[#This Row],[Km Saída]]</f>
        <v>62</v>
      </c>
      <c r="Q2" s="4">
        <v>208</v>
      </c>
      <c r="R2" s="4">
        <v>17</v>
      </c>
      <c r="S2" s="4">
        <v>17</v>
      </c>
      <c r="T2" s="12">
        <f>Tabela32[[#This Row],[Entregas]]-Tabela32[[#This Row],[Realizadas]]</f>
        <v>0</v>
      </c>
      <c r="U2" s="13">
        <f>Tabela32[[#This Row],[Realizadas]]/Tabela32[[#This Row],[Entregas]]</f>
        <v>1</v>
      </c>
      <c r="V2" s="14" t="str">
        <f>IF(Tabela32[[#This Row],[% Entrega]]&gt;=96%,"Atendeu a Meta","Não Atendeu a Meta")</f>
        <v>Atendeu a Meta</v>
      </c>
      <c r="W2" s="4" t="s">
        <v>39</v>
      </c>
      <c r="X2" s="4">
        <v>0</v>
      </c>
      <c r="Y2" s="5">
        <v>0</v>
      </c>
    </row>
    <row r="3" spans="1:25" x14ac:dyDescent="0.25">
      <c r="A3" s="8">
        <v>46237</v>
      </c>
      <c r="B3" s="16">
        <f>YEAR(Tabela32[[#This Row],[Data]])</f>
        <v>2026</v>
      </c>
      <c r="C3" s="16">
        <f>MONTH(Tabela32[[#This Row],[Data]])</f>
        <v>8</v>
      </c>
      <c r="D3" s="4" t="s">
        <v>33</v>
      </c>
      <c r="E3" s="4">
        <v>1</v>
      </c>
      <c r="F3" s="4" t="str">
        <f>IFERROR(VLOOKUP(Tabela32[[#This Row],[Placa]],Planilha2!$A$1:$B$12,2,0),"")</f>
        <v>Paulo</v>
      </c>
      <c r="G3" s="10">
        <v>4361.26</v>
      </c>
      <c r="H3" s="10">
        <v>46788.62</v>
      </c>
      <c r="I3" s="4">
        <v>519</v>
      </c>
      <c r="J3" s="9">
        <f>IFERROR(Tabela32[[#This Row],[Valor Frete]]/Tabela32[[#This Row],[Valor Mercadoria]],"")</f>
        <v>9.3211981887903514E-2</v>
      </c>
      <c r="K3" s="11">
        <v>0.29166666666666669</v>
      </c>
      <c r="L3" s="15">
        <v>0.70833333333333337</v>
      </c>
      <c r="M3" s="15">
        <f>Tabela32[[#This Row],[Hr Chegada]]-Tabela32[[#This Row],[Hr Saida]]</f>
        <v>0.41666666666666669</v>
      </c>
      <c r="N3" s="4">
        <v>153358</v>
      </c>
      <c r="O3" s="4">
        <v>153447</v>
      </c>
      <c r="P3" s="4">
        <f>Tabela32[[#This Row],[Km Chegada]]-Tabela32[[#This Row],[Km Saída]]</f>
        <v>89</v>
      </c>
      <c r="Q3" s="4">
        <v>100</v>
      </c>
      <c r="R3" s="4">
        <v>14</v>
      </c>
      <c r="S3" s="4">
        <v>14</v>
      </c>
      <c r="T3" s="12">
        <f>Tabela32[[#This Row],[Entregas]]-Tabela32[[#This Row],[Realizadas]]</f>
        <v>0</v>
      </c>
      <c r="U3" s="13">
        <f>Tabela32[[#This Row],[Realizadas]]/Tabela32[[#This Row],[Entregas]]</f>
        <v>1</v>
      </c>
      <c r="V3" s="14" t="str">
        <f>IF(Tabela32[[#This Row],[% Entrega]]&gt;=96%,"Atendeu a Meta","Não Atendeu a Meta")</f>
        <v>Atendeu a Meta</v>
      </c>
      <c r="W3" s="4" t="s">
        <v>39</v>
      </c>
      <c r="X3" s="4">
        <v>0</v>
      </c>
      <c r="Y3" s="5">
        <v>0</v>
      </c>
    </row>
    <row r="4" spans="1:25" x14ac:dyDescent="0.25">
      <c r="A4" s="8">
        <v>46237</v>
      </c>
      <c r="B4" s="16">
        <f>YEAR(Tabela32[[#This Row],[Data]])</f>
        <v>2026</v>
      </c>
      <c r="C4" s="16">
        <f>MONTH(Tabela32[[#This Row],[Data]])</f>
        <v>8</v>
      </c>
      <c r="D4" s="4" t="s">
        <v>53</v>
      </c>
      <c r="E4" s="4">
        <v>1</v>
      </c>
      <c r="F4" s="4" t="str">
        <f>IFERROR(VLOOKUP(Tabela32[[#This Row],[Placa]],Planilha2!$A$1:$B$12,2,0),"")</f>
        <v>Arnaldo</v>
      </c>
      <c r="G4" s="10">
        <v>10990.49</v>
      </c>
      <c r="H4" s="10">
        <v>239686.28</v>
      </c>
      <c r="I4" s="4">
        <v>2245</v>
      </c>
      <c r="J4" s="9">
        <f>IFERROR(Tabela32[[#This Row],[Valor Frete]]/Tabela32[[#This Row],[Valor Mercadoria]],"")</f>
        <v>4.5853646691834012E-2</v>
      </c>
      <c r="K4" s="11">
        <v>0.29166666666666669</v>
      </c>
      <c r="L4" s="15">
        <v>0.75</v>
      </c>
      <c r="M4" s="15">
        <f>Tabela32[[#This Row],[Hr Chegada]]-Tabela32[[#This Row],[Hr Saida]]</f>
        <v>0.45833333333333331</v>
      </c>
      <c r="N4" s="4">
        <v>11485</v>
      </c>
      <c r="O4" s="4">
        <v>11546</v>
      </c>
      <c r="P4" s="4">
        <f>Tabela32[[#This Row],[Km Chegada]]-Tabela32[[#This Row],[Km Saída]]</f>
        <v>61</v>
      </c>
      <c r="Q4" s="4">
        <v>315</v>
      </c>
      <c r="R4" s="4">
        <v>34</v>
      </c>
      <c r="S4" s="4">
        <v>34</v>
      </c>
      <c r="T4" s="12">
        <f>Tabela32[[#This Row],[Entregas]]-Tabela32[[#This Row],[Realizadas]]</f>
        <v>0</v>
      </c>
      <c r="U4" s="13">
        <f>Tabela32[[#This Row],[Realizadas]]/Tabela32[[#This Row],[Entregas]]</f>
        <v>1</v>
      </c>
      <c r="V4" s="14" t="str">
        <f>IF(Tabela32[[#This Row],[% Entrega]]&gt;=96%,"Atendeu a Meta","Não Atendeu a Meta")</f>
        <v>Atendeu a Meta</v>
      </c>
      <c r="W4" s="4" t="s">
        <v>39</v>
      </c>
      <c r="X4" s="4">
        <v>0</v>
      </c>
      <c r="Y4" s="5">
        <v>0</v>
      </c>
    </row>
    <row r="5" spans="1:25" x14ac:dyDescent="0.25">
      <c r="A5" s="8">
        <v>46237</v>
      </c>
      <c r="B5" s="16">
        <f>YEAR(Tabela32[[#This Row],[Data]])</f>
        <v>2026</v>
      </c>
      <c r="C5" s="16">
        <f>MONTH(Tabela32[[#This Row],[Data]])</f>
        <v>8</v>
      </c>
      <c r="D5" s="4" t="s">
        <v>25</v>
      </c>
      <c r="E5" s="4">
        <v>2</v>
      </c>
      <c r="F5" s="4" t="str">
        <f>IFERROR(VLOOKUP(Tabela32[[#This Row],[Placa]],Planilha2!$A$1:$B$12,2,0),"")</f>
        <v>Gilberto</v>
      </c>
      <c r="G5" s="10">
        <v>12153.58</v>
      </c>
      <c r="H5" s="10">
        <v>209648.96</v>
      </c>
      <c r="I5" s="4">
        <v>2509</v>
      </c>
      <c r="J5" s="9">
        <f>IFERROR(Tabela32[[#This Row],[Valor Frete]]/Tabela32[[#This Row],[Valor Mercadoria]],"")</f>
        <v>5.7971096064583387E-2</v>
      </c>
      <c r="K5" s="11">
        <v>0.29166666666666669</v>
      </c>
      <c r="L5" s="15">
        <v>0.75</v>
      </c>
      <c r="M5" s="15">
        <f>Tabela32[[#This Row],[Hr Chegada]]-Tabela32[[#This Row],[Hr Saida]]</f>
        <v>0.45833333333333331</v>
      </c>
      <c r="N5" s="4">
        <v>117070</v>
      </c>
      <c r="O5" s="4">
        <v>117125</v>
      </c>
      <c r="P5" s="4">
        <f>Tabela32[[#This Row],[Km Chegada]]-Tabela32[[#This Row],[Km Saída]]</f>
        <v>55</v>
      </c>
      <c r="Q5" s="4">
        <v>383</v>
      </c>
      <c r="R5" s="4">
        <v>42</v>
      </c>
      <c r="S5" s="4">
        <v>42</v>
      </c>
      <c r="T5" s="12">
        <f>Tabela32[[#This Row],[Entregas]]-Tabela32[[#This Row],[Realizadas]]</f>
        <v>0</v>
      </c>
      <c r="U5" s="13">
        <f>Tabela32[[#This Row],[Realizadas]]/Tabela32[[#This Row],[Entregas]]</f>
        <v>1</v>
      </c>
      <c r="V5" s="14" t="str">
        <f>IF(Tabela32[[#This Row],[% Entrega]]&gt;=96%,"Atendeu a Meta","Não Atendeu a Meta")</f>
        <v>Atendeu a Meta</v>
      </c>
      <c r="W5" s="4" t="s">
        <v>39</v>
      </c>
      <c r="X5" s="4">
        <v>0</v>
      </c>
      <c r="Y5" s="5">
        <v>0</v>
      </c>
    </row>
    <row r="6" spans="1:25" x14ac:dyDescent="0.25">
      <c r="A6" s="8">
        <v>46237</v>
      </c>
      <c r="B6" s="16">
        <f>YEAR(Tabela32[[#This Row],[Data]])</f>
        <v>2026</v>
      </c>
      <c r="C6" s="16">
        <f>MONTH(Tabela32[[#This Row],[Data]])</f>
        <v>8</v>
      </c>
      <c r="D6" s="4" t="s">
        <v>35</v>
      </c>
      <c r="E6" s="4">
        <v>5</v>
      </c>
      <c r="F6" s="4" t="str">
        <f>IFERROR(VLOOKUP(Tabela32[[#This Row],[Placa]],Planilha2!$A$1:$B$12,2,0),"")</f>
        <v>Osvaldo</v>
      </c>
      <c r="G6" s="10">
        <v>5878.32</v>
      </c>
      <c r="H6" s="10">
        <v>122432.31</v>
      </c>
      <c r="I6" s="4">
        <v>1838</v>
      </c>
      <c r="J6" s="9">
        <f>IFERROR(Tabela32[[#This Row],[Valor Frete]]/Tabela32[[#This Row],[Valor Mercadoria]],"")</f>
        <v>4.801281622473675E-2</v>
      </c>
      <c r="K6" s="11">
        <v>0.29166666666666669</v>
      </c>
      <c r="L6" s="15">
        <v>0.70833333333333337</v>
      </c>
      <c r="M6" s="15">
        <f>Tabela32[[#This Row],[Hr Chegada]]-Tabela32[[#This Row],[Hr Saida]]</f>
        <v>0.41666666666666669</v>
      </c>
      <c r="N6" s="4">
        <v>140571</v>
      </c>
      <c r="O6" s="4">
        <v>140635</v>
      </c>
      <c r="P6" s="4">
        <f>Tabela32[[#This Row],[Km Chegada]]-Tabela32[[#This Row],[Km Saída]]</f>
        <v>64</v>
      </c>
      <c r="Q6" s="4">
        <v>3</v>
      </c>
      <c r="R6" s="4">
        <v>2</v>
      </c>
      <c r="S6" s="4">
        <v>2</v>
      </c>
      <c r="T6" s="12">
        <f>Tabela32[[#This Row],[Entregas]]-Tabela32[[#This Row],[Realizadas]]</f>
        <v>0</v>
      </c>
      <c r="U6" s="13">
        <f>Tabela32[[#This Row],[Realizadas]]/Tabela32[[#This Row],[Entregas]]</f>
        <v>1</v>
      </c>
      <c r="V6" s="14" t="str">
        <f>IF(Tabela32[[#This Row],[% Entrega]]&gt;=96%,"Atendeu a Meta","Não Atendeu a Meta")</f>
        <v>Atendeu a Meta</v>
      </c>
      <c r="W6" s="4" t="s">
        <v>39</v>
      </c>
      <c r="X6" s="4">
        <v>0</v>
      </c>
      <c r="Y6" s="5">
        <v>0</v>
      </c>
    </row>
    <row r="7" spans="1:25" x14ac:dyDescent="0.25">
      <c r="A7" s="8">
        <v>46237</v>
      </c>
      <c r="B7" s="16">
        <f>YEAR(Tabela32[[#This Row],[Data]])</f>
        <v>2026</v>
      </c>
      <c r="C7" s="16">
        <f>MONTH(Tabela32[[#This Row],[Data]])</f>
        <v>8</v>
      </c>
      <c r="D7" s="4" t="s">
        <v>31</v>
      </c>
      <c r="E7" s="4">
        <v>1</v>
      </c>
      <c r="F7" s="4" t="str">
        <f>IFERROR(VLOOKUP(Tabela32[[#This Row],[Placa]],Planilha2!$A$1:$B$12,2,0),"")</f>
        <v>Jerson</v>
      </c>
      <c r="G7" s="10">
        <v>11704.49</v>
      </c>
      <c r="H7" s="10">
        <v>191260.58</v>
      </c>
      <c r="I7" s="4">
        <v>2762</v>
      </c>
      <c r="J7" s="9">
        <f>IFERROR(Tabela32[[#This Row],[Valor Frete]]/Tabela32[[#This Row],[Valor Mercadoria]],"")</f>
        <v>6.1196562302592621E-2</v>
      </c>
      <c r="K7" s="11">
        <v>0.29166666666666669</v>
      </c>
      <c r="L7" s="15">
        <v>0.75</v>
      </c>
      <c r="M7" s="15">
        <f>Tabela32[[#This Row],[Hr Chegada]]-Tabela32[[#This Row],[Hr Saida]]</f>
        <v>0.45833333333333331</v>
      </c>
      <c r="N7" s="4">
        <v>278755</v>
      </c>
      <c r="O7" s="4">
        <v>278800</v>
      </c>
      <c r="P7" s="4">
        <f>Tabela32[[#This Row],[Km Chegada]]-Tabela32[[#This Row],[Km Saída]]</f>
        <v>45</v>
      </c>
      <c r="Q7" s="4">
        <v>297</v>
      </c>
      <c r="R7" s="4">
        <v>22</v>
      </c>
      <c r="S7" s="4">
        <v>22</v>
      </c>
      <c r="T7" s="12">
        <f>Tabela32[[#This Row],[Entregas]]-Tabela32[[#This Row],[Realizadas]]</f>
        <v>0</v>
      </c>
      <c r="U7" s="13">
        <f>Tabela32[[#This Row],[Realizadas]]/Tabela32[[#This Row],[Entregas]]</f>
        <v>1</v>
      </c>
      <c r="V7" s="14" t="str">
        <f>IF(Tabela32[[#This Row],[% Entrega]]&gt;=96%,"Atendeu a Meta","Não Atendeu a Meta")</f>
        <v>Atendeu a Meta</v>
      </c>
      <c r="W7" s="4" t="s">
        <v>43</v>
      </c>
      <c r="X7" s="4">
        <v>0</v>
      </c>
      <c r="Y7" s="5">
        <v>0</v>
      </c>
    </row>
    <row r="8" spans="1:25" x14ac:dyDescent="0.25">
      <c r="A8" s="8">
        <v>46237</v>
      </c>
      <c r="B8" s="16">
        <f>YEAR(Tabela32[[#This Row],[Data]])</f>
        <v>2026</v>
      </c>
      <c r="C8" s="16">
        <f>MONTH(Tabela32[[#This Row],[Data]])</f>
        <v>8</v>
      </c>
      <c r="D8" s="4" t="s">
        <v>29</v>
      </c>
      <c r="E8" s="4">
        <v>4</v>
      </c>
      <c r="F8" s="4" t="str">
        <f>IFERROR(VLOOKUP(Tabela32[[#This Row],[Placa]],Planilha2!$A$1:$B$12,2,0),"")</f>
        <v>Sandro</v>
      </c>
      <c r="G8" s="10">
        <v>2038.29</v>
      </c>
      <c r="H8" s="10">
        <v>29918.46</v>
      </c>
      <c r="I8" s="4">
        <v>402</v>
      </c>
      <c r="J8" s="9">
        <f>IFERROR(Tabela32[[#This Row],[Valor Frete]]/Tabela32[[#This Row],[Valor Mercadoria]],"")</f>
        <v>6.8128172372508483E-2</v>
      </c>
      <c r="K8" s="11">
        <v>0.29166666666666669</v>
      </c>
      <c r="L8" s="15">
        <v>0.75694444444444442</v>
      </c>
      <c r="M8" s="15">
        <f>Tabela32[[#This Row],[Hr Chegada]]-Tabela32[[#This Row],[Hr Saida]]</f>
        <v>0.46527777777777773</v>
      </c>
      <c r="N8" s="4">
        <v>273803</v>
      </c>
      <c r="O8" s="4">
        <v>273946</v>
      </c>
      <c r="P8" s="4">
        <f>Tabela32[[#This Row],[Km Chegada]]-Tabela32[[#This Row],[Km Saída]]</f>
        <v>143</v>
      </c>
      <c r="Q8" s="4">
        <v>25</v>
      </c>
      <c r="R8" s="4">
        <v>7</v>
      </c>
      <c r="S8" s="4">
        <v>7</v>
      </c>
      <c r="T8" s="12">
        <f>Tabela32[[#This Row],[Entregas]]-Tabela32[[#This Row],[Realizadas]]</f>
        <v>0</v>
      </c>
      <c r="U8" s="13">
        <f>Tabela32[[#This Row],[Realizadas]]/Tabela32[[#This Row],[Entregas]]</f>
        <v>1</v>
      </c>
      <c r="V8" s="14" t="str">
        <f>IF(Tabela32[[#This Row],[% Entrega]]&gt;=96%,"Atendeu a Meta","Não Atendeu a Meta")</f>
        <v>Atendeu a Meta</v>
      </c>
      <c r="W8" s="4" t="s">
        <v>39</v>
      </c>
      <c r="X8" s="4">
        <v>0</v>
      </c>
      <c r="Y8" s="5">
        <v>0</v>
      </c>
    </row>
    <row r="9" spans="1:25" x14ac:dyDescent="0.25">
      <c r="A9" s="8">
        <v>46237</v>
      </c>
      <c r="B9" s="16">
        <f>YEAR(Tabela32[[#This Row],[Data]])</f>
        <v>2026</v>
      </c>
      <c r="C9" s="16">
        <f>MONTH(Tabela32[[#This Row],[Data]])</f>
        <v>8</v>
      </c>
      <c r="D9" s="4" t="s">
        <v>22</v>
      </c>
      <c r="E9" s="4">
        <v>1</v>
      </c>
      <c r="F9" s="4" t="str">
        <f>IFERROR(VLOOKUP(Tabela32[[#This Row],[Placa]],Planilha2!$A$1:$B$12,2,0),"")</f>
        <v>Wesley</v>
      </c>
      <c r="G9" s="10">
        <v>6077.29</v>
      </c>
      <c r="H9" s="10">
        <v>118495.96</v>
      </c>
      <c r="I9" s="4">
        <v>859</v>
      </c>
      <c r="J9" s="9">
        <f>IFERROR(Tabela32[[#This Row],[Valor Frete]]/Tabela32[[#This Row],[Valor Mercadoria]],"")</f>
        <v>5.1286896194604435E-2</v>
      </c>
      <c r="K9" s="11">
        <v>0.29166666666666669</v>
      </c>
      <c r="L9" s="15">
        <v>0.75347222222222221</v>
      </c>
      <c r="M9" s="15">
        <f>Tabela32[[#This Row],[Hr Chegada]]-Tabela32[[#This Row],[Hr Saida]]</f>
        <v>0.46180555555555552</v>
      </c>
      <c r="N9" s="4">
        <v>302136</v>
      </c>
      <c r="O9" s="4">
        <v>302272</v>
      </c>
      <c r="P9" s="4">
        <f>Tabela32[[#This Row],[Km Chegada]]-Tabela32[[#This Row],[Km Saída]]</f>
        <v>136</v>
      </c>
      <c r="Q9" s="4">
        <v>116</v>
      </c>
      <c r="R9" s="4">
        <v>30</v>
      </c>
      <c r="S9" s="4">
        <v>30</v>
      </c>
      <c r="T9" s="12">
        <f>Tabela32[[#This Row],[Entregas]]-Tabela32[[#This Row],[Realizadas]]</f>
        <v>0</v>
      </c>
      <c r="U9" s="13">
        <f>Tabela32[[#This Row],[Realizadas]]/Tabela32[[#This Row],[Entregas]]</f>
        <v>1</v>
      </c>
      <c r="V9" s="14" t="str">
        <f>IF(Tabela32[[#This Row],[% Entrega]]&gt;=96%,"Atendeu a Meta","Não Atendeu a Meta")</f>
        <v>Atendeu a Meta</v>
      </c>
      <c r="W9" s="4" t="s">
        <v>41</v>
      </c>
      <c r="X9" s="4">
        <v>0</v>
      </c>
      <c r="Y9" s="5">
        <v>0</v>
      </c>
    </row>
    <row r="10" spans="1:25" x14ac:dyDescent="0.25">
      <c r="A10" s="8">
        <v>46237</v>
      </c>
      <c r="B10" s="16">
        <f>YEAR(Tabela32[[#This Row],[Data]])</f>
        <v>2026</v>
      </c>
      <c r="C10" s="16">
        <f>MONTH(Tabela32[[#This Row],[Data]])</f>
        <v>8</v>
      </c>
      <c r="D10" s="4" t="s">
        <v>36</v>
      </c>
      <c r="E10" s="4">
        <v>1</v>
      </c>
      <c r="F10" s="4" t="str">
        <f>IFERROR(VLOOKUP(Tabela32[[#This Row],[Placa]],Planilha2!$A$1:$B$12,2,0),"")</f>
        <v>Heremilton</v>
      </c>
      <c r="G10" s="10">
        <v>32724.35</v>
      </c>
      <c r="H10" s="10">
        <v>808017.95</v>
      </c>
      <c r="I10" s="4">
        <v>101</v>
      </c>
      <c r="J10" s="9">
        <f>IFERROR(Tabela32[[#This Row],[Valor Frete]]/Tabela32[[#This Row],[Valor Mercadoria]],"")</f>
        <v>4.0499533457146589E-2</v>
      </c>
      <c r="K10" s="11">
        <v>0.25</v>
      </c>
      <c r="L10" s="15">
        <v>0.75</v>
      </c>
      <c r="M10" s="15">
        <f>Tabela32[[#This Row],[Hr Chegada]]-Tabela32[[#This Row],[Hr Saida]]</f>
        <v>0.5</v>
      </c>
      <c r="N10" s="4">
        <v>363975</v>
      </c>
      <c r="O10" s="4">
        <v>364007</v>
      </c>
      <c r="P10" s="4">
        <f>Tabela32[[#This Row],[Km Chegada]]-Tabela32[[#This Row],[Km Saída]]</f>
        <v>32</v>
      </c>
      <c r="Q10" s="4">
        <v>101</v>
      </c>
      <c r="R10" s="4">
        <v>6</v>
      </c>
      <c r="S10" s="4">
        <v>6</v>
      </c>
      <c r="T10" s="12">
        <f>Tabela32[[#This Row],[Entregas]]-Tabela32[[#This Row],[Realizadas]]</f>
        <v>0</v>
      </c>
      <c r="U10" s="13">
        <f>Tabela32[[#This Row],[Realizadas]]/Tabela32[[#This Row],[Entregas]]</f>
        <v>1</v>
      </c>
      <c r="V10" s="14" t="str">
        <f>IF(Tabela32[[#This Row],[% Entrega]]&gt;=96%,"Atendeu a Meta","Não Atendeu a Meta")</f>
        <v>Atendeu a Meta</v>
      </c>
      <c r="W10" s="4" t="s">
        <v>41</v>
      </c>
      <c r="X10" s="4">
        <v>0</v>
      </c>
      <c r="Y10" s="5">
        <v>0</v>
      </c>
    </row>
    <row r="11" spans="1:25" x14ac:dyDescent="0.25">
      <c r="A11" s="8">
        <v>46237</v>
      </c>
      <c r="B11" s="16">
        <f>YEAR(Tabela32[[#This Row],[Data]])</f>
        <v>2026</v>
      </c>
      <c r="C11" s="16">
        <f>MONTH(Tabela32[[#This Row],[Data]])</f>
        <v>8</v>
      </c>
      <c r="D11" s="4" t="s">
        <v>27</v>
      </c>
      <c r="E11" s="4">
        <v>1</v>
      </c>
      <c r="F11" s="4" t="str">
        <f>IFERROR(VLOOKUP(Tabela32[[#This Row],[Placa]],Planilha2!$A$1:$B$12,2,0),"")</f>
        <v>Rosinaldo</v>
      </c>
      <c r="G11" s="10">
        <v>12477.04</v>
      </c>
      <c r="H11" s="10">
        <v>472202.58</v>
      </c>
      <c r="I11" s="4">
        <v>2812</v>
      </c>
      <c r="J11" s="9">
        <f>IFERROR(Tabela32[[#This Row],[Valor Frete]]/Tabela32[[#This Row],[Valor Mercadoria]],"")</f>
        <v>2.6423066134030865E-2</v>
      </c>
      <c r="K11" s="11">
        <v>0.29166666666666669</v>
      </c>
      <c r="L11" s="15">
        <v>0.70833333333333337</v>
      </c>
      <c r="M11" s="15">
        <f>Tabela32[[#This Row],[Hr Chegada]]-Tabela32[[#This Row],[Hr Saida]]</f>
        <v>0.41666666666666669</v>
      </c>
      <c r="N11" s="4">
        <v>289370</v>
      </c>
      <c r="O11" s="4">
        <v>289406</v>
      </c>
      <c r="P11" s="4">
        <f>Tabela32[[#This Row],[Km Chegada]]-Tabela32[[#This Row],[Km Saída]]</f>
        <v>36</v>
      </c>
      <c r="Q11" s="4">
        <v>212</v>
      </c>
      <c r="R11" s="4">
        <v>7</v>
      </c>
      <c r="S11" s="4">
        <v>7</v>
      </c>
      <c r="T11" s="12">
        <f>Tabela32[[#This Row],[Entregas]]-Tabela32[[#This Row],[Realizadas]]</f>
        <v>0</v>
      </c>
      <c r="U11" s="13">
        <f>Tabela32[[#This Row],[Realizadas]]/Tabela32[[#This Row],[Entregas]]</f>
        <v>1</v>
      </c>
      <c r="V11" s="14" t="str">
        <f>IF(Tabela32[[#This Row],[% Entrega]]&gt;=96%,"Atendeu a Meta","Não Atendeu a Meta")</f>
        <v>Atendeu a Meta</v>
      </c>
      <c r="W11" s="4" t="s">
        <v>39</v>
      </c>
      <c r="X11" s="4">
        <v>0</v>
      </c>
      <c r="Y11" s="5">
        <v>0</v>
      </c>
    </row>
    <row r="12" spans="1:25" x14ac:dyDescent="0.25">
      <c r="A12" s="8">
        <v>46237</v>
      </c>
      <c r="B12" s="16">
        <f>YEAR(Tabela32[[#This Row],[Data]])</f>
        <v>2026</v>
      </c>
      <c r="C12" s="16">
        <f>MONTH(Tabela32[[#This Row],[Data]])</f>
        <v>8</v>
      </c>
      <c r="D12" s="4" t="s">
        <v>28</v>
      </c>
      <c r="E12" s="4">
        <v>11</v>
      </c>
      <c r="F12" s="4" t="str">
        <f>IFERROR(VLOOKUP(Tabela32[[#This Row],[Placa]],Planilha2!$A$1:$B$12,2,0),"")</f>
        <v>Edilson</v>
      </c>
      <c r="G12" s="10">
        <v>39898.21</v>
      </c>
      <c r="H12" s="10">
        <v>223501.93</v>
      </c>
      <c r="I12" s="4">
        <v>4822</v>
      </c>
      <c r="J12" s="9">
        <f>IFERROR(Tabela32[[#This Row],[Valor Frete]]/Tabela32[[#This Row],[Valor Mercadoria]],"")</f>
        <v>0.17851393945457206</v>
      </c>
      <c r="K12" s="11">
        <v>0.25</v>
      </c>
      <c r="L12" s="15">
        <v>0.70833333333333337</v>
      </c>
      <c r="M12" s="15">
        <f>Tabela32[[#This Row],[Hr Chegada]]-Tabela32[[#This Row],[Hr Saida]]</f>
        <v>0.45833333333333337</v>
      </c>
      <c r="N12" s="4">
        <v>102828</v>
      </c>
      <c r="O12" s="4">
        <v>102859</v>
      </c>
      <c r="P12" s="4">
        <f>Tabela32[[#This Row],[Km Chegada]]-Tabela32[[#This Row],[Km Saída]]</f>
        <v>31</v>
      </c>
      <c r="Q12" s="4">
        <v>613</v>
      </c>
      <c r="R12" s="4">
        <v>6</v>
      </c>
      <c r="S12" s="4">
        <v>6</v>
      </c>
      <c r="T12" s="12">
        <f>Tabela32[[#This Row],[Entregas]]-Tabela32[[#This Row],[Realizadas]]</f>
        <v>0</v>
      </c>
      <c r="U12" s="13">
        <f>Tabela32[[#This Row],[Realizadas]]/Tabela32[[#This Row],[Entregas]]</f>
        <v>1</v>
      </c>
      <c r="V12" s="14" t="str">
        <f>IF(Tabela32[[#This Row],[% Entrega]]&gt;=96%,"Atendeu a Meta","Não Atendeu a Meta")</f>
        <v>Atendeu a Meta</v>
      </c>
      <c r="W12" s="4" t="s">
        <v>40</v>
      </c>
      <c r="X12" s="4">
        <v>0</v>
      </c>
      <c r="Y12" s="5">
        <v>0</v>
      </c>
    </row>
    <row r="13" spans="1:25" x14ac:dyDescent="0.25">
      <c r="A13" s="8">
        <v>46238</v>
      </c>
      <c r="B13" s="16">
        <f>YEAR(Tabela32[[#This Row],[Data]])</f>
        <v>2026</v>
      </c>
      <c r="C13" s="16">
        <f>MONTH(Tabela32[[#This Row],[Data]])</f>
        <v>8</v>
      </c>
      <c r="D13" s="4" t="s">
        <v>25</v>
      </c>
      <c r="E13" s="4">
        <v>2</v>
      </c>
      <c r="F13" s="4" t="str">
        <f>IFERROR(VLOOKUP(Tabela32[[#This Row],[Placa]],Planilha2!$A$1:$B$12,2,0),"")</f>
        <v>Gilberto</v>
      </c>
      <c r="G13" s="10">
        <v>6969.57</v>
      </c>
      <c r="H13" s="10">
        <v>101194.09</v>
      </c>
      <c r="I13" s="4">
        <v>1533</v>
      </c>
      <c r="J13" s="9">
        <f>IFERROR(Tabela32[[#This Row],[Valor Frete]]/Tabela32[[#This Row],[Valor Mercadoria]],"")</f>
        <v>6.8873290920448027E-2</v>
      </c>
      <c r="K13" s="11">
        <v>0.25</v>
      </c>
      <c r="L13" s="15">
        <v>0.66666666666666663</v>
      </c>
      <c r="M13" s="15">
        <f>Tabela32[[#This Row],[Hr Chegada]]-Tabela32[[#This Row],[Hr Saida]]</f>
        <v>0.41666666666666663</v>
      </c>
      <c r="N13" s="4">
        <v>117009</v>
      </c>
      <c r="O13" s="4">
        <v>117070</v>
      </c>
      <c r="P13" s="4">
        <f>Tabela32[[#This Row],[Km Chegada]]-Tabela32[[#This Row],[Km Saída]]</f>
        <v>61</v>
      </c>
      <c r="Q13" s="4">
        <v>296</v>
      </c>
      <c r="R13" s="4">
        <v>33</v>
      </c>
      <c r="S13" s="4">
        <v>33</v>
      </c>
      <c r="T13" s="12">
        <f>Tabela32[[#This Row],[Entregas]]-Tabela32[[#This Row],[Realizadas]]</f>
        <v>0</v>
      </c>
      <c r="U13" s="13">
        <f>Tabela32[[#This Row],[Realizadas]]/Tabela32[[#This Row],[Entregas]]</f>
        <v>1</v>
      </c>
      <c r="V13" s="14" t="str">
        <f>IF(Tabela32[[#This Row],[% Entrega]]&gt;=96%,"Atendeu a Meta","Não Atendeu a Meta")</f>
        <v>Atendeu a Meta</v>
      </c>
      <c r="W13" s="4" t="s">
        <v>39</v>
      </c>
      <c r="X13" s="4">
        <v>0</v>
      </c>
      <c r="Y13" s="5">
        <v>0</v>
      </c>
    </row>
    <row r="14" spans="1:25" x14ac:dyDescent="0.25">
      <c r="A14" s="8">
        <v>46239</v>
      </c>
      <c r="B14" s="16">
        <f>YEAR(Tabela32[[#This Row],[Data]])</f>
        <v>2026</v>
      </c>
      <c r="C14" s="16">
        <f>MONTH(Tabela32[[#This Row],[Data]])</f>
        <v>8</v>
      </c>
      <c r="D14" s="4" t="s">
        <v>22</v>
      </c>
      <c r="E14" s="4">
        <v>11</v>
      </c>
      <c r="F14" s="4" t="str">
        <f>IFERROR(VLOOKUP(Tabela32[[#This Row],[Placa]],Planilha2!$A$1:$B$12,2,0),"")</f>
        <v>Wesley</v>
      </c>
      <c r="G14" s="10">
        <v>15984.44</v>
      </c>
      <c r="H14" s="10">
        <v>260010.54</v>
      </c>
      <c r="I14" s="4">
        <v>4963</v>
      </c>
      <c r="J14" s="9">
        <f>IFERROR(Tabela32[[#This Row],[Valor Frete]]/Tabela32[[#This Row],[Valor Mercadoria]],"")</f>
        <v>6.1476123237158002E-2</v>
      </c>
      <c r="K14" s="11">
        <v>0.29166666666666669</v>
      </c>
      <c r="L14" s="15">
        <v>0.70833333333333337</v>
      </c>
      <c r="M14" s="15">
        <f>Tabela32[[#This Row],[Hr Chegada]]-Tabela32[[#This Row],[Hr Saida]]</f>
        <v>0.41666666666666669</v>
      </c>
      <c r="N14" s="4">
        <v>302272</v>
      </c>
      <c r="O14" s="4">
        <v>302430</v>
      </c>
      <c r="P14" s="4">
        <f>Tabela32[[#This Row],[Km Chegada]]-Tabela32[[#This Row],[Km Saída]]</f>
        <v>158</v>
      </c>
      <c r="Q14" s="4">
        <v>557</v>
      </c>
      <c r="R14" s="4">
        <v>26</v>
      </c>
      <c r="S14" s="4">
        <v>26</v>
      </c>
      <c r="T14" s="12">
        <f>Tabela32[[#This Row],[Entregas]]-Tabela32[[#This Row],[Realizadas]]</f>
        <v>0</v>
      </c>
      <c r="U14" s="13">
        <f>Tabela32[[#This Row],[Realizadas]]/Tabela32[[#This Row],[Entregas]]</f>
        <v>1</v>
      </c>
      <c r="V14" s="14" t="str">
        <f>IF(Tabela32[[#This Row],[% Entrega]]&gt;=96%,"Atendeu a Meta","Não Atendeu a Meta")</f>
        <v>Atendeu a Meta</v>
      </c>
      <c r="W14" s="4" t="s">
        <v>41</v>
      </c>
      <c r="X14" s="4">
        <v>0</v>
      </c>
      <c r="Y14" s="5">
        <v>0</v>
      </c>
    </row>
    <row r="15" spans="1:25" x14ac:dyDescent="0.25">
      <c r="A15" s="8">
        <v>46239</v>
      </c>
      <c r="B15" s="16">
        <f>YEAR(Tabela32[[#This Row],[Data]])</f>
        <v>2026</v>
      </c>
      <c r="C15" s="16">
        <f>MONTH(Tabela32[[#This Row],[Data]])</f>
        <v>8</v>
      </c>
      <c r="D15" s="4" t="s">
        <v>53</v>
      </c>
      <c r="E15" s="4">
        <v>1</v>
      </c>
      <c r="F15" s="4" t="str">
        <f>IFERROR(VLOOKUP(Tabela32[[#This Row],[Placa]],Planilha2!$A$1:$B$12,2,0),"")</f>
        <v>Arnaldo</v>
      </c>
      <c r="G15" s="10">
        <v>4841.7700000000004</v>
      </c>
      <c r="H15" s="10">
        <v>71288.460000000006</v>
      </c>
      <c r="I15" s="4">
        <v>591</v>
      </c>
      <c r="J15" s="9">
        <f>IFERROR(Tabela32[[#This Row],[Valor Frete]]/Tabela32[[#This Row],[Valor Mercadoria]],"")</f>
        <v>6.7918005242363216E-2</v>
      </c>
      <c r="K15" s="11">
        <v>0.25</v>
      </c>
      <c r="L15" s="15">
        <v>0.76458333333333328</v>
      </c>
      <c r="M15" s="15">
        <f>Tabela32[[#This Row],[Hr Chegada]]-Tabela32[[#This Row],[Hr Saida]]</f>
        <v>0.51458333333333328</v>
      </c>
      <c r="N15" s="4">
        <v>11546</v>
      </c>
      <c r="O15" s="4">
        <v>11570</v>
      </c>
      <c r="P15" s="4">
        <f>Tabela32[[#This Row],[Km Chegada]]-Tabela32[[#This Row],[Km Saída]]</f>
        <v>24</v>
      </c>
      <c r="Q15" s="4">
        <v>89</v>
      </c>
      <c r="R15" s="4">
        <v>24</v>
      </c>
      <c r="S15" s="4">
        <v>24</v>
      </c>
      <c r="T15" s="12">
        <f>Tabela32[[#This Row],[Entregas]]-Tabela32[[#This Row],[Realizadas]]</f>
        <v>0</v>
      </c>
      <c r="U15" s="13">
        <f>Tabela32[[#This Row],[Realizadas]]/Tabela32[[#This Row],[Entregas]]</f>
        <v>1</v>
      </c>
      <c r="V15" s="14" t="str">
        <f>IF(Tabela32[[#This Row],[% Entrega]]&gt;=96%,"Atendeu a Meta","Não Atendeu a Meta")</f>
        <v>Atendeu a Meta</v>
      </c>
      <c r="W15" s="4" t="s">
        <v>40</v>
      </c>
      <c r="X15" s="4">
        <v>0</v>
      </c>
      <c r="Y15" s="5">
        <v>0</v>
      </c>
    </row>
    <row r="16" spans="1:25" x14ac:dyDescent="0.25">
      <c r="A16" s="8">
        <v>46239</v>
      </c>
      <c r="B16" s="16">
        <f>YEAR(Tabela32[[#This Row],[Data]])</f>
        <v>2026</v>
      </c>
      <c r="C16" s="16">
        <f>MONTH(Tabela32[[#This Row],[Data]])</f>
        <v>8</v>
      </c>
      <c r="D16" s="4" t="s">
        <v>35</v>
      </c>
      <c r="E16" s="4">
        <v>5</v>
      </c>
      <c r="F16" s="4" t="str">
        <f>IFERROR(VLOOKUP(Tabela32[[#This Row],[Placa]],Planilha2!$A$1:$B$12,2,0),"")</f>
        <v>Osvaldo</v>
      </c>
      <c r="G16" s="10">
        <v>13102.44</v>
      </c>
      <c r="H16" s="10">
        <v>108551.78</v>
      </c>
      <c r="I16" s="4">
        <v>4110</v>
      </c>
      <c r="J16" s="9">
        <f>IFERROR(Tabela32[[#This Row],[Valor Frete]]/Tabela32[[#This Row],[Valor Mercadoria]],"")</f>
        <v>0.12070221234511309</v>
      </c>
      <c r="K16" s="11">
        <v>0.29166666666666669</v>
      </c>
      <c r="L16" s="15">
        <v>0.75</v>
      </c>
      <c r="M16" s="15">
        <f>Tabela32[[#This Row],[Hr Chegada]]-Tabela32[[#This Row],[Hr Saida]]</f>
        <v>0.45833333333333331</v>
      </c>
      <c r="N16" s="4">
        <v>140635</v>
      </c>
      <c r="O16" s="4">
        <v>140739</v>
      </c>
      <c r="P16" s="4">
        <f>Tabela32[[#This Row],[Km Chegada]]-Tabela32[[#This Row],[Km Saída]]</f>
        <v>104</v>
      </c>
      <c r="Q16" s="4">
        <v>333</v>
      </c>
      <c r="R16" s="4">
        <v>19</v>
      </c>
      <c r="S16" s="4">
        <v>19</v>
      </c>
      <c r="T16" s="12">
        <f>Tabela32[[#This Row],[Entregas]]-Tabela32[[#This Row],[Realizadas]]</f>
        <v>0</v>
      </c>
      <c r="U16" s="13">
        <f>Tabela32[[#This Row],[Realizadas]]/Tabela32[[#This Row],[Entregas]]</f>
        <v>1</v>
      </c>
      <c r="V16" s="14" t="str">
        <f>IF(Tabela32[[#This Row],[% Entrega]]&gt;=96%,"Atendeu a Meta","Não Atendeu a Meta")</f>
        <v>Atendeu a Meta</v>
      </c>
      <c r="W16" s="4" t="s">
        <v>39</v>
      </c>
      <c r="X16" s="4">
        <v>0</v>
      </c>
      <c r="Y16" s="5">
        <v>10</v>
      </c>
    </row>
    <row r="17" spans="1:25" x14ac:dyDescent="0.25">
      <c r="A17" s="8">
        <v>46239</v>
      </c>
      <c r="B17" s="16">
        <f>YEAR(Tabela32[[#This Row],[Data]])</f>
        <v>2026</v>
      </c>
      <c r="C17" s="16">
        <f>MONTH(Tabela32[[#This Row],[Data]])</f>
        <v>8</v>
      </c>
      <c r="D17" s="4" t="s">
        <v>28</v>
      </c>
      <c r="E17" s="4">
        <v>1</v>
      </c>
      <c r="F17" s="4" t="str">
        <f>IFERROR(VLOOKUP(Tabela32[[#This Row],[Placa]],Planilha2!$A$1:$B$12,2,0),"")</f>
        <v>Edilson</v>
      </c>
      <c r="G17" s="10">
        <v>23015.81</v>
      </c>
      <c r="H17" s="10">
        <v>240669.19</v>
      </c>
      <c r="I17" s="4">
        <v>4914</v>
      </c>
      <c r="J17" s="9">
        <f>IFERROR(Tabela32[[#This Row],[Valor Frete]]/Tabela32[[#This Row],[Valor Mercadoria]],"")</f>
        <v>9.5632556871945273E-2</v>
      </c>
      <c r="K17" s="11">
        <v>0.25</v>
      </c>
      <c r="L17" s="15">
        <v>0.75</v>
      </c>
      <c r="M17" s="15">
        <f>Tabela32[[#This Row],[Hr Chegada]]-Tabela32[[#This Row],[Hr Saida]]</f>
        <v>0.5</v>
      </c>
      <c r="N17" s="4">
        <v>102869</v>
      </c>
      <c r="O17" s="4">
        <v>102890</v>
      </c>
      <c r="P17" s="4">
        <f>Tabela32[[#This Row],[Km Chegada]]-Tabela32[[#This Row],[Km Saída]]</f>
        <v>21</v>
      </c>
      <c r="Q17" s="4">
        <v>1431</v>
      </c>
      <c r="R17" s="4">
        <v>8</v>
      </c>
      <c r="S17" s="4">
        <v>8</v>
      </c>
      <c r="T17" s="12">
        <f>Tabela32[[#This Row],[Entregas]]-Tabela32[[#This Row],[Realizadas]]</f>
        <v>0</v>
      </c>
      <c r="U17" s="13">
        <f>Tabela32[[#This Row],[Realizadas]]/Tabela32[[#This Row],[Entregas]]</f>
        <v>1</v>
      </c>
      <c r="V17" s="14" t="str">
        <f>IF(Tabela32[[#This Row],[% Entrega]]&gt;=96%,"Atendeu a Meta","Não Atendeu a Meta")</f>
        <v>Atendeu a Meta</v>
      </c>
      <c r="W17" s="4" t="s">
        <v>40</v>
      </c>
      <c r="X17" s="4">
        <v>0</v>
      </c>
      <c r="Y17" s="5">
        <v>0</v>
      </c>
    </row>
    <row r="18" spans="1:25" x14ac:dyDescent="0.25">
      <c r="A18" s="8">
        <v>46239</v>
      </c>
      <c r="B18" s="16">
        <f>YEAR(Tabela32[[#This Row],[Data]])</f>
        <v>2026</v>
      </c>
      <c r="C18" s="16">
        <f>MONTH(Tabela32[[#This Row],[Data]])</f>
        <v>8</v>
      </c>
      <c r="D18" s="4" t="s">
        <v>23</v>
      </c>
      <c r="E18" s="4">
        <v>3</v>
      </c>
      <c r="F18" s="4" t="str">
        <f>IFERROR(VLOOKUP(Tabela32[[#This Row],[Placa]],Planilha2!$A$1:$B$12,2,0),"")</f>
        <v>William</v>
      </c>
      <c r="G18" s="10">
        <v>6579.78</v>
      </c>
      <c r="H18" s="10">
        <v>119507.37</v>
      </c>
      <c r="I18" s="4">
        <v>1482</v>
      </c>
      <c r="J18" s="9">
        <f>IFERROR(Tabela32[[#This Row],[Valor Frete]]/Tabela32[[#This Row],[Valor Mercadoria]],"")</f>
        <v>5.5057524904112608E-2</v>
      </c>
      <c r="K18" s="11">
        <v>0.29166666666666669</v>
      </c>
      <c r="L18" s="15">
        <v>0.75694444444444442</v>
      </c>
      <c r="M18" s="15">
        <f>Tabela32[[#This Row],[Hr Chegada]]-Tabela32[[#This Row],[Hr Saida]]</f>
        <v>0.46527777777777773</v>
      </c>
      <c r="N18" s="4">
        <v>123220</v>
      </c>
      <c r="O18" s="4">
        <v>123287</v>
      </c>
      <c r="P18" s="4">
        <f>Tabela32[[#This Row],[Km Chegada]]-Tabela32[[#This Row],[Km Saída]]</f>
        <v>67</v>
      </c>
      <c r="Q18" s="4">
        <v>264</v>
      </c>
      <c r="R18" s="4">
        <v>19</v>
      </c>
      <c r="S18" s="4">
        <v>19</v>
      </c>
      <c r="T18" s="12">
        <f>Tabela32[[#This Row],[Entregas]]-Tabela32[[#This Row],[Realizadas]]</f>
        <v>0</v>
      </c>
      <c r="U18" s="13">
        <f>Tabela32[[#This Row],[Realizadas]]/Tabela32[[#This Row],[Entregas]]</f>
        <v>1</v>
      </c>
      <c r="V18" s="14" t="str">
        <f>IF(Tabela32[[#This Row],[% Entrega]]&gt;=96%,"Atendeu a Meta","Não Atendeu a Meta")</f>
        <v>Atendeu a Meta</v>
      </c>
      <c r="W18" s="4" t="s">
        <v>39</v>
      </c>
      <c r="X18" s="4">
        <v>0</v>
      </c>
      <c r="Y18" s="5">
        <v>0</v>
      </c>
    </row>
    <row r="19" spans="1:25" x14ac:dyDescent="0.25">
      <c r="A19" s="8">
        <v>46239</v>
      </c>
      <c r="B19" s="16">
        <f>YEAR(Tabela32[[#This Row],[Data]])</f>
        <v>2026</v>
      </c>
      <c r="C19" s="16">
        <f>MONTH(Tabela32[[#This Row],[Data]])</f>
        <v>8</v>
      </c>
      <c r="D19" s="4" t="s">
        <v>33</v>
      </c>
      <c r="E19" s="4">
        <v>1</v>
      </c>
      <c r="F19" s="4" t="str">
        <f>IFERROR(VLOOKUP(Tabela32[[#This Row],[Placa]],Planilha2!$A$1:$B$12,2,0),"")</f>
        <v>Paulo</v>
      </c>
      <c r="G19" s="10">
        <v>1575.53</v>
      </c>
      <c r="H19" s="10">
        <v>19679.400000000001</v>
      </c>
      <c r="I19" s="4">
        <v>33</v>
      </c>
      <c r="J19" s="9">
        <f>IFERROR(Tabela32[[#This Row],[Valor Frete]]/Tabela32[[#This Row],[Valor Mercadoria]],"")</f>
        <v>8.005985954856347E-2</v>
      </c>
      <c r="K19" s="11">
        <v>0.29166666666666669</v>
      </c>
      <c r="L19" s="15">
        <v>0.58333333333333337</v>
      </c>
      <c r="M19" s="15">
        <f>Tabela32[[#This Row],[Hr Chegada]]-Tabela32[[#This Row],[Hr Saida]]</f>
        <v>0.29166666666666669</v>
      </c>
      <c r="N19" s="4">
        <v>153448</v>
      </c>
      <c r="O19" s="4">
        <v>153483</v>
      </c>
      <c r="P19" s="4">
        <f>Tabela32[[#This Row],[Km Chegada]]-Tabela32[[#This Row],[Km Saída]]</f>
        <v>35</v>
      </c>
      <c r="Q19" s="4">
        <v>18</v>
      </c>
      <c r="R19" s="4">
        <v>3</v>
      </c>
      <c r="S19" s="4">
        <v>3</v>
      </c>
      <c r="T19" s="12">
        <f>Tabela32[[#This Row],[Entregas]]-Tabela32[[#This Row],[Realizadas]]</f>
        <v>0</v>
      </c>
      <c r="U19" s="13">
        <f>Tabela32[[#This Row],[Realizadas]]/Tabela32[[#This Row],[Entregas]]</f>
        <v>1</v>
      </c>
      <c r="V19" s="14" t="str">
        <f>IF(Tabela32[[#This Row],[% Entrega]]&gt;=96%,"Atendeu a Meta","Não Atendeu a Meta")</f>
        <v>Atendeu a Meta</v>
      </c>
      <c r="W19" s="4" t="s">
        <v>40</v>
      </c>
      <c r="X19" s="4">
        <v>0</v>
      </c>
      <c r="Y19" s="5">
        <v>0</v>
      </c>
    </row>
    <row r="20" spans="1:25" x14ac:dyDescent="0.25">
      <c r="A20" s="8">
        <v>46239</v>
      </c>
      <c r="B20" s="16">
        <f>YEAR(Tabela32[[#This Row],[Data]])</f>
        <v>2026</v>
      </c>
      <c r="C20" s="16">
        <f>MONTH(Tabela32[[#This Row],[Data]])</f>
        <v>8</v>
      </c>
      <c r="D20" s="4" t="s">
        <v>33</v>
      </c>
      <c r="E20" s="4">
        <v>1</v>
      </c>
      <c r="F20" s="4" t="str">
        <f>IFERROR(VLOOKUP(Tabela32[[#This Row],[Placa]],Planilha2!$A$1:$B$12,2,0),"")</f>
        <v>Paulo</v>
      </c>
      <c r="G20" s="10">
        <v>2332.14</v>
      </c>
      <c r="H20" s="10">
        <v>34144.78</v>
      </c>
      <c r="I20" s="4">
        <v>363</v>
      </c>
      <c r="J20" s="9">
        <f>IFERROR(Tabela32[[#This Row],[Valor Frete]]/Tabela32[[#This Row],[Valor Mercadoria]],"")</f>
        <v>6.8301509044720737E-2</v>
      </c>
      <c r="K20" s="11">
        <v>0.625</v>
      </c>
      <c r="L20" s="15">
        <v>0.74305555555555558</v>
      </c>
      <c r="M20" s="15">
        <f>Tabela32[[#This Row],[Hr Chegada]]-Tabela32[[#This Row],[Hr Saida]]</f>
        <v>0.11805555555555558</v>
      </c>
      <c r="N20" s="4">
        <v>153483</v>
      </c>
      <c r="O20" s="4">
        <v>153515</v>
      </c>
      <c r="P20" s="4">
        <f>Tabela32[[#This Row],[Km Chegada]]-Tabela32[[#This Row],[Km Saída]]</f>
        <v>32</v>
      </c>
      <c r="Q20" s="4">
        <v>64</v>
      </c>
      <c r="R20" s="4">
        <v>7</v>
      </c>
      <c r="S20" s="4">
        <v>7</v>
      </c>
      <c r="T20" s="12">
        <f>Tabela32[[#This Row],[Entregas]]-Tabela32[[#This Row],[Realizadas]]</f>
        <v>0</v>
      </c>
      <c r="U20" s="13">
        <f>Tabela32[[#This Row],[Realizadas]]/Tabela32[[#This Row],[Entregas]]</f>
        <v>1</v>
      </c>
      <c r="V20" s="14" t="str">
        <f>IF(Tabela32[[#This Row],[% Entrega]]&gt;=96%,"Atendeu a Meta","Não Atendeu a Meta")</f>
        <v>Atendeu a Meta</v>
      </c>
      <c r="W20" s="4" t="s">
        <v>39</v>
      </c>
      <c r="X20" s="4">
        <v>0</v>
      </c>
      <c r="Y20" s="5">
        <v>0</v>
      </c>
    </row>
    <row r="21" spans="1:25" x14ac:dyDescent="0.25">
      <c r="A21" s="8">
        <v>46239</v>
      </c>
      <c r="B21" s="16">
        <f>YEAR(Tabela32[[#This Row],[Data]])</f>
        <v>2026</v>
      </c>
      <c r="C21" s="16">
        <f>MONTH(Tabela32[[#This Row],[Data]])</f>
        <v>8</v>
      </c>
      <c r="D21" s="4" t="s">
        <v>31</v>
      </c>
      <c r="E21" s="4">
        <v>1</v>
      </c>
      <c r="F21" s="4" t="str">
        <f>IFERROR(VLOOKUP(Tabela32[[#This Row],[Placa]],Planilha2!$A$1:$B$12,2,0),"")</f>
        <v>Jerson</v>
      </c>
      <c r="G21" s="10">
        <v>12148.2</v>
      </c>
      <c r="H21" s="10">
        <v>186229.52</v>
      </c>
      <c r="I21" s="4">
        <v>2449</v>
      </c>
      <c r="J21" s="9">
        <f>IFERROR(Tabela32[[#This Row],[Valor Frete]]/Tabela32[[#This Row],[Valor Mercadoria]],"")</f>
        <v>6.5232407837382614E-2</v>
      </c>
      <c r="K21" s="11">
        <v>0.29166666666666669</v>
      </c>
      <c r="L21" s="15">
        <v>0.77083333333333337</v>
      </c>
      <c r="M21" s="15">
        <f>Tabela32[[#This Row],[Hr Chegada]]-Tabela32[[#This Row],[Hr Saida]]</f>
        <v>0.47916666666666669</v>
      </c>
      <c r="N21" s="4">
        <v>278800</v>
      </c>
      <c r="O21" s="4">
        <v>278869</v>
      </c>
      <c r="P21" s="4">
        <f>Tabela32[[#This Row],[Km Chegada]]-Tabela32[[#This Row],[Km Saída]]</f>
        <v>69</v>
      </c>
      <c r="Q21" s="4">
        <v>359</v>
      </c>
      <c r="R21" s="4">
        <v>43</v>
      </c>
      <c r="S21" s="4">
        <v>43</v>
      </c>
      <c r="T21" s="12">
        <f>Tabela32[[#This Row],[Entregas]]-Tabela32[[#This Row],[Realizadas]]</f>
        <v>0</v>
      </c>
      <c r="U21" s="13">
        <f>Tabela32[[#This Row],[Realizadas]]/Tabela32[[#This Row],[Entregas]]</f>
        <v>1</v>
      </c>
      <c r="V21" s="14" t="str">
        <f>IF(Tabela32[[#This Row],[% Entrega]]&gt;=96%,"Atendeu a Meta","Não Atendeu a Meta")</f>
        <v>Atendeu a Meta</v>
      </c>
      <c r="W21" s="4" t="s">
        <v>43</v>
      </c>
      <c r="X21" s="4">
        <v>0</v>
      </c>
      <c r="Y21" s="5">
        <v>0</v>
      </c>
    </row>
    <row r="22" spans="1:25" x14ac:dyDescent="0.25">
      <c r="A22" s="8">
        <v>46239</v>
      </c>
      <c r="B22" s="16">
        <f>YEAR(Tabela32[[#This Row],[Data]])</f>
        <v>2026</v>
      </c>
      <c r="C22" s="16">
        <f>MONTH(Tabela32[[#This Row],[Data]])</f>
        <v>8</v>
      </c>
      <c r="D22" s="4" t="s">
        <v>25</v>
      </c>
      <c r="E22" s="4">
        <v>2</v>
      </c>
      <c r="F22" s="4" t="str">
        <f>IFERROR(VLOOKUP(Tabela32[[#This Row],[Placa]],Planilha2!$A$1:$B$12,2,0),"")</f>
        <v>Gilberto</v>
      </c>
      <c r="G22" s="10">
        <v>10589.53</v>
      </c>
      <c r="H22" s="10">
        <v>152768.98000000001</v>
      </c>
      <c r="I22" s="4">
        <v>2178</v>
      </c>
      <c r="J22" s="9">
        <f>IFERROR(Tabela32[[#This Row],[Valor Frete]]/Tabela32[[#This Row],[Valor Mercadoria]],"")</f>
        <v>6.9317278939742877E-2</v>
      </c>
      <c r="K22" s="11">
        <v>0.29166666666666669</v>
      </c>
      <c r="L22" s="15">
        <v>0.73611111111111116</v>
      </c>
      <c r="M22" s="15">
        <f>Tabela32[[#This Row],[Hr Chegada]]-Tabela32[[#This Row],[Hr Saida]]</f>
        <v>0.44444444444444448</v>
      </c>
      <c r="N22" s="4">
        <v>117125</v>
      </c>
      <c r="O22" s="4">
        <v>117184</v>
      </c>
      <c r="P22" s="4">
        <f>Tabela32[[#This Row],[Km Chegada]]-Tabela32[[#This Row],[Km Saída]]</f>
        <v>59</v>
      </c>
      <c r="Q22" s="4">
        <v>349</v>
      </c>
      <c r="R22" s="4">
        <v>27</v>
      </c>
      <c r="S22" s="4">
        <v>27</v>
      </c>
      <c r="T22" s="12">
        <f>Tabela32[[#This Row],[Entregas]]-Tabela32[[#This Row],[Realizadas]]</f>
        <v>0</v>
      </c>
      <c r="U22" s="13">
        <f>Tabela32[[#This Row],[Realizadas]]/Tabela32[[#This Row],[Entregas]]</f>
        <v>1</v>
      </c>
      <c r="V22" s="14" t="str">
        <f>IF(Tabela32[[#This Row],[% Entrega]]&gt;=96%,"Atendeu a Meta","Não Atendeu a Meta")</f>
        <v>Atendeu a Meta</v>
      </c>
      <c r="W22" s="4" t="s">
        <v>39</v>
      </c>
      <c r="X22" s="4">
        <v>0</v>
      </c>
      <c r="Y22" s="5">
        <v>0</v>
      </c>
    </row>
    <row r="23" spans="1:25" x14ac:dyDescent="0.25">
      <c r="A23" s="8">
        <v>46239</v>
      </c>
      <c r="B23" s="16">
        <f>YEAR(Tabela32[[#This Row],[Data]])</f>
        <v>2026</v>
      </c>
      <c r="C23" s="16">
        <f>MONTH(Tabela32[[#This Row],[Data]])</f>
        <v>8</v>
      </c>
      <c r="D23" s="4" t="s">
        <v>29</v>
      </c>
      <c r="E23" s="4">
        <v>1</v>
      </c>
      <c r="F23" s="4" t="str">
        <f>IFERROR(VLOOKUP(Tabela32[[#This Row],[Placa]],Planilha2!$A$1:$B$12,2,0),"")</f>
        <v>Sandro</v>
      </c>
      <c r="G23" s="10">
        <v>2159.5100000000002</v>
      </c>
      <c r="H23" s="10">
        <v>70748.52</v>
      </c>
      <c r="I23" s="4">
        <v>247</v>
      </c>
      <c r="J23" s="9">
        <f>IFERROR(Tabela32[[#This Row],[Valor Frete]]/Tabela32[[#This Row],[Valor Mercadoria]],"")</f>
        <v>3.0523748058616632E-2</v>
      </c>
      <c r="K23" s="11">
        <v>0.29166666666666669</v>
      </c>
      <c r="L23" s="15">
        <v>0.72916666666666663</v>
      </c>
      <c r="M23" s="15">
        <f>Tabela32[[#This Row],[Hr Chegada]]-Tabela32[[#This Row],[Hr Saida]]</f>
        <v>0.43749999999999994</v>
      </c>
      <c r="N23" s="4">
        <v>273947</v>
      </c>
      <c r="O23" s="4">
        <v>273990</v>
      </c>
      <c r="P23" s="4">
        <f>Tabela32[[#This Row],[Km Chegada]]-Tabela32[[#This Row],[Km Saída]]</f>
        <v>43</v>
      </c>
      <c r="Q23" s="4">
        <v>49</v>
      </c>
      <c r="R23" s="4">
        <v>3</v>
      </c>
      <c r="S23" s="4">
        <v>3</v>
      </c>
      <c r="T23" s="12">
        <f>Tabela32[[#This Row],[Entregas]]-Tabela32[[#This Row],[Realizadas]]</f>
        <v>0</v>
      </c>
      <c r="U23" s="13">
        <f>Tabela32[[#This Row],[Realizadas]]/Tabela32[[#This Row],[Entregas]]</f>
        <v>1</v>
      </c>
      <c r="V23" s="14" t="str">
        <f>IF(Tabela32[[#This Row],[% Entrega]]&gt;=96%,"Atendeu a Meta","Não Atendeu a Meta")</f>
        <v>Atendeu a Meta</v>
      </c>
      <c r="W23" s="4" t="s">
        <v>40</v>
      </c>
      <c r="X23" s="4">
        <v>0</v>
      </c>
      <c r="Y23" s="5">
        <v>0</v>
      </c>
    </row>
    <row r="24" spans="1:25" x14ac:dyDescent="0.25">
      <c r="A24" s="8">
        <v>46239</v>
      </c>
      <c r="B24" s="16">
        <f>YEAR(Tabela32[[#This Row],[Data]])</f>
        <v>2026</v>
      </c>
      <c r="C24" s="16">
        <f>MONTH(Tabela32[[#This Row],[Data]])</f>
        <v>8</v>
      </c>
      <c r="D24" s="4" t="s">
        <v>27</v>
      </c>
      <c r="E24" s="4">
        <v>11</v>
      </c>
      <c r="F24" s="4" t="str">
        <f>IFERROR(VLOOKUP(Tabela32[[#This Row],[Placa]],Planilha2!$A$1:$B$12,2,0),"")</f>
        <v>Rosinaldo</v>
      </c>
      <c r="G24" s="10">
        <v>8779.9500000000007</v>
      </c>
      <c r="H24" s="10">
        <v>121213.35</v>
      </c>
      <c r="I24" s="4">
        <v>2160</v>
      </c>
      <c r="J24" s="9">
        <f>IFERROR(Tabela32[[#This Row],[Valor Frete]]/Tabela32[[#This Row],[Valor Mercadoria]],"")</f>
        <v>7.243385320181317E-2</v>
      </c>
      <c r="K24" s="11">
        <v>0.25</v>
      </c>
      <c r="L24" s="15">
        <v>0.75</v>
      </c>
      <c r="M24" s="15">
        <f>Tabela32[[#This Row],[Hr Chegada]]-Tabela32[[#This Row],[Hr Saida]]</f>
        <v>0.5</v>
      </c>
      <c r="N24" s="4">
        <v>289406</v>
      </c>
      <c r="O24" s="4">
        <v>289546</v>
      </c>
      <c r="P24" s="4">
        <f>Tabela32[[#This Row],[Km Chegada]]-Tabela32[[#This Row],[Km Saída]]</f>
        <v>140</v>
      </c>
      <c r="Q24" s="4">
        <v>316</v>
      </c>
      <c r="R24" s="4">
        <v>16</v>
      </c>
      <c r="S24" s="4">
        <v>16</v>
      </c>
      <c r="T24" s="12">
        <f>Tabela32[[#This Row],[Entregas]]-Tabela32[[#This Row],[Realizadas]]</f>
        <v>0</v>
      </c>
      <c r="U24" s="13">
        <f>Tabela32[[#This Row],[Realizadas]]/Tabela32[[#This Row],[Entregas]]</f>
        <v>1</v>
      </c>
      <c r="V24" s="14" t="str">
        <f>IF(Tabela32[[#This Row],[% Entrega]]&gt;=96%,"Atendeu a Meta","Não Atendeu a Meta")</f>
        <v>Atendeu a Meta</v>
      </c>
      <c r="W24" s="4" t="s">
        <v>41</v>
      </c>
      <c r="X24" s="4">
        <v>6</v>
      </c>
      <c r="Y24" s="5">
        <v>38</v>
      </c>
    </row>
    <row r="25" spans="1:25" x14ac:dyDescent="0.25">
      <c r="A25" s="8">
        <v>46240</v>
      </c>
      <c r="B25" s="16">
        <f>YEAR(Tabela32[[#This Row],[Data]])</f>
        <v>2026</v>
      </c>
      <c r="C25" s="16">
        <f>MONTH(Tabela32[[#This Row],[Data]])</f>
        <v>8</v>
      </c>
      <c r="D25" s="4" t="s">
        <v>28</v>
      </c>
      <c r="E25" s="4">
        <v>1</v>
      </c>
      <c r="F25" s="4" t="str">
        <f>IFERROR(VLOOKUP(Tabela32[[#This Row],[Placa]],Planilha2!$A$1:$B$12,2,0),"")</f>
        <v>Edilson</v>
      </c>
      <c r="G25" s="10">
        <v>22867.919999999998</v>
      </c>
      <c r="H25" s="10">
        <v>147447.51</v>
      </c>
      <c r="I25" s="4">
        <v>7696</v>
      </c>
      <c r="J25" s="9">
        <f>IFERROR(Tabela32[[#This Row],[Valor Frete]]/Tabela32[[#This Row],[Valor Mercadoria]],"")</f>
        <v>0.15509193746303343</v>
      </c>
      <c r="K25" s="11">
        <v>0.25</v>
      </c>
      <c r="L25" s="15">
        <v>0.75</v>
      </c>
      <c r="M25" s="15">
        <f>Tabela32[[#This Row],[Hr Chegada]]-Tabela32[[#This Row],[Hr Saida]]</f>
        <v>0.5</v>
      </c>
      <c r="N25" s="4">
        <v>102890</v>
      </c>
      <c r="O25" s="4">
        <v>102921</v>
      </c>
      <c r="P25" s="4">
        <f>Tabela32[[#This Row],[Km Chegada]]-Tabela32[[#This Row],[Km Saída]]</f>
        <v>31</v>
      </c>
      <c r="Q25" s="4">
        <v>729</v>
      </c>
      <c r="R25" s="4">
        <v>5</v>
      </c>
      <c r="S25" s="4">
        <v>5</v>
      </c>
      <c r="T25" s="12">
        <f>Tabela32[[#This Row],[Entregas]]-Tabela32[[#This Row],[Realizadas]]</f>
        <v>0</v>
      </c>
      <c r="U25" s="13">
        <f>Tabela32[[#This Row],[Realizadas]]/Tabela32[[#This Row],[Entregas]]</f>
        <v>1</v>
      </c>
      <c r="V25" s="14" t="str">
        <f>IF(Tabela32[[#This Row],[% Entrega]]&gt;=96%,"Atendeu a Meta","Não Atendeu a Meta")</f>
        <v>Atendeu a Meta</v>
      </c>
      <c r="W25" s="4" t="s">
        <v>43</v>
      </c>
      <c r="X25" s="4">
        <v>0</v>
      </c>
      <c r="Y25" s="5">
        <v>0</v>
      </c>
    </row>
    <row r="26" spans="1:25" x14ac:dyDescent="0.25">
      <c r="A26" s="8">
        <v>46240</v>
      </c>
      <c r="B26" s="16">
        <f>YEAR(Tabela32[[#This Row],[Data]])</f>
        <v>2026</v>
      </c>
      <c r="C26" s="16">
        <f>MONTH(Tabela32[[#This Row],[Data]])</f>
        <v>8</v>
      </c>
      <c r="D26" s="4" t="s">
        <v>25</v>
      </c>
      <c r="E26" s="4">
        <v>2</v>
      </c>
      <c r="F26" s="4" t="str">
        <f>IFERROR(VLOOKUP(Tabela32[[#This Row],[Placa]],Planilha2!$A$1:$B$12,2,0),"")</f>
        <v>Gilberto</v>
      </c>
      <c r="G26" s="10">
        <v>8734.8700000000008</v>
      </c>
      <c r="H26" s="10">
        <v>205399.41</v>
      </c>
      <c r="I26" s="4">
        <v>1526</v>
      </c>
      <c r="J26" s="9">
        <f>IFERROR(Tabela32[[#This Row],[Valor Frete]]/Tabela32[[#This Row],[Valor Mercadoria]],"")</f>
        <v>4.2526266263374371E-2</v>
      </c>
      <c r="K26" s="11">
        <v>0.29166666666666669</v>
      </c>
      <c r="L26" s="15">
        <v>0.70833333333333337</v>
      </c>
      <c r="M26" s="15">
        <f>Tabela32[[#This Row],[Hr Chegada]]-Tabela32[[#This Row],[Hr Saida]]</f>
        <v>0.41666666666666669</v>
      </c>
      <c r="N26" s="4">
        <v>117184</v>
      </c>
      <c r="O26" s="4">
        <v>117242</v>
      </c>
      <c r="P26" s="4">
        <f>Tabela32[[#This Row],[Km Chegada]]-Tabela32[[#This Row],[Km Saída]]</f>
        <v>58</v>
      </c>
      <c r="Q26" s="4">
        <v>265</v>
      </c>
      <c r="R26" s="4">
        <v>37</v>
      </c>
      <c r="S26" s="4">
        <v>37</v>
      </c>
      <c r="T26" s="12">
        <f>Tabela32[[#This Row],[Entregas]]-Tabela32[[#This Row],[Realizadas]]</f>
        <v>0</v>
      </c>
      <c r="U26" s="13">
        <f>Tabela32[[#This Row],[Realizadas]]/Tabela32[[#This Row],[Entregas]]</f>
        <v>1</v>
      </c>
      <c r="V26" s="14" t="str">
        <f>IF(Tabela32[[#This Row],[% Entrega]]&gt;=96%,"Atendeu a Meta","Não Atendeu a Meta")</f>
        <v>Atendeu a Meta</v>
      </c>
      <c r="W26" s="4" t="s">
        <v>39</v>
      </c>
      <c r="X26" s="4">
        <v>0</v>
      </c>
      <c r="Y26" s="5">
        <v>0</v>
      </c>
    </row>
    <row r="27" spans="1:25" x14ac:dyDescent="0.25">
      <c r="A27" s="8">
        <v>46240</v>
      </c>
      <c r="B27" s="16">
        <f>YEAR(Tabela32[[#This Row],[Data]])</f>
        <v>2026</v>
      </c>
      <c r="C27" s="16">
        <f>MONTH(Tabela32[[#This Row],[Data]])</f>
        <v>8</v>
      </c>
      <c r="D27" s="4" t="s">
        <v>29</v>
      </c>
      <c r="E27" s="4">
        <v>1</v>
      </c>
      <c r="F27" s="4" t="str">
        <f>IFERROR(VLOOKUP(Tabela32[[#This Row],[Placa]],Planilha2!$A$1:$B$12,2,0),"")</f>
        <v>Sandro</v>
      </c>
      <c r="G27" s="10">
        <v>7328.04</v>
      </c>
      <c r="H27" s="10">
        <v>111857.39</v>
      </c>
      <c r="I27" s="4">
        <v>2144</v>
      </c>
      <c r="J27" s="9">
        <f>IFERROR(Tabela32[[#This Row],[Valor Frete]]/Tabela32[[#This Row],[Valor Mercadoria]],"")</f>
        <v>6.5512345675149408E-2</v>
      </c>
      <c r="K27" s="11">
        <v>0.29166666666666669</v>
      </c>
      <c r="L27" s="15">
        <v>0.70833333333333337</v>
      </c>
      <c r="M27" s="15">
        <f>Tabela32[[#This Row],[Hr Chegada]]-Tabela32[[#This Row],[Hr Saida]]</f>
        <v>0.41666666666666669</v>
      </c>
      <c r="N27" s="4">
        <v>273990</v>
      </c>
      <c r="O27" s="4">
        <v>274022</v>
      </c>
      <c r="P27" s="4">
        <f>Tabela32[[#This Row],[Km Chegada]]-Tabela32[[#This Row],[Km Saída]]</f>
        <v>32</v>
      </c>
      <c r="Q27" s="4">
        <v>536</v>
      </c>
      <c r="R27" s="4">
        <v>3</v>
      </c>
      <c r="S27" s="4">
        <v>3</v>
      </c>
      <c r="T27" s="12">
        <f>Tabela32[[#This Row],[Entregas]]-Tabela32[[#This Row],[Realizadas]]</f>
        <v>0</v>
      </c>
      <c r="U27" s="13">
        <f>Tabela32[[#This Row],[Realizadas]]/Tabela32[[#This Row],[Entregas]]</f>
        <v>1</v>
      </c>
      <c r="V27" s="14" t="str">
        <f>IF(Tabela32[[#This Row],[% Entrega]]&gt;=96%,"Atendeu a Meta","Não Atendeu a Meta")</f>
        <v>Atendeu a Meta</v>
      </c>
      <c r="W27" s="4" t="s">
        <v>39</v>
      </c>
      <c r="X27" s="4">
        <v>0</v>
      </c>
      <c r="Y27" s="5">
        <v>0</v>
      </c>
    </row>
    <row r="28" spans="1:25" x14ac:dyDescent="0.25">
      <c r="A28" s="8">
        <v>46240</v>
      </c>
      <c r="B28" s="16">
        <f>YEAR(Tabela32[[#This Row],[Data]])</f>
        <v>2026</v>
      </c>
      <c r="C28" s="16">
        <f>MONTH(Tabela32[[#This Row],[Data]])</f>
        <v>8</v>
      </c>
      <c r="D28" s="4" t="s">
        <v>22</v>
      </c>
      <c r="E28" s="4">
        <v>11</v>
      </c>
      <c r="F28" s="4" t="str">
        <f>IFERROR(VLOOKUP(Tabela32[[#This Row],[Placa]],Planilha2!$A$1:$B$12,2,0),"")</f>
        <v>Wesley</v>
      </c>
      <c r="G28" s="10">
        <v>10766.57</v>
      </c>
      <c r="H28" s="10">
        <v>204495</v>
      </c>
      <c r="I28" s="4">
        <v>1550</v>
      </c>
      <c r="J28" s="9">
        <f>IFERROR(Tabela32[[#This Row],[Valor Frete]]/Tabela32[[#This Row],[Valor Mercadoria]],"")</f>
        <v>5.2649551333773442E-2</v>
      </c>
      <c r="K28" s="11">
        <v>0.25</v>
      </c>
      <c r="L28" s="15">
        <v>0.75</v>
      </c>
      <c r="M28" s="15">
        <f>Tabela32[[#This Row],[Hr Chegada]]-Tabela32[[#This Row],[Hr Saida]]</f>
        <v>0.5</v>
      </c>
      <c r="N28" s="4">
        <v>302430</v>
      </c>
      <c r="O28" s="4">
        <v>302561</v>
      </c>
      <c r="P28" s="4">
        <f>Tabela32[[#This Row],[Km Chegada]]-Tabela32[[#This Row],[Km Saída]]</f>
        <v>131</v>
      </c>
      <c r="Q28" s="4">
        <v>354</v>
      </c>
      <c r="R28" s="4">
        <v>24</v>
      </c>
      <c r="S28" s="4">
        <v>24</v>
      </c>
      <c r="T28" s="12">
        <f>Tabela32[[#This Row],[Entregas]]-Tabela32[[#This Row],[Realizadas]]</f>
        <v>0</v>
      </c>
      <c r="U28" s="13">
        <f>Tabela32[[#This Row],[Realizadas]]/Tabela32[[#This Row],[Entregas]]</f>
        <v>1</v>
      </c>
      <c r="V28" s="14" t="str">
        <f>IF(Tabela32[[#This Row],[% Entrega]]&gt;=96%,"Atendeu a Meta","Não Atendeu a Meta")</f>
        <v>Atendeu a Meta</v>
      </c>
      <c r="W28" s="4" t="s">
        <v>41</v>
      </c>
      <c r="X28" s="4">
        <v>0</v>
      </c>
      <c r="Y28" s="5">
        <v>0</v>
      </c>
    </row>
    <row r="29" spans="1:25" x14ac:dyDescent="0.25">
      <c r="A29" s="8">
        <v>46240</v>
      </c>
      <c r="B29" s="16">
        <f>YEAR(Tabela32[[#This Row],[Data]])</f>
        <v>2026</v>
      </c>
      <c r="C29" s="16">
        <f>MONTH(Tabela32[[#This Row],[Data]])</f>
        <v>8</v>
      </c>
      <c r="D29" s="4" t="s">
        <v>23</v>
      </c>
      <c r="E29" s="4">
        <v>3</v>
      </c>
      <c r="F29" s="4" t="str">
        <f>IFERROR(VLOOKUP(Tabela32[[#This Row],[Placa]],Planilha2!$A$1:$B$12,2,0),"")</f>
        <v>William</v>
      </c>
      <c r="G29" s="10">
        <v>5479.41</v>
      </c>
      <c r="H29" s="10">
        <v>73537.570000000007</v>
      </c>
      <c r="I29" s="4">
        <v>930</v>
      </c>
      <c r="J29" s="9">
        <f>IFERROR(Tabela32[[#This Row],[Valor Frete]]/Tabela32[[#This Row],[Valor Mercadoria]],"")</f>
        <v>7.4511708776887772E-2</v>
      </c>
      <c r="K29" s="11">
        <v>0.29166666666666669</v>
      </c>
      <c r="L29" s="15">
        <v>0.73611111111111116</v>
      </c>
      <c r="M29" s="15">
        <f>Tabela32[[#This Row],[Hr Chegada]]-Tabela32[[#This Row],[Hr Saida]]</f>
        <v>0.44444444444444448</v>
      </c>
      <c r="N29" s="4">
        <v>123287</v>
      </c>
      <c r="O29" s="4">
        <v>123356</v>
      </c>
      <c r="P29" s="4">
        <f>Tabela32[[#This Row],[Km Chegada]]-Tabela32[[#This Row],[Km Saída]]</f>
        <v>69</v>
      </c>
      <c r="Q29" s="4">
        <v>159</v>
      </c>
      <c r="R29" s="4">
        <v>17</v>
      </c>
      <c r="S29" s="4">
        <v>17</v>
      </c>
      <c r="T29" s="12">
        <f>Tabela32[[#This Row],[Entregas]]-Tabela32[[#This Row],[Realizadas]]</f>
        <v>0</v>
      </c>
      <c r="U29" s="13">
        <f>Tabela32[[#This Row],[Realizadas]]/Tabela32[[#This Row],[Entregas]]</f>
        <v>1</v>
      </c>
      <c r="V29" s="14" t="str">
        <f>IF(Tabela32[[#This Row],[% Entrega]]&gt;=96%,"Atendeu a Meta","Não Atendeu a Meta")</f>
        <v>Atendeu a Meta</v>
      </c>
      <c r="W29" s="4" t="s">
        <v>39</v>
      </c>
      <c r="X29" s="4">
        <v>0</v>
      </c>
      <c r="Y29" s="5">
        <v>0</v>
      </c>
    </row>
    <row r="30" spans="1:25" x14ac:dyDescent="0.25">
      <c r="A30" s="8">
        <v>46240</v>
      </c>
      <c r="B30" s="16">
        <f>YEAR(Tabela32[[#This Row],[Data]])</f>
        <v>2026</v>
      </c>
      <c r="C30" s="16">
        <f>MONTH(Tabela32[[#This Row],[Data]])</f>
        <v>8</v>
      </c>
      <c r="D30" s="4" t="s">
        <v>53</v>
      </c>
      <c r="E30" s="4">
        <v>1</v>
      </c>
      <c r="F30" s="4" t="str">
        <f>IFERROR(VLOOKUP(Tabela32[[#This Row],[Placa]],Planilha2!$A$1:$B$12,2,0),"")</f>
        <v>Arnaldo</v>
      </c>
      <c r="G30" s="10">
        <v>7264.82</v>
      </c>
      <c r="H30" s="10">
        <v>100081.26</v>
      </c>
      <c r="I30" s="4">
        <v>995</v>
      </c>
      <c r="J30" s="9">
        <f>IFERROR(Tabela32[[#This Row],[Valor Frete]]/Tabela32[[#This Row],[Valor Mercadoria]],"")</f>
        <v>7.2589214004699781E-2</v>
      </c>
      <c r="K30" s="11">
        <v>0.29166666666666669</v>
      </c>
      <c r="L30" s="15">
        <v>0.79305555555555551</v>
      </c>
      <c r="M30" s="15">
        <f>Tabela32[[#This Row],[Hr Chegada]]-Tabela32[[#This Row],[Hr Saida]]</f>
        <v>0.50138888888888888</v>
      </c>
      <c r="N30" s="4">
        <v>11557</v>
      </c>
      <c r="O30" s="4">
        <v>11703</v>
      </c>
      <c r="P30" s="4">
        <f>Tabela32[[#This Row],[Km Chegada]]-Tabela32[[#This Row],[Km Saída]]</f>
        <v>146</v>
      </c>
      <c r="Q30" s="4">
        <v>134</v>
      </c>
      <c r="R30" s="4">
        <v>32</v>
      </c>
      <c r="S30" s="4">
        <v>32</v>
      </c>
      <c r="T30" s="12">
        <f>Tabela32[[#This Row],[Entregas]]-Tabela32[[#This Row],[Realizadas]]</f>
        <v>0</v>
      </c>
      <c r="U30" s="13">
        <f>Tabela32[[#This Row],[Realizadas]]/Tabela32[[#This Row],[Entregas]]</f>
        <v>1</v>
      </c>
      <c r="V30" s="14" t="str">
        <f>IF(Tabela32[[#This Row],[% Entrega]]&gt;=96%,"Atendeu a Meta","Não Atendeu a Meta")</f>
        <v>Atendeu a Meta</v>
      </c>
      <c r="W30" s="4" t="s">
        <v>40</v>
      </c>
      <c r="X30" s="4">
        <v>0</v>
      </c>
      <c r="Y30" s="5">
        <v>0</v>
      </c>
    </row>
    <row r="31" spans="1:25" x14ac:dyDescent="0.25">
      <c r="A31" s="8">
        <v>46240</v>
      </c>
      <c r="B31" s="16">
        <f>YEAR(Tabela32[[#This Row],[Data]])</f>
        <v>2026</v>
      </c>
      <c r="C31" s="16">
        <f>MONTH(Tabela32[[#This Row],[Data]])</f>
        <v>8</v>
      </c>
      <c r="D31" s="4" t="s">
        <v>28</v>
      </c>
      <c r="E31" s="4">
        <v>1</v>
      </c>
      <c r="F31" s="4" t="str">
        <f>IFERROR(VLOOKUP(Tabela32[[#This Row],[Placa]],Planilha2!$A$1:$B$12,2,0),"")</f>
        <v>Edilson</v>
      </c>
      <c r="G31" s="10">
        <v>5000</v>
      </c>
      <c r="H31" s="10">
        <v>75240</v>
      </c>
      <c r="I31" s="4">
        <v>1140</v>
      </c>
      <c r="J31" s="9">
        <f>IFERROR(Tabela32[[#This Row],[Valor Frete]]/Tabela32[[#This Row],[Valor Mercadoria]],"")</f>
        <v>6.6454013822434876E-2</v>
      </c>
      <c r="K31" s="11">
        <v>0.25</v>
      </c>
      <c r="L31" s="15">
        <v>0.625</v>
      </c>
      <c r="M31" s="15">
        <f>Tabela32[[#This Row],[Hr Chegada]]-Tabela32[[#This Row],[Hr Saida]]</f>
        <v>0.375</v>
      </c>
      <c r="N31" s="4">
        <v>102921</v>
      </c>
      <c r="O31" s="4">
        <v>102972</v>
      </c>
      <c r="P31" s="4">
        <f>Tabela32[[#This Row],[Km Chegada]]-Tabela32[[#This Row],[Km Saída]]</f>
        <v>51</v>
      </c>
      <c r="Q31" s="4">
        <v>198</v>
      </c>
      <c r="R31" s="4">
        <v>1</v>
      </c>
      <c r="S31" s="4">
        <v>1</v>
      </c>
      <c r="T31" s="12">
        <f>Tabela32[[#This Row],[Entregas]]-Tabela32[[#This Row],[Realizadas]]</f>
        <v>0</v>
      </c>
      <c r="U31" s="13">
        <f>Tabela32[[#This Row],[Realizadas]]/Tabela32[[#This Row],[Entregas]]</f>
        <v>1</v>
      </c>
      <c r="V31" s="14" t="str">
        <f>IF(Tabela32[[#This Row],[% Entrega]]&gt;=96%,"Atendeu a Meta","Não Atendeu a Meta")</f>
        <v>Atendeu a Meta</v>
      </c>
      <c r="W31" s="4" t="s">
        <v>39</v>
      </c>
      <c r="X31" s="4">
        <v>0</v>
      </c>
      <c r="Y31" s="5">
        <v>0</v>
      </c>
    </row>
    <row r="32" spans="1:25" x14ac:dyDescent="0.25">
      <c r="A32" s="8">
        <v>46240</v>
      </c>
      <c r="B32" s="16">
        <f>YEAR(Tabela32[[#This Row],[Data]])</f>
        <v>2026</v>
      </c>
      <c r="C32" s="16">
        <f>MONTH(Tabela32[[#This Row],[Data]])</f>
        <v>8</v>
      </c>
      <c r="D32" s="4" t="s">
        <v>27</v>
      </c>
      <c r="E32" s="4">
        <v>11</v>
      </c>
      <c r="F32" s="4" t="str">
        <f>IFERROR(VLOOKUP(Tabela32[[#This Row],[Placa]],Planilha2!$A$1:$B$12,2,0),"")</f>
        <v>Rosinaldo</v>
      </c>
      <c r="G32" s="10">
        <v>17545.05</v>
      </c>
      <c r="H32" s="10">
        <v>240062.86</v>
      </c>
      <c r="I32" s="4">
        <v>4100</v>
      </c>
      <c r="J32" s="9">
        <f>IFERROR(Tabela32[[#This Row],[Valor Frete]]/Tabela32[[#This Row],[Valor Mercadoria]],"")</f>
        <v>7.3085232759453084E-2</v>
      </c>
      <c r="K32" s="11">
        <v>0.25</v>
      </c>
      <c r="L32" s="15">
        <v>0.70833333333333337</v>
      </c>
      <c r="M32" s="15">
        <f>Tabela32[[#This Row],[Hr Chegada]]-Tabela32[[#This Row],[Hr Saida]]</f>
        <v>0.45833333333333337</v>
      </c>
      <c r="N32" s="4">
        <v>289546</v>
      </c>
      <c r="O32" s="4">
        <v>289691</v>
      </c>
      <c r="P32" s="4">
        <f>Tabela32[[#This Row],[Km Chegada]]-Tabela32[[#This Row],[Km Saída]]</f>
        <v>145</v>
      </c>
      <c r="Q32" s="4">
        <v>78</v>
      </c>
      <c r="R32" s="4">
        <v>8</v>
      </c>
      <c r="S32" s="4">
        <v>8</v>
      </c>
      <c r="T32" s="12">
        <f>Tabela32[[#This Row],[Entregas]]-Tabela32[[#This Row],[Realizadas]]</f>
        <v>0</v>
      </c>
      <c r="U32" s="13">
        <f>Tabela32[[#This Row],[Realizadas]]/Tabela32[[#This Row],[Entregas]]</f>
        <v>1</v>
      </c>
      <c r="V32" s="14" t="str">
        <f>IF(Tabela32[[#This Row],[% Entrega]]&gt;=96%,"Atendeu a Meta","Não Atendeu a Meta")</f>
        <v>Atendeu a Meta</v>
      </c>
      <c r="W32" s="4" t="s">
        <v>41</v>
      </c>
      <c r="X32" s="4">
        <v>0</v>
      </c>
      <c r="Y32" s="5">
        <v>0</v>
      </c>
    </row>
    <row r="33" spans="1:25" x14ac:dyDescent="0.25">
      <c r="A33" s="8">
        <v>46240</v>
      </c>
      <c r="B33" s="16">
        <f>YEAR(Tabela32[[#This Row],[Data]])</f>
        <v>2026</v>
      </c>
      <c r="C33" s="16">
        <f>MONTH(Tabela32[[#This Row],[Data]])</f>
        <v>8</v>
      </c>
      <c r="D33" s="4" t="s">
        <v>31</v>
      </c>
      <c r="E33" s="4">
        <v>1</v>
      </c>
      <c r="F33" s="4" t="str">
        <f>IFERROR(VLOOKUP(Tabela32[[#This Row],[Placa]],Planilha2!$A$1:$B$12,2,0),"")</f>
        <v>Jerson</v>
      </c>
      <c r="G33" s="10">
        <v>10684.12</v>
      </c>
      <c r="H33" s="10">
        <v>81134.679999999993</v>
      </c>
      <c r="I33" s="4">
        <v>3580</v>
      </c>
      <c r="J33" s="9">
        <f>IFERROR(Tabela32[[#This Row],[Valor Frete]]/Tabela32[[#This Row],[Valor Mercadoria]],"")</f>
        <v>0.13168376334262982</v>
      </c>
      <c r="K33" s="11">
        <v>0.30555555555555558</v>
      </c>
      <c r="L33" s="15">
        <v>0.72361111111111109</v>
      </c>
      <c r="M33" s="15">
        <f>Tabela32[[#This Row],[Hr Chegada]]-Tabela32[[#This Row],[Hr Saida]]</f>
        <v>0.41805555555555551</v>
      </c>
      <c r="N33" s="4">
        <v>278869</v>
      </c>
      <c r="O33" s="4">
        <v>278928</v>
      </c>
      <c r="P33" s="4">
        <f>Tabela32[[#This Row],[Km Chegada]]-Tabela32[[#This Row],[Km Saída]]</f>
        <v>59</v>
      </c>
      <c r="Q33" s="4">
        <v>332</v>
      </c>
      <c r="R33" s="4">
        <v>11</v>
      </c>
      <c r="S33" s="4">
        <v>11</v>
      </c>
      <c r="T33" s="12">
        <f>Tabela32[[#This Row],[Entregas]]-Tabela32[[#This Row],[Realizadas]]</f>
        <v>0</v>
      </c>
      <c r="U33" s="13">
        <f>Tabela32[[#This Row],[Realizadas]]/Tabela32[[#This Row],[Entregas]]</f>
        <v>1</v>
      </c>
      <c r="V33" s="14" t="str">
        <f>IF(Tabela32[[#This Row],[% Entrega]]&gt;=96%,"Atendeu a Meta","Não Atendeu a Meta")</f>
        <v>Atendeu a Meta</v>
      </c>
      <c r="W33" s="4" t="s">
        <v>43</v>
      </c>
      <c r="X33" s="4">
        <v>3</v>
      </c>
      <c r="Y33" s="5">
        <v>38</v>
      </c>
    </row>
    <row r="34" spans="1:25" x14ac:dyDescent="0.25">
      <c r="A34" s="8">
        <v>46240</v>
      </c>
      <c r="B34" s="16">
        <f>YEAR(Tabela32[[#This Row],[Data]])</f>
        <v>2026</v>
      </c>
      <c r="C34" s="16">
        <f>MONTH(Tabela32[[#This Row],[Data]])</f>
        <v>8</v>
      </c>
      <c r="D34" s="4" t="s">
        <v>33</v>
      </c>
      <c r="E34" s="4">
        <v>1</v>
      </c>
      <c r="F34" s="4" t="str">
        <f>IFERROR(VLOOKUP(Tabela32[[#This Row],[Placa]],Planilha2!$A$1:$B$12,2,0),"")</f>
        <v>Paulo</v>
      </c>
      <c r="G34" s="10">
        <v>2802.93</v>
      </c>
      <c r="H34" s="10">
        <v>25178.12</v>
      </c>
      <c r="I34" s="4">
        <v>184</v>
      </c>
      <c r="J34" s="9">
        <f>IFERROR(Tabela32[[#This Row],[Valor Frete]]/Tabela32[[#This Row],[Valor Mercadoria]],"")</f>
        <v>0.11132403849056244</v>
      </c>
      <c r="K34" s="11">
        <v>0.29166666666666669</v>
      </c>
      <c r="L34" s="15">
        <v>0.71875</v>
      </c>
      <c r="M34" s="15">
        <f>Tabela32[[#This Row],[Hr Chegada]]-Tabela32[[#This Row],[Hr Saida]]</f>
        <v>0.42708333333333331</v>
      </c>
      <c r="N34" s="4">
        <v>153515</v>
      </c>
      <c r="O34" s="4">
        <v>153588</v>
      </c>
      <c r="P34" s="4">
        <f>Tabela32[[#This Row],[Km Chegada]]-Tabela32[[#This Row],[Km Saída]]</f>
        <v>73</v>
      </c>
      <c r="Q34" s="4">
        <v>32</v>
      </c>
      <c r="R34" s="4">
        <v>7</v>
      </c>
      <c r="S34" s="4">
        <v>7</v>
      </c>
      <c r="T34" s="12">
        <f>Tabela32[[#This Row],[Entregas]]-Tabela32[[#This Row],[Realizadas]]</f>
        <v>0</v>
      </c>
      <c r="U34" s="13">
        <f>Tabela32[[#This Row],[Realizadas]]/Tabela32[[#This Row],[Entregas]]</f>
        <v>1</v>
      </c>
      <c r="V34" s="14" t="str">
        <f>IF(Tabela32[[#This Row],[% Entrega]]&gt;=96%,"Atendeu a Meta","Não Atendeu a Meta")</f>
        <v>Atendeu a Meta</v>
      </c>
      <c r="W34" s="4" t="s">
        <v>43</v>
      </c>
      <c r="X34" s="4">
        <v>3</v>
      </c>
      <c r="Y34" s="5">
        <v>38</v>
      </c>
    </row>
    <row r="35" spans="1:25" x14ac:dyDescent="0.25">
      <c r="A35" s="8">
        <v>46241</v>
      </c>
      <c r="B35" s="16">
        <f>YEAR(Tabela32[[#This Row],[Data]])</f>
        <v>2026</v>
      </c>
      <c r="C35" s="16">
        <f>MONTH(Tabela32[[#This Row],[Data]])</f>
        <v>8</v>
      </c>
      <c r="D35" s="4" t="s">
        <v>33</v>
      </c>
      <c r="E35" s="4">
        <v>1</v>
      </c>
      <c r="F35" s="4" t="str">
        <f>IFERROR(VLOOKUP(Tabela32[[#This Row],[Placa]],Planilha2!$A$1:$B$12,2,0),"")</f>
        <v>Paulo</v>
      </c>
      <c r="G35" s="10">
        <v>440.45</v>
      </c>
      <c r="H35" s="10">
        <v>21701.52</v>
      </c>
      <c r="I35" s="4">
        <v>150</v>
      </c>
      <c r="J35" s="9">
        <f>IFERROR(Tabela32[[#This Row],[Valor Frete]]/Tabela32[[#This Row],[Valor Mercadoria]],"")</f>
        <v>2.0295813380813876E-2</v>
      </c>
      <c r="K35" s="11">
        <v>0.29166666666666669</v>
      </c>
      <c r="L35" s="15">
        <v>0.70833333333333337</v>
      </c>
      <c r="M35" s="15">
        <f>Tabela32[[#This Row],[Hr Chegada]]-Tabela32[[#This Row],[Hr Saida]]</f>
        <v>0.41666666666666669</v>
      </c>
      <c r="N35" s="4">
        <v>153588</v>
      </c>
      <c r="O35" s="4">
        <v>153646</v>
      </c>
      <c r="P35" s="4">
        <f>Tabela32[[#This Row],[Km Chegada]]-Tabela32[[#This Row],[Km Saída]]</f>
        <v>58</v>
      </c>
      <c r="Q35" s="4">
        <v>34</v>
      </c>
      <c r="R35" s="4">
        <v>1</v>
      </c>
      <c r="S35" s="4">
        <v>1</v>
      </c>
      <c r="T35" s="12">
        <f>Tabela32[[#This Row],[Entregas]]-Tabela32[[#This Row],[Realizadas]]</f>
        <v>0</v>
      </c>
      <c r="U35" s="13">
        <f>Tabela32[[#This Row],[Realizadas]]/Tabela32[[#This Row],[Entregas]]</f>
        <v>1</v>
      </c>
      <c r="V35" s="14" t="str">
        <f>IF(Tabela32[[#This Row],[% Entrega]]&gt;=96%,"Atendeu a Meta","Não Atendeu a Meta")</f>
        <v>Atendeu a Meta</v>
      </c>
      <c r="W35" s="4" t="s">
        <v>39</v>
      </c>
      <c r="X35" s="4">
        <v>0</v>
      </c>
      <c r="Y35" s="5">
        <v>0</v>
      </c>
    </row>
    <row r="36" spans="1:25" x14ac:dyDescent="0.25">
      <c r="A36" s="8">
        <v>46241</v>
      </c>
      <c r="B36" s="16">
        <f>YEAR(Tabela32[[#This Row],[Data]])</f>
        <v>2026</v>
      </c>
      <c r="C36" s="16">
        <f>MONTH(Tabela32[[#This Row],[Data]])</f>
        <v>8</v>
      </c>
      <c r="D36" s="4" t="s">
        <v>28</v>
      </c>
      <c r="E36" s="4">
        <v>11</v>
      </c>
      <c r="F36" s="4" t="str">
        <f>IFERROR(VLOOKUP(Tabela32[[#This Row],[Placa]],Planilha2!$A$1:$B$12,2,0),"")</f>
        <v>Edilson</v>
      </c>
      <c r="G36" s="10">
        <v>9981.69</v>
      </c>
      <c r="H36" s="10">
        <v>255065.9</v>
      </c>
      <c r="I36" s="4">
        <v>2213</v>
      </c>
      <c r="J36" s="9">
        <f>IFERROR(Tabela32[[#This Row],[Valor Frete]]/Tabela32[[#This Row],[Valor Mercadoria]],"")</f>
        <v>3.9133768959316008E-2</v>
      </c>
      <c r="K36" s="11">
        <v>0.25</v>
      </c>
      <c r="L36" s="15">
        <v>0.75694444444444442</v>
      </c>
      <c r="M36" s="15">
        <f>Tabela32[[#This Row],[Hr Chegada]]-Tabela32[[#This Row],[Hr Saida]]</f>
        <v>0.50694444444444442</v>
      </c>
      <c r="N36" s="4">
        <v>102972</v>
      </c>
      <c r="O36" s="4">
        <v>103105</v>
      </c>
      <c r="P36" s="4">
        <f>Tabela32[[#This Row],[Km Chegada]]-Tabela32[[#This Row],[Km Saída]]</f>
        <v>133</v>
      </c>
      <c r="Q36" s="4">
        <v>65</v>
      </c>
      <c r="R36" s="4">
        <v>2</v>
      </c>
      <c r="S36" s="4">
        <v>2</v>
      </c>
      <c r="T36" s="12">
        <f>Tabela32[[#This Row],[Entregas]]-Tabela32[[#This Row],[Realizadas]]</f>
        <v>0</v>
      </c>
      <c r="U36" s="13">
        <f>Tabela32[[#This Row],[Realizadas]]/Tabela32[[#This Row],[Entregas]]</f>
        <v>1</v>
      </c>
      <c r="V36" s="14" t="str">
        <f>IF(Tabela32[[#This Row],[% Entrega]]&gt;=96%,"Atendeu a Meta","Não Atendeu a Meta")</f>
        <v>Atendeu a Meta</v>
      </c>
      <c r="W36" s="4" t="s">
        <v>41</v>
      </c>
      <c r="X36" s="4">
        <v>0</v>
      </c>
      <c r="Y36" s="5">
        <v>0</v>
      </c>
    </row>
    <row r="37" spans="1:25" x14ac:dyDescent="0.25">
      <c r="A37" s="8">
        <v>46241</v>
      </c>
      <c r="B37" s="16">
        <f>YEAR(Tabela32[[#This Row],[Data]])</f>
        <v>2026</v>
      </c>
      <c r="C37" s="16">
        <f>MONTH(Tabela32[[#This Row],[Data]])</f>
        <v>8</v>
      </c>
      <c r="D37" s="4" t="s">
        <v>23</v>
      </c>
      <c r="E37" s="4">
        <v>3</v>
      </c>
      <c r="F37" s="4" t="str">
        <f>IFERROR(VLOOKUP(Tabela32[[#This Row],[Placa]],Planilha2!$A$1:$B$12,2,0),"")</f>
        <v>William</v>
      </c>
      <c r="G37" s="10">
        <v>5239.71</v>
      </c>
      <c r="H37" s="10">
        <v>175862.76</v>
      </c>
      <c r="I37" s="4">
        <v>690</v>
      </c>
      <c r="J37" s="9">
        <f>IFERROR(Tabela32[[#This Row],[Valor Frete]]/Tabela32[[#This Row],[Valor Mercadoria]],"")</f>
        <v>2.9794312337643285E-2</v>
      </c>
      <c r="K37" s="11">
        <v>0.29166666666666669</v>
      </c>
      <c r="L37" s="15">
        <v>0.72222222222222221</v>
      </c>
      <c r="M37" s="15">
        <f>Tabela32[[#This Row],[Hr Chegada]]-Tabela32[[#This Row],[Hr Saida]]</f>
        <v>0.43055555555555552</v>
      </c>
      <c r="N37" s="4">
        <v>123656</v>
      </c>
      <c r="O37" s="4">
        <v>123713</v>
      </c>
      <c r="P37" s="4">
        <f>Tabela32[[#This Row],[Km Chegada]]-Tabela32[[#This Row],[Km Saída]]</f>
        <v>57</v>
      </c>
      <c r="Q37" s="4">
        <v>165</v>
      </c>
      <c r="R37" s="4">
        <v>22</v>
      </c>
      <c r="S37" s="4">
        <v>22</v>
      </c>
      <c r="T37" s="12">
        <f>Tabela32[[#This Row],[Entregas]]-Tabela32[[#This Row],[Realizadas]]</f>
        <v>0</v>
      </c>
      <c r="U37" s="13">
        <f>Tabela32[[#This Row],[Realizadas]]/Tabela32[[#This Row],[Entregas]]</f>
        <v>1</v>
      </c>
      <c r="V37" s="14" t="str">
        <f>IF(Tabela32[[#This Row],[% Entrega]]&gt;=96%,"Atendeu a Meta","Não Atendeu a Meta")</f>
        <v>Atendeu a Meta</v>
      </c>
      <c r="W37" s="4" t="s">
        <v>39</v>
      </c>
      <c r="X37" s="4">
        <v>0</v>
      </c>
      <c r="Y37" s="5">
        <v>0</v>
      </c>
    </row>
    <row r="38" spans="1:25" x14ac:dyDescent="0.25">
      <c r="A38" s="8">
        <v>46241</v>
      </c>
      <c r="B38" s="16">
        <f>YEAR(Tabela32[[#This Row],[Data]])</f>
        <v>2026</v>
      </c>
      <c r="C38" s="16">
        <f>MONTH(Tabela32[[#This Row],[Data]])</f>
        <v>8</v>
      </c>
      <c r="D38" s="4" t="s">
        <v>27</v>
      </c>
      <c r="E38" s="4">
        <v>1</v>
      </c>
      <c r="F38" s="4" t="str">
        <f>IFERROR(VLOOKUP(Tabela32[[#This Row],[Placa]],Planilha2!$A$1:$B$12,2,0),"")</f>
        <v>Rosinaldo</v>
      </c>
      <c r="G38" s="10">
        <v>4663.5</v>
      </c>
      <c r="H38" s="10">
        <v>77594.320000000007</v>
      </c>
      <c r="I38" s="4">
        <v>1104</v>
      </c>
      <c r="J38" s="9">
        <f>IFERROR(Tabela32[[#This Row],[Valor Frete]]/Tabela32[[#This Row],[Valor Mercadoria]],"")</f>
        <v>6.0101048633456673E-2</v>
      </c>
      <c r="K38" s="11">
        <v>0.29166666666666669</v>
      </c>
      <c r="L38" s="15">
        <v>0.73611111111111116</v>
      </c>
      <c r="M38" s="15">
        <f>Tabela32[[#This Row],[Hr Chegada]]-Tabela32[[#This Row],[Hr Saida]]</f>
        <v>0.44444444444444448</v>
      </c>
      <c r="N38" s="4">
        <v>289691</v>
      </c>
      <c r="O38" s="4">
        <v>289832</v>
      </c>
      <c r="P38" s="4">
        <f>Tabela32[[#This Row],[Km Chegada]]-Tabela32[[#This Row],[Km Saída]]</f>
        <v>141</v>
      </c>
      <c r="Q38" s="4">
        <v>211</v>
      </c>
      <c r="R38" s="4">
        <v>11</v>
      </c>
      <c r="S38" s="4">
        <v>11</v>
      </c>
      <c r="T38" s="12">
        <f>Tabela32[[#This Row],[Entregas]]-Tabela32[[#This Row],[Realizadas]]</f>
        <v>0</v>
      </c>
      <c r="U38" s="13">
        <f>Tabela32[[#This Row],[Realizadas]]/Tabela32[[#This Row],[Entregas]]</f>
        <v>1</v>
      </c>
      <c r="V38" s="14" t="str">
        <f>IF(Tabela32[[#This Row],[% Entrega]]&gt;=96%,"Atendeu a Meta","Não Atendeu a Meta")</f>
        <v>Atendeu a Meta</v>
      </c>
      <c r="W38" s="4" t="s">
        <v>43</v>
      </c>
      <c r="X38" s="4">
        <v>2</v>
      </c>
      <c r="Y38" s="5" t="s">
        <v>59</v>
      </c>
    </row>
    <row r="39" spans="1:25" x14ac:dyDescent="0.25">
      <c r="A39" s="8">
        <v>46241</v>
      </c>
      <c r="B39" s="16">
        <f>YEAR(Tabela32[[#This Row],[Data]])</f>
        <v>2026</v>
      </c>
      <c r="C39" s="16">
        <f>MONTH(Tabela32[[#This Row],[Data]])</f>
        <v>8</v>
      </c>
      <c r="D39" s="4" t="s">
        <v>35</v>
      </c>
      <c r="E39" s="4">
        <v>5</v>
      </c>
      <c r="F39" s="4" t="str">
        <f>IFERROR(VLOOKUP(Tabela32[[#This Row],[Placa]],Planilha2!$A$1:$B$12,2,0),"")</f>
        <v>Osvaldo</v>
      </c>
      <c r="G39" s="10">
        <v>6031.63</v>
      </c>
      <c r="H39" s="10">
        <v>135833.24</v>
      </c>
      <c r="I39" s="4">
        <v>1147</v>
      </c>
      <c r="J39" s="9">
        <f>IFERROR(Tabela32[[#This Row],[Valor Frete]]/Tabela32[[#This Row],[Valor Mercadoria]],"")</f>
        <v>4.4404668547993117E-2</v>
      </c>
      <c r="K39" s="11">
        <v>0.29166666666666669</v>
      </c>
      <c r="L39" s="15">
        <v>0.70486111111111116</v>
      </c>
      <c r="M39" s="15">
        <f>Tabela32[[#This Row],[Hr Chegada]]-Tabela32[[#This Row],[Hr Saida]]</f>
        <v>0.41319444444444448</v>
      </c>
      <c r="N39" s="4">
        <v>140811</v>
      </c>
      <c r="O39" s="4">
        <v>140875</v>
      </c>
      <c r="P39" s="4">
        <f>Tabela32[[#This Row],[Km Chegada]]-Tabela32[[#This Row],[Km Saída]]</f>
        <v>64</v>
      </c>
      <c r="Q39" s="4">
        <v>162</v>
      </c>
      <c r="R39" s="4">
        <v>21</v>
      </c>
      <c r="S39" s="4">
        <v>21</v>
      </c>
      <c r="T39" s="12">
        <f>Tabela32[[#This Row],[Entregas]]-Tabela32[[#This Row],[Realizadas]]</f>
        <v>0</v>
      </c>
      <c r="U39" s="13">
        <f>Tabela32[[#This Row],[Realizadas]]/Tabela32[[#This Row],[Entregas]]</f>
        <v>1</v>
      </c>
      <c r="V39" s="14" t="str">
        <f>IF(Tabela32[[#This Row],[% Entrega]]&gt;=96%,"Atendeu a Meta","Não Atendeu a Meta")</f>
        <v>Atendeu a Meta</v>
      </c>
      <c r="W39" s="4" t="s">
        <v>39</v>
      </c>
      <c r="X39" s="4">
        <v>0</v>
      </c>
      <c r="Y39" s="5">
        <v>0</v>
      </c>
    </row>
    <row r="40" spans="1:25" x14ac:dyDescent="0.25">
      <c r="A40" s="8">
        <v>46241</v>
      </c>
      <c r="B40" s="16">
        <f>YEAR(Tabela32[[#This Row],[Data]])</f>
        <v>2026</v>
      </c>
      <c r="C40" s="16">
        <f>MONTH(Tabela32[[#This Row],[Data]])</f>
        <v>8</v>
      </c>
      <c r="D40" s="4" t="s">
        <v>31</v>
      </c>
      <c r="E40" s="4">
        <v>1</v>
      </c>
      <c r="F40" s="4" t="str">
        <f>IFERROR(VLOOKUP(Tabela32[[#This Row],[Placa]],Planilha2!$A$1:$B$12,2,0),"")</f>
        <v>Jerson</v>
      </c>
      <c r="G40" s="10">
        <v>7320.26</v>
      </c>
      <c r="H40" s="10">
        <v>115512.41</v>
      </c>
      <c r="I40" s="4">
        <v>893</v>
      </c>
      <c r="J40" s="9">
        <f>IFERROR(Tabela32[[#This Row],[Valor Frete]]/Tabela32[[#This Row],[Valor Mercadoria]],"")</f>
        <v>6.3372065391069238E-2</v>
      </c>
      <c r="K40" s="11">
        <v>0.29166666666666669</v>
      </c>
      <c r="L40" s="15">
        <v>0.70625000000000004</v>
      </c>
      <c r="M40" s="15">
        <f>Tabela32[[#This Row],[Hr Chegada]]-Tabela32[[#This Row],[Hr Saida]]</f>
        <v>0.41458333333333336</v>
      </c>
      <c r="N40" s="4">
        <v>278928</v>
      </c>
      <c r="O40" s="4">
        <v>278977</v>
      </c>
      <c r="P40" s="4">
        <f>Tabela32[[#This Row],[Km Chegada]]-Tabela32[[#This Row],[Km Saída]]</f>
        <v>49</v>
      </c>
      <c r="Q40" s="4">
        <v>145</v>
      </c>
      <c r="R40" s="4">
        <v>25</v>
      </c>
      <c r="S40" s="4">
        <v>25</v>
      </c>
      <c r="T40" s="12">
        <f>Tabela32[[#This Row],[Entregas]]-Tabela32[[#This Row],[Realizadas]]</f>
        <v>0</v>
      </c>
      <c r="U40" s="13">
        <f>Tabela32[[#This Row],[Realizadas]]/Tabela32[[#This Row],[Entregas]]</f>
        <v>1</v>
      </c>
      <c r="V40" s="14" t="str">
        <f>IF(Tabela32[[#This Row],[% Entrega]]&gt;=96%,"Atendeu a Meta","Não Atendeu a Meta")</f>
        <v>Atendeu a Meta</v>
      </c>
      <c r="W40" s="4" t="s">
        <v>43</v>
      </c>
      <c r="X40" s="4">
        <v>2</v>
      </c>
      <c r="Y40" s="5">
        <v>38</v>
      </c>
    </row>
    <row r="41" spans="1:25" x14ac:dyDescent="0.25">
      <c r="A41" s="8">
        <v>46241</v>
      </c>
      <c r="B41" s="16">
        <f>YEAR(Tabela32[[#This Row],[Data]])</f>
        <v>2026</v>
      </c>
      <c r="C41" s="16">
        <f>MONTH(Tabela32[[#This Row],[Data]])</f>
        <v>8</v>
      </c>
      <c r="D41" s="4" t="s">
        <v>22</v>
      </c>
      <c r="E41" s="4">
        <v>11</v>
      </c>
      <c r="F41" s="4" t="str">
        <f>IFERROR(VLOOKUP(Tabela32[[#This Row],[Placa]],Planilha2!$A$1:$B$12,2,0),"")</f>
        <v>Wesley</v>
      </c>
      <c r="G41" s="10">
        <v>10933.65</v>
      </c>
      <c r="H41" s="10">
        <v>109287.82</v>
      </c>
      <c r="I41" s="4">
        <v>1145</v>
      </c>
      <c r="J41" s="9">
        <f>IFERROR(Tabela32[[#This Row],[Valor Frete]]/Tabela32[[#This Row],[Valor Mercadoria]],"")</f>
        <v>0.1000445429325976</v>
      </c>
      <c r="K41" s="11">
        <v>0.25</v>
      </c>
      <c r="L41" s="15">
        <v>0.75</v>
      </c>
      <c r="M41" s="15">
        <f>Tabela32[[#This Row],[Hr Chegada]]-Tabela32[[#This Row],[Hr Saida]]</f>
        <v>0.5</v>
      </c>
      <c r="N41" s="4">
        <v>302561</v>
      </c>
      <c r="O41" s="4">
        <v>302691</v>
      </c>
      <c r="P41" s="4">
        <f>Tabela32[[#This Row],[Km Chegada]]-Tabela32[[#This Row],[Km Saída]]</f>
        <v>130</v>
      </c>
      <c r="Q41" s="4">
        <v>174</v>
      </c>
      <c r="R41" s="4">
        <v>19</v>
      </c>
      <c r="S41" s="4">
        <v>19</v>
      </c>
      <c r="T41" s="12">
        <f>Tabela32[[#This Row],[Entregas]]-Tabela32[[#This Row],[Realizadas]]</f>
        <v>0</v>
      </c>
      <c r="U41" s="13">
        <f>Tabela32[[#This Row],[Realizadas]]/Tabela32[[#This Row],[Entregas]]</f>
        <v>1</v>
      </c>
      <c r="V41" s="14" t="str">
        <f>IF(Tabela32[[#This Row],[% Entrega]]&gt;=96%,"Atendeu a Meta","Não Atendeu a Meta")</f>
        <v>Atendeu a Meta</v>
      </c>
      <c r="W41" s="4" t="s">
        <v>41</v>
      </c>
      <c r="X41" s="4">
        <v>0</v>
      </c>
      <c r="Y41" s="5">
        <v>0</v>
      </c>
    </row>
    <row r="42" spans="1:25" x14ac:dyDescent="0.25">
      <c r="A42" s="8">
        <v>46241</v>
      </c>
      <c r="B42" s="16">
        <f>YEAR(Tabela32[[#This Row],[Data]])</f>
        <v>2026</v>
      </c>
      <c r="C42" s="16">
        <f>MONTH(Tabela32[[#This Row],[Data]])</f>
        <v>8</v>
      </c>
      <c r="D42" s="4" t="s">
        <v>53</v>
      </c>
      <c r="E42" s="4">
        <v>4</v>
      </c>
      <c r="F42" s="4" t="str">
        <f>IFERROR(VLOOKUP(Tabela32[[#This Row],[Placa]],Planilha2!$A$1:$B$12,2,0),"")</f>
        <v>Arnaldo</v>
      </c>
      <c r="G42" s="10">
        <v>7872.43</v>
      </c>
      <c r="H42" s="10">
        <v>186025.28</v>
      </c>
      <c r="I42" s="4">
        <v>1408</v>
      </c>
      <c r="J42" s="9">
        <f>IFERROR(Tabela32[[#This Row],[Valor Frete]]/Tabela32[[#This Row],[Valor Mercadoria]],"")</f>
        <v>4.2319140710337863E-2</v>
      </c>
      <c r="K42" s="11">
        <v>0.29166666666666669</v>
      </c>
      <c r="L42" s="15">
        <v>0.79861111111111116</v>
      </c>
      <c r="M42" s="15">
        <f>Tabela32[[#This Row],[Hr Chegada]]-Tabela32[[#This Row],[Hr Saida]]</f>
        <v>0.50694444444444442</v>
      </c>
      <c r="N42" s="4">
        <v>11703</v>
      </c>
      <c r="O42" s="4">
        <v>11777</v>
      </c>
      <c r="P42" s="4">
        <f>Tabela32[[#This Row],[Km Chegada]]-Tabela32[[#This Row],[Km Saída]]</f>
        <v>74</v>
      </c>
      <c r="Q42" s="4">
        <v>200</v>
      </c>
      <c r="R42" s="4">
        <v>25</v>
      </c>
      <c r="S42" s="4">
        <v>25</v>
      </c>
      <c r="T42" s="12">
        <f>Tabela32[[#This Row],[Entregas]]-Tabela32[[#This Row],[Realizadas]]</f>
        <v>0</v>
      </c>
      <c r="U42" s="13">
        <f>Tabela32[[#This Row],[Realizadas]]/Tabela32[[#This Row],[Entregas]]</f>
        <v>1</v>
      </c>
      <c r="V42" s="14" t="str">
        <f>IF(Tabela32[[#This Row],[% Entrega]]&gt;=96%,"Atendeu a Meta","Não Atendeu a Meta")</f>
        <v>Atendeu a Meta</v>
      </c>
      <c r="W42" s="4" t="s">
        <v>39</v>
      </c>
      <c r="X42" s="4">
        <v>1</v>
      </c>
      <c r="Y42" s="5">
        <v>9</v>
      </c>
    </row>
    <row r="43" spans="1:25" x14ac:dyDescent="0.25">
      <c r="A43" s="8">
        <v>46241</v>
      </c>
      <c r="B43" s="16">
        <f>YEAR(Tabela32[[#This Row],[Data]])</f>
        <v>2026</v>
      </c>
      <c r="C43" s="16">
        <f>MONTH(Tabela32[[#This Row],[Data]])</f>
        <v>8</v>
      </c>
      <c r="D43" s="4" t="s">
        <v>25</v>
      </c>
      <c r="E43" s="4">
        <v>2</v>
      </c>
      <c r="F43" s="4" t="str">
        <f>IFERROR(VLOOKUP(Tabela32[[#This Row],[Placa]],Planilha2!$A$1:$B$12,2,0),"")</f>
        <v>Gilberto</v>
      </c>
      <c r="G43" s="10">
        <v>7887.41</v>
      </c>
      <c r="H43" s="10">
        <v>108376.66</v>
      </c>
      <c r="I43" s="4">
        <v>942</v>
      </c>
      <c r="J43" s="9">
        <f>IFERROR(Tabela32[[#This Row],[Valor Frete]]/Tabela32[[#This Row],[Valor Mercadoria]],"")</f>
        <v>7.2777754915126558E-2</v>
      </c>
      <c r="K43" s="11">
        <v>0.30555555555555558</v>
      </c>
      <c r="L43" s="15">
        <v>0.75</v>
      </c>
      <c r="M43" s="15">
        <f>Tabela32[[#This Row],[Hr Chegada]]-Tabela32[[#This Row],[Hr Saida]]</f>
        <v>0.44444444444444442</v>
      </c>
      <c r="N43" s="4">
        <v>117242</v>
      </c>
      <c r="O43" s="4">
        <v>117317</v>
      </c>
      <c r="P43" s="4">
        <f>Tabela32[[#This Row],[Km Chegada]]-Tabela32[[#This Row],[Km Saída]]</f>
        <v>75</v>
      </c>
      <c r="Q43" s="4">
        <v>149</v>
      </c>
      <c r="R43" s="4">
        <v>41</v>
      </c>
      <c r="S43" s="4">
        <v>41</v>
      </c>
      <c r="T43" s="12">
        <f>Tabela32[[#This Row],[Entregas]]-Tabela32[[#This Row],[Realizadas]]</f>
        <v>0</v>
      </c>
      <c r="U43" s="13">
        <f>Tabela32[[#This Row],[Realizadas]]/Tabela32[[#This Row],[Entregas]]</f>
        <v>1</v>
      </c>
      <c r="V43" s="14" t="str">
        <f>IF(Tabela32[[#This Row],[% Entrega]]&gt;=96%,"Atendeu a Meta","Não Atendeu a Meta")</f>
        <v>Atendeu a Meta</v>
      </c>
      <c r="W43" s="4" t="s">
        <v>39</v>
      </c>
      <c r="X43" s="4">
        <v>0</v>
      </c>
      <c r="Y43" s="5">
        <v>0</v>
      </c>
    </row>
    <row r="44" spans="1:25" x14ac:dyDescent="0.25">
      <c r="A44" s="8">
        <v>46242</v>
      </c>
      <c r="B44" s="16">
        <f>YEAR(Tabela32[[#This Row],[Data]])</f>
        <v>2026</v>
      </c>
      <c r="C44" s="16">
        <f>MONTH(Tabela32[[#This Row],[Data]])</f>
        <v>8</v>
      </c>
      <c r="D44" s="4" t="s">
        <v>25</v>
      </c>
      <c r="E44" s="4">
        <v>2</v>
      </c>
      <c r="F44" s="4" t="str">
        <f>IFERROR(VLOOKUP(Tabela32[[#This Row],[Placa]],Planilha2!$A$1:$B$12,2,0),"")</f>
        <v>Gilberto</v>
      </c>
      <c r="G44" s="10">
        <v>3303.18</v>
      </c>
      <c r="H44" s="10">
        <v>38450.28</v>
      </c>
      <c r="I44" s="4">
        <v>497</v>
      </c>
      <c r="J44" s="9">
        <f>IFERROR(Tabela32[[#This Row],[Valor Frete]]/Tabela32[[#This Row],[Valor Mercadoria]],"")</f>
        <v>8.5907826939101609E-2</v>
      </c>
      <c r="K44" s="11">
        <v>0.29166666666666669</v>
      </c>
      <c r="L44" s="15">
        <v>0.74305555555555558</v>
      </c>
      <c r="M44" s="15">
        <f>Tabela32[[#This Row],[Hr Chegada]]-Tabela32[[#This Row],[Hr Saida]]</f>
        <v>0.4513888888888889</v>
      </c>
      <c r="N44" s="4">
        <v>117317</v>
      </c>
      <c r="O44" s="4">
        <v>117363</v>
      </c>
      <c r="P44" s="4">
        <f>Tabela32[[#This Row],[Km Chegada]]-Tabela32[[#This Row],[Km Saída]]</f>
        <v>46</v>
      </c>
      <c r="Q44" s="4">
        <v>86</v>
      </c>
      <c r="R44" s="4">
        <v>20</v>
      </c>
      <c r="S44" s="4">
        <v>20</v>
      </c>
      <c r="T44" s="12">
        <f>Tabela32[[#This Row],[Entregas]]-Tabela32[[#This Row],[Realizadas]]</f>
        <v>0</v>
      </c>
      <c r="U44" s="13">
        <f>Tabela32[[#This Row],[Realizadas]]/Tabela32[[#This Row],[Entregas]]</f>
        <v>1</v>
      </c>
      <c r="V44" s="14" t="str">
        <f>IF(Tabela32[[#This Row],[% Entrega]]&gt;=96%,"Atendeu a Meta","Não Atendeu a Meta")</f>
        <v>Atendeu a Meta</v>
      </c>
      <c r="W44" s="4" t="s">
        <v>39</v>
      </c>
      <c r="X44" s="4">
        <v>0</v>
      </c>
      <c r="Y44" s="5">
        <v>0</v>
      </c>
    </row>
    <row r="45" spans="1:25" x14ac:dyDescent="0.25">
      <c r="A45" s="8">
        <v>46244</v>
      </c>
      <c r="B45" s="16">
        <f>YEAR(Tabela32[[#This Row],[Data]])</f>
        <v>2026</v>
      </c>
      <c r="C45" s="16">
        <f>MONTH(Tabela32[[#This Row],[Data]])</f>
        <v>8</v>
      </c>
      <c r="D45" s="4" t="s">
        <v>33</v>
      </c>
      <c r="E45" s="4">
        <v>1</v>
      </c>
      <c r="F45" s="4" t="str">
        <f>IFERROR(VLOOKUP(Tabela32[[#This Row],[Placa]],Planilha2!$A$1:$B$12,2,0),"")</f>
        <v>Paulo</v>
      </c>
      <c r="G45" s="10">
        <v>1678.55</v>
      </c>
      <c r="H45" s="10">
        <v>68546.039999999994</v>
      </c>
      <c r="I45" s="4">
        <v>92</v>
      </c>
      <c r="J45" s="9">
        <f>IFERROR(Tabela32[[#This Row],[Valor Frete]]/Tabela32[[#This Row],[Valor Mercadoria]],"")</f>
        <v>2.4487920819350032E-2</v>
      </c>
      <c r="K45" s="11">
        <v>0.29166666666666669</v>
      </c>
      <c r="L45" s="15">
        <v>0.43541666666666667</v>
      </c>
      <c r="M45" s="15">
        <f>Tabela32[[#This Row],[Hr Chegada]]-Tabela32[[#This Row],[Hr Saida]]</f>
        <v>0.14374999999999999</v>
      </c>
      <c r="N45" s="4">
        <v>153646</v>
      </c>
      <c r="O45" s="4">
        <v>153677</v>
      </c>
      <c r="P45" s="4">
        <f>Tabela32[[#This Row],[Km Chegada]]-Tabela32[[#This Row],[Km Saída]]</f>
        <v>31</v>
      </c>
      <c r="Q45" s="4">
        <v>82</v>
      </c>
      <c r="R45" s="4">
        <v>2</v>
      </c>
      <c r="S45" s="4">
        <v>2</v>
      </c>
      <c r="T45" s="12">
        <f>Tabela32[[#This Row],[Entregas]]-Tabela32[[#This Row],[Realizadas]]</f>
        <v>0</v>
      </c>
      <c r="U45" s="13">
        <f>Tabela32[[#This Row],[Realizadas]]/Tabela32[[#This Row],[Entregas]]</f>
        <v>1</v>
      </c>
      <c r="V45" s="14" t="str">
        <f>IF(Tabela32[[#This Row],[% Entrega]]&gt;=96%,"Atendeu a Meta","Não Atendeu a Meta")</f>
        <v>Atendeu a Meta</v>
      </c>
      <c r="W45" s="4" t="s">
        <v>40</v>
      </c>
      <c r="X45" s="4">
        <v>0</v>
      </c>
      <c r="Y45" s="5">
        <v>0</v>
      </c>
    </row>
    <row r="46" spans="1:25" x14ac:dyDescent="0.25">
      <c r="A46" s="8">
        <v>46244</v>
      </c>
      <c r="B46" s="16">
        <f>YEAR(Tabela32[[#This Row],[Data]])</f>
        <v>2026</v>
      </c>
      <c r="C46" s="16">
        <f>MONTH(Tabela32[[#This Row],[Data]])</f>
        <v>8</v>
      </c>
      <c r="D46" s="4" t="s">
        <v>28</v>
      </c>
      <c r="E46" s="4">
        <v>1</v>
      </c>
      <c r="F46" s="4" t="str">
        <f>IFERROR(VLOOKUP(Tabela32[[#This Row],[Placa]],Planilha2!$A$1:$B$12,2,0),"")</f>
        <v>Edilson</v>
      </c>
      <c r="G46" s="10">
        <v>14208.89</v>
      </c>
      <c r="H46" s="10">
        <v>556611.81000000006</v>
      </c>
      <c r="I46" s="4">
        <v>4465</v>
      </c>
      <c r="J46" s="9">
        <f>IFERROR(Tabela32[[#This Row],[Valor Frete]]/Tabela32[[#This Row],[Valor Mercadoria]],"")</f>
        <v>2.5527467697819776E-2</v>
      </c>
      <c r="K46" s="11">
        <v>0.29166666666666669</v>
      </c>
      <c r="L46" s="15">
        <v>0.7319444444444444</v>
      </c>
      <c r="M46" s="15">
        <f>Tabela32[[#This Row],[Hr Chegada]]-Tabela32[[#This Row],[Hr Saida]]</f>
        <v>0.44027777777777771</v>
      </c>
      <c r="N46" s="4">
        <v>103105</v>
      </c>
      <c r="O46" s="4">
        <v>103127</v>
      </c>
      <c r="P46" s="4">
        <f>Tabela32[[#This Row],[Km Chegada]]-Tabela32[[#This Row],[Km Saída]]</f>
        <v>22</v>
      </c>
      <c r="Q46" s="4">
        <v>21</v>
      </c>
      <c r="R46" s="4">
        <v>1</v>
      </c>
      <c r="S46" s="4">
        <v>1</v>
      </c>
      <c r="T46" s="12">
        <f>Tabela32[[#This Row],[Entregas]]-Tabela32[[#This Row],[Realizadas]]</f>
        <v>0</v>
      </c>
      <c r="U46" s="13">
        <f>Tabela32[[#This Row],[Realizadas]]/Tabela32[[#This Row],[Entregas]]</f>
        <v>1</v>
      </c>
      <c r="V46" s="14" t="str">
        <f>IF(Tabela32[[#This Row],[% Entrega]]&gt;=96%,"Atendeu a Meta","Não Atendeu a Meta")</f>
        <v>Atendeu a Meta</v>
      </c>
      <c r="W46" s="4" t="s">
        <v>43</v>
      </c>
      <c r="X46" s="4">
        <v>0</v>
      </c>
      <c r="Y46" s="5">
        <v>0</v>
      </c>
    </row>
    <row r="47" spans="1:25" x14ac:dyDescent="0.25">
      <c r="A47" s="8">
        <v>46244</v>
      </c>
      <c r="B47" s="16">
        <f>YEAR(Tabela32[[#This Row],[Data]])</f>
        <v>2026</v>
      </c>
      <c r="C47" s="16">
        <f>MONTH(Tabela32[[#This Row],[Data]])</f>
        <v>8</v>
      </c>
      <c r="D47" s="4" t="s">
        <v>33</v>
      </c>
      <c r="E47" s="4">
        <v>3</v>
      </c>
      <c r="F47" s="4" t="str">
        <f>IFERROR(VLOOKUP(Tabela32[[#This Row],[Placa]],Planilha2!$A$1:$B$12,2,0),"")</f>
        <v>Paulo</v>
      </c>
      <c r="G47" s="10">
        <v>3490.5</v>
      </c>
      <c r="H47" s="10">
        <v>54931.47</v>
      </c>
      <c r="I47" s="4">
        <v>540</v>
      </c>
      <c r="J47" s="9">
        <f>IFERROR(Tabela32[[#This Row],[Valor Frete]]/Tabela32[[#This Row],[Valor Mercadoria]],"")</f>
        <v>6.3542810705775762E-2</v>
      </c>
      <c r="K47" s="11">
        <v>0.29166666666666669</v>
      </c>
      <c r="L47" s="15">
        <v>0.72569444444444442</v>
      </c>
      <c r="M47" s="15">
        <f>Tabela32[[#This Row],[Hr Chegada]]-Tabela32[[#This Row],[Hr Saida]]</f>
        <v>0.43402777777777773</v>
      </c>
      <c r="N47" s="4">
        <v>153677</v>
      </c>
      <c r="O47" s="4">
        <v>153723</v>
      </c>
      <c r="P47" s="4">
        <f>Tabela32[[#This Row],[Km Chegada]]-Tabela32[[#This Row],[Km Saída]]</f>
        <v>46</v>
      </c>
      <c r="Q47" s="4">
        <v>76</v>
      </c>
      <c r="R47" s="4">
        <v>11</v>
      </c>
      <c r="S47" s="4">
        <v>11</v>
      </c>
      <c r="T47" s="12">
        <f>Tabela32[[#This Row],[Entregas]]-Tabela32[[#This Row],[Realizadas]]</f>
        <v>0</v>
      </c>
      <c r="U47" s="13">
        <f>Tabela32[[#This Row],[Realizadas]]/Tabela32[[#This Row],[Entregas]]</f>
        <v>1</v>
      </c>
      <c r="V47" s="14" t="str">
        <f>IF(Tabela32[[#This Row],[% Entrega]]&gt;=96%,"Atendeu a Meta","Não Atendeu a Meta")</f>
        <v>Atendeu a Meta</v>
      </c>
      <c r="W47" s="4" t="s">
        <v>43</v>
      </c>
      <c r="X47" s="4">
        <v>2</v>
      </c>
      <c r="Y47" s="5" t="s">
        <v>60</v>
      </c>
    </row>
    <row r="48" spans="1:25" x14ac:dyDescent="0.25">
      <c r="A48" s="8">
        <v>46244</v>
      </c>
      <c r="B48" s="16">
        <f>YEAR(Tabela32[[#This Row],[Data]])</f>
        <v>2026</v>
      </c>
      <c r="C48" s="16">
        <f>MONTH(Tabela32[[#This Row],[Data]])</f>
        <v>8</v>
      </c>
      <c r="D48" s="4" t="s">
        <v>22</v>
      </c>
      <c r="E48" s="4">
        <v>4</v>
      </c>
      <c r="F48" s="4" t="str">
        <f>IFERROR(VLOOKUP(Tabela32[[#This Row],[Placa]],Planilha2!$A$1:$B$12,2,0),"")</f>
        <v>Wesley</v>
      </c>
      <c r="G48" s="10">
        <v>6699.26</v>
      </c>
      <c r="H48" s="10">
        <v>152797.51999999999</v>
      </c>
      <c r="I48" s="4">
        <v>1636</v>
      </c>
      <c r="J48" s="9">
        <f>IFERROR(Tabela32[[#This Row],[Valor Frete]]/Tabela32[[#This Row],[Valor Mercadoria]],"")</f>
        <v>4.3844036212106065E-2</v>
      </c>
      <c r="K48" s="11">
        <v>0.29166666666666669</v>
      </c>
      <c r="L48" s="15">
        <v>0.73611111111111116</v>
      </c>
      <c r="M48" s="15">
        <f>Tabela32[[#This Row],[Hr Chegada]]-Tabela32[[#This Row],[Hr Saida]]</f>
        <v>0.44444444444444448</v>
      </c>
      <c r="N48" s="4">
        <v>302698</v>
      </c>
      <c r="O48" s="4">
        <v>302761</v>
      </c>
      <c r="P48" s="4">
        <f>Tabela32[[#This Row],[Km Chegada]]-Tabela32[[#This Row],[Km Saída]]</f>
        <v>63</v>
      </c>
      <c r="Q48" s="4">
        <v>231</v>
      </c>
      <c r="R48" s="4">
        <v>21</v>
      </c>
      <c r="S48" s="4">
        <v>21</v>
      </c>
      <c r="T48" s="12">
        <f>Tabela32[[#This Row],[Entregas]]-Tabela32[[#This Row],[Realizadas]]</f>
        <v>0</v>
      </c>
      <c r="U48" s="13">
        <f>Tabela32[[#This Row],[Realizadas]]/Tabela32[[#This Row],[Entregas]]</f>
        <v>1</v>
      </c>
      <c r="V48" s="14" t="str">
        <f>IF(Tabela32[[#This Row],[% Entrega]]&gt;=96%,"Atendeu a Meta","Não Atendeu a Meta")</f>
        <v>Atendeu a Meta</v>
      </c>
      <c r="W48" s="4" t="s">
        <v>39</v>
      </c>
      <c r="X48" s="4">
        <v>0</v>
      </c>
      <c r="Y48" s="5">
        <v>0</v>
      </c>
    </row>
    <row r="49" spans="1:25" x14ac:dyDescent="0.25">
      <c r="A49" s="8">
        <v>46244</v>
      </c>
      <c r="B49" s="16">
        <f>YEAR(Tabela32[[#This Row],[Data]])</f>
        <v>2026</v>
      </c>
      <c r="C49" s="16">
        <f>MONTH(Tabela32[[#This Row],[Data]])</f>
        <v>8</v>
      </c>
      <c r="D49" s="4" t="s">
        <v>53</v>
      </c>
      <c r="E49" s="4">
        <v>3</v>
      </c>
      <c r="F49" s="4" t="str">
        <f>IFERROR(VLOOKUP(Tabela32[[#This Row],[Placa]],Planilha2!$A$1:$B$12,2,0),"")</f>
        <v>Arnaldo</v>
      </c>
      <c r="G49" s="10">
        <v>10479.64</v>
      </c>
      <c r="H49" s="10">
        <v>203070.96</v>
      </c>
      <c r="I49" s="4">
        <v>2866</v>
      </c>
      <c r="J49" s="9">
        <f>IFERROR(Tabela32[[#This Row],[Valor Frete]]/Tabela32[[#This Row],[Valor Mercadoria]],"")</f>
        <v>5.1605803212827671E-2</v>
      </c>
      <c r="K49" s="11">
        <v>0.29166666666666669</v>
      </c>
      <c r="L49" s="15">
        <v>0.71736111111111112</v>
      </c>
      <c r="M49" s="15">
        <f>Tabela32[[#This Row],[Hr Chegada]]-Tabela32[[#This Row],[Hr Saida]]</f>
        <v>0.42569444444444443</v>
      </c>
      <c r="N49" s="4">
        <v>11777</v>
      </c>
      <c r="O49" s="4">
        <v>11840</v>
      </c>
      <c r="P49" s="4">
        <f>Tabela32[[#This Row],[Km Chegada]]-Tabela32[[#This Row],[Km Saída]]</f>
        <v>63</v>
      </c>
      <c r="Q49" s="4">
        <v>107</v>
      </c>
      <c r="R49" s="4">
        <v>20</v>
      </c>
      <c r="S49" s="4">
        <v>20</v>
      </c>
      <c r="T49" s="12">
        <f>Tabela32[[#This Row],[Entregas]]-Tabela32[[#This Row],[Realizadas]]</f>
        <v>0</v>
      </c>
      <c r="U49" s="13">
        <f>Tabela32[[#This Row],[Realizadas]]/Tabela32[[#This Row],[Entregas]]</f>
        <v>1</v>
      </c>
      <c r="V49" s="14" t="str">
        <f>IF(Tabela32[[#This Row],[% Entrega]]&gt;=96%,"Atendeu a Meta","Não Atendeu a Meta")</f>
        <v>Atendeu a Meta</v>
      </c>
      <c r="W49" s="4" t="s">
        <v>39</v>
      </c>
      <c r="X49" s="4">
        <v>0</v>
      </c>
      <c r="Y49" s="5">
        <v>0</v>
      </c>
    </row>
    <row r="50" spans="1:25" x14ac:dyDescent="0.25">
      <c r="A50" s="8">
        <v>46244</v>
      </c>
      <c r="B50" s="16">
        <f>YEAR(Tabela32[[#This Row],[Data]])</f>
        <v>2026</v>
      </c>
      <c r="C50" s="16">
        <f>MONTH(Tabela32[[#This Row],[Data]])</f>
        <v>8</v>
      </c>
      <c r="D50" s="4" t="s">
        <v>31</v>
      </c>
      <c r="E50" s="4">
        <v>5</v>
      </c>
      <c r="F50" s="4" t="str">
        <f>IFERROR(VLOOKUP(Tabela32[[#This Row],[Placa]],Planilha2!$A$1:$B$12,2,0),"")</f>
        <v>Jerson</v>
      </c>
      <c r="G50" s="10">
        <v>9608.5</v>
      </c>
      <c r="H50" s="10">
        <v>214881.65</v>
      </c>
      <c r="I50" s="4">
        <v>2970</v>
      </c>
      <c r="J50" s="9">
        <f>IFERROR(Tabela32[[#This Row],[Valor Frete]]/Tabela32[[#This Row],[Valor Mercadoria]],"")</f>
        <v>4.4715311893779669E-2</v>
      </c>
      <c r="K50" s="11">
        <v>0.29166666666666669</v>
      </c>
      <c r="L50" s="15">
        <v>0.81736111111111109</v>
      </c>
      <c r="M50" s="15">
        <f>Tabela32[[#This Row],[Hr Chegada]]-Tabela32[[#This Row],[Hr Saida]]</f>
        <v>0.52569444444444446</v>
      </c>
      <c r="N50" s="4">
        <v>278977</v>
      </c>
      <c r="O50" s="4">
        <v>279059</v>
      </c>
      <c r="P50" s="4">
        <f>Tabela32[[#This Row],[Km Chegada]]-Tabela32[[#This Row],[Km Saída]]</f>
        <v>82</v>
      </c>
      <c r="Q50" s="4">
        <v>491</v>
      </c>
      <c r="R50" s="4">
        <v>23</v>
      </c>
      <c r="S50" s="4">
        <v>23</v>
      </c>
      <c r="T50" s="12">
        <f>Tabela32[[#This Row],[Entregas]]-Tabela32[[#This Row],[Realizadas]]</f>
        <v>0</v>
      </c>
      <c r="U50" s="13">
        <f>Tabela32[[#This Row],[Realizadas]]/Tabela32[[#This Row],[Entregas]]</f>
        <v>1</v>
      </c>
      <c r="V50" s="14" t="str">
        <f>IF(Tabela32[[#This Row],[% Entrega]]&gt;=96%,"Atendeu a Meta","Não Atendeu a Meta")</f>
        <v>Atendeu a Meta</v>
      </c>
      <c r="W50" s="4" t="s">
        <v>39</v>
      </c>
      <c r="X50" s="4">
        <v>2</v>
      </c>
      <c r="Y50" s="5" t="s">
        <v>61</v>
      </c>
    </row>
    <row r="51" spans="1:25" x14ac:dyDescent="0.25">
      <c r="A51" s="8">
        <v>46244</v>
      </c>
      <c r="B51" s="16">
        <f>YEAR(Tabela32[[#This Row],[Data]])</f>
        <v>2026</v>
      </c>
      <c r="C51" s="16">
        <f>MONTH(Tabela32[[#This Row],[Data]])</f>
        <v>8</v>
      </c>
      <c r="D51" s="4" t="s">
        <v>25</v>
      </c>
      <c r="E51" s="4">
        <v>11</v>
      </c>
      <c r="F51" s="4" t="str">
        <f>IFERROR(VLOOKUP(Tabela32[[#This Row],[Placa]],Planilha2!$A$1:$B$12,2,0),"")</f>
        <v>Gilberto</v>
      </c>
      <c r="G51" s="10">
        <v>15692.95</v>
      </c>
      <c r="H51" s="10">
        <v>402526.01</v>
      </c>
      <c r="I51" s="4">
        <v>3125</v>
      </c>
      <c r="J51" s="9">
        <f>IFERROR(Tabela32[[#This Row],[Valor Frete]]/Tabela32[[#This Row],[Valor Mercadoria]],"")</f>
        <v>3.8986176321872963E-2</v>
      </c>
      <c r="K51" s="11">
        <v>0.27083333333333331</v>
      </c>
      <c r="L51" s="15">
        <v>0.71597222222222223</v>
      </c>
      <c r="M51" s="15">
        <f>Tabela32[[#This Row],[Hr Chegada]]-Tabela32[[#This Row],[Hr Saida]]</f>
        <v>0.44513888888888892</v>
      </c>
      <c r="N51" s="4">
        <v>117363</v>
      </c>
      <c r="O51" s="4">
        <v>117491</v>
      </c>
      <c r="P51" s="4">
        <f>Tabela32[[#This Row],[Km Chegada]]-Tabela32[[#This Row],[Km Saída]]</f>
        <v>128</v>
      </c>
      <c r="Q51" s="4">
        <v>40</v>
      </c>
      <c r="R51" s="4">
        <v>3</v>
      </c>
      <c r="S51" s="4">
        <v>3</v>
      </c>
      <c r="T51" s="12">
        <f>Tabela32[[#This Row],[Entregas]]-Tabela32[[#This Row],[Realizadas]]</f>
        <v>0</v>
      </c>
      <c r="U51" s="13">
        <f>Tabela32[[#This Row],[Realizadas]]/Tabela32[[#This Row],[Entregas]]</f>
        <v>1</v>
      </c>
      <c r="V51" s="14" t="str">
        <f>IF(Tabela32[[#This Row],[% Entrega]]&gt;=96%,"Atendeu a Meta","Não Atendeu a Meta")</f>
        <v>Atendeu a Meta</v>
      </c>
      <c r="W51" s="4" t="s">
        <v>41</v>
      </c>
      <c r="X51" s="4">
        <v>0</v>
      </c>
      <c r="Y51" s="5">
        <v>0</v>
      </c>
    </row>
    <row r="52" spans="1:25" x14ac:dyDescent="0.25">
      <c r="A52" s="8">
        <v>46244</v>
      </c>
      <c r="B52" s="16">
        <f>YEAR(Tabela32[[#This Row],[Data]])</f>
        <v>2026</v>
      </c>
      <c r="C52" s="16">
        <f>MONTH(Tabela32[[#This Row],[Data]])</f>
        <v>8</v>
      </c>
      <c r="D52" s="4" t="s">
        <v>35</v>
      </c>
      <c r="E52" s="4">
        <v>1</v>
      </c>
      <c r="F52" s="4" t="str">
        <f>IFERROR(VLOOKUP(Tabela32[[#This Row],[Placa]],Planilha2!$A$1:$B$12,2,0),"")</f>
        <v>Osvaldo</v>
      </c>
      <c r="G52" s="10">
        <v>1580.23</v>
      </c>
      <c r="H52" s="10">
        <v>24049.8</v>
      </c>
      <c r="I52" s="4">
        <v>440</v>
      </c>
      <c r="J52" s="9">
        <f>IFERROR(Tabela32[[#This Row],[Valor Frete]]/Tabela32[[#This Row],[Valor Mercadoria]],"")</f>
        <v>6.5706575522457566E-2</v>
      </c>
      <c r="K52" s="11">
        <v>0.29166666666666669</v>
      </c>
      <c r="L52" s="15">
        <v>0.76041666666666663</v>
      </c>
      <c r="M52" s="15">
        <f>Tabela32[[#This Row],[Hr Chegada]]-Tabela32[[#This Row],[Hr Saida]]</f>
        <v>0.46874999999999994</v>
      </c>
      <c r="N52" s="4">
        <v>140814</v>
      </c>
      <c r="O52" s="4">
        <v>140931</v>
      </c>
      <c r="P52" s="4">
        <f>Tabela32[[#This Row],[Km Chegada]]-Tabela32[[#This Row],[Km Saída]]</f>
        <v>117</v>
      </c>
      <c r="Q52" s="4">
        <v>99</v>
      </c>
      <c r="R52" s="4">
        <v>7</v>
      </c>
      <c r="S52" s="4">
        <v>7</v>
      </c>
      <c r="T52" s="12">
        <f>Tabela32[[#This Row],[Entregas]]-Tabela32[[#This Row],[Realizadas]]</f>
        <v>0</v>
      </c>
      <c r="U52" s="13">
        <f>Tabela32[[#This Row],[Realizadas]]/Tabela32[[#This Row],[Entregas]]</f>
        <v>1</v>
      </c>
      <c r="V52" s="14" t="str">
        <f>IF(Tabela32[[#This Row],[% Entrega]]&gt;=96%,"Atendeu a Meta","Não Atendeu a Meta")</f>
        <v>Atendeu a Meta</v>
      </c>
      <c r="W52" s="4" t="s">
        <v>40</v>
      </c>
      <c r="X52" s="4">
        <v>0</v>
      </c>
      <c r="Y52" s="5">
        <v>0</v>
      </c>
    </row>
    <row r="53" spans="1:25" x14ac:dyDescent="0.25">
      <c r="A53" s="8">
        <v>46244</v>
      </c>
      <c r="B53" s="16">
        <f>YEAR(Tabela32[[#This Row],[Data]])</f>
        <v>2026</v>
      </c>
      <c r="C53" s="16">
        <f>MONTH(Tabela32[[#This Row],[Data]])</f>
        <v>8</v>
      </c>
      <c r="D53" s="4" t="s">
        <v>27</v>
      </c>
      <c r="E53" s="4">
        <v>1</v>
      </c>
      <c r="F53" s="4" t="str">
        <f>IFERROR(VLOOKUP(Tabela32[[#This Row],[Placa]],Planilha2!$A$1:$B$12,2,0),"")</f>
        <v>Rosinaldo</v>
      </c>
      <c r="G53" s="10">
        <v>5577.17</v>
      </c>
      <c r="H53" s="10">
        <v>36607.75</v>
      </c>
      <c r="I53" s="4">
        <v>541</v>
      </c>
      <c r="J53" s="9">
        <f>IFERROR(Tabela32[[#This Row],[Valor Frete]]/Tabela32[[#This Row],[Valor Mercadoria]],"")</f>
        <v>0.15234943420450589</v>
      </c>
      <c r="K53" s="11">
        <v>0.29166666666666669</v>
      </c>
      <c r="L53" s="15">
        <v>0.73611111111111116</v>
      </c>
      <c r="M53" s="15">
        <f>Tabela32[[#This Row],[Hr Chegada]]-Tabela32[[#This Row],[Hr Saida]]</f>
        <v>0.44444444444444448</v>
      </c>
      <c r="N53" s="4">
        <v>289773</v>
      </c>
      <c r="O53" s="4">
        <v>289852</v>
      </c>
      <c r="P53" s="4">
        <f>Tabela32[[#This Row],[Km Chegada]]-Tabela32[[#This Row],[Km Saída]]</f>
        <v>79</v>
      </c>
      <c r="Q53" s="4">
        <v>104</v>
      </c>
      <c r="R53" s="4">
        <v>9</v>
      </c>
      <c r="S53" s="4">
        <v>9</v>
      </c>
      <c r="T53" s="12">
        <f>Tabela32[[#This Row],[Entregas]]-Tabela32[[#This Row],[Realizadas]]</f>
        <v>0</v>
      </c>
      <c r="U53" s="13">
        <f>Tabela32[[#This Row],[Realizadas]]/Tabela32[[#This Row],[Entregas]]</f>
        <v>1</v>
      </c>
      <c r="V53" s="14" t="str">
        <f>IF(Tabela32[[#This Row],[% Entrega]]&gt;=96%,"Atendeu a Meta","Não Atendeu a Meta")</f>
        <v>Atendeu a Meta</v>
      </c>
      <c r="W53" s="4" t="s">
        <v>40</v>
      </c>
      <c r="X53" s="4">
        <v>0</v>
      </c>
      <c r="Y53" s="5">
        <v>0</v>
      </c>
    </row>
    <row r="54" spans="1:25" x14ac:dyDescent="0.25">
      <c r="A54" s="8">
        <v>46244</v>
      </c>
      <c r="B54" s="16">
        <f>YEAR(Tabela32[[#This Row],[Data]])</f>
        <v>2026</v>
      </c>
      <c r="C54" s="16">
        <f>MONTH(Tabela32[[#This Row],[Data]])</f>
        <v>8</v>
      </c>
      <c r="D54" s="4" t="s">
        <v>23</v>
      </c>
      <c r="E54" s="4">
        <v>1</v>
      </c>
      <c r="F54" s="4" t="str">
        <f>IFERROR(VLOOKUP(Tabela32[[#This Row],[Placa]],Planilha2!$A$1:$B$12,2,0),"")</f>
        <v>William</v>
      </c>
      <c r="G54" s="10">
        <v>13472.32</v>
      </c>
      <c r="H54" s="10">
        <v>158606.97</v>
      </c>
      <c r="I54" s="4">
        <v>2718</v>
      </c>
      <c r="J54" s="9">
        <f>IFERROR(Tabela32[[#This Row],[Valor Frete]]/Tabela32[[#This Row],[Valor Mercadoria]],"")</f>
        <v>8.4941538193435001E-2</v>
      </c>
      <c r="K54" s="11">
        <v>0.29166666666666669</v>
      </c>
      <c r="L54" s="15">
        <v>0.76180555555555551</v>
      </c>
      <c r="M54" s="15">
        <f>Tabela32[[#This Row],[Hr Chegada]]-Tabela32[[#This Row],[Hr Saida]]</f>
        <v>0.47013888888888883</v>
      </c>
      <c r="N54" s="4">
        <v>123458</v>
      </c>
      <c r="O54" s="4">
        <v>123539</v>
      </c>
      <c r="P54" s="4">
        <f>Tabela32[[#This Row],[Km Chegada]]-Tabela32[[#This Row],[Km Saída]]</f>
        <v>81</v>
      </c>
      <c r="Q54" s="4">
        <v>238</v>
      </c>
      <c r="R54" s="4">
        <v>20</v>
      </c>
      <c r="S54" s="4">
        <v>20</v>
      </c>
      <c r="T54" s="12">
        <f>Tabela32[[#This Row],[Entregas]]-Tabela32[[#This Row],[Realizadas]]</f>
        <v>0</v>
      </c>
      <c r="U54" s="13">
        <f>Tabela32[[#This Row],[Realizadas]]/Tabela32[[#This Row],[Entregas]]</f>
        <v>1</v>
      </c>
      <c r="V54" s="14" t="str">
        <f>IF(Tabela32[[#This Row],[% Entrega]]&gt;=96%,"Atendeu a Meta","Não Atendeu a Meta")</f>
        <v>Atendeu a Meta</v>
      </c>
      <c r="W54" s="4" t="s">
        <v>43</v>
      </c>
      <c r="X54" s="4">
        <v>0</v>
      </c>
      <c r="Y54" s="5">
        <v>0</v>
      </c>
    </row>
    <row r="55" spans="1:25" x14ac:dyDescent="0.25">
      <c r="A55" s="8">
        <v>46244</v>
      </c>
      <c r="B55" s="16">
        <f>YEAR(Tabela32[[#This Row],[Data]])</f>
        <v>2026</v>
      </c>
      <c r="C55" s="16">
        <f>MONTH(Tabela32[[#This Row],[Data]])</f>
        <v>8</v>
      </c>
      <c r="D55" s="4" t="s">
        <v>36</v>
      </c>
      <c r="E55" s="4">
        <v>1</v>
      </c>
      <c r="F55" s="4" t="str">
        <f>IFERROR(VLOOKUP(Tabela32[[#This Row],[Placa]],Planilha2!$A$1:$B$12,2,0),"")</f>
        <v>Heremilton</v>
      </c>
      <c r="G55" s="10">
        <v>23271.119999999999</v>
      </c>
      <c r="H55" s="10">
        <v>849954.78</v>
      </c>
      <c r="I55" s="4">
        <v>4993</v>
      </c>
      <c r="J55" s="9">
        <f>IFERROR(Tabela32[[#This Row],[Valor Frete]]/Tabela32[[#This Row],[Valor Mercadoria]],"")</f>
        <v>2.7379244811118066E-2</v>
      </c>
      <c r="K55" s="11">
        <v>0.29166666666666669</v>
      </c>
      <c r="L55" s="15">
        <v>0.74305555555555558</v>
      </c>
      <c r="M55" s="15">
        <f>Tabela32[[#This Row],[Hr Chegada]]-Tabela32[[#This Row],[Hr Saida]]</f>
        <v>0.4513888888888889</v>
      </c>
      <c r="N55" s="4">
        <v>364007</v>
      </c>
      <c r="O55" s="4">
        <v>364027</v>
      </c>
      <c r="P55" s="4">
        <f>Tabela32[[#This Row],[Km Chegada]]-Tabela32[[#This Row],[Km Saída]]</f>
        <v>20</v>
      </c>
      <c r="Q55" s="4">
        <v>604</v>
      </c>
      <c r="R55" s="4">
        <v>39</v>
      </c>
      <c r="S55" s="4">
        <v>39</v>
      </c>
      <c r="T55" s="12">
        <f>Tabela32[[#This Row],[Entregas]]-Tabela32[[#This Row],[Realizadas]]</f>
        <v>0</v>
      </c>
      <c r="U55" s="13">
        <f>Tabela32[[#This Row],[Realizadas]]/Tabela32[[#This Row],[Entregas]]</f>
        <v>1</v>
      </c>
      <c r="V55" s="14" t="str">
        <f>IF(Tabela32[[#This Row],[% Entrega]]&gt;=96%,"Atendeu a Meta","Não Atendeu a Meta")</f>
        <v>Atendeu a Meta</v>
      </c>
      <c r="W55" s="4" t="s">
        <v>39</v>
      </c>
      <c r="X55" s="4">
        <v>0</v>
      </c>
      <c r="Y55" s="5">
        <v>0</v>
      </c>
    </row>
    <row r="56" spans="1:25" x14ac:dyDescent="0.25">
      <c r="A56" s="8">
        <v>46245</v>
      </c>
      <c r="B56" s="16">
        <f>YEAR(Tabela32[[#This Row],[Data]])</f>
        <v>2026</v>
      </c>
      <c r="C56" s="16">
        <f>MONTH(Tabela32[[#This Row],[Data]])</f>
        <v>8</v>
      </c>
      <c r="D56" s="4" t="s">
        <v>53</v>
      </c>
      <c r="E56" s="4">
        <v>3</v>
      </c>
      <c r="F56" s="4" t="str">
        <f>IFERROR(VLOOKUP(Tabela32[[#This Row],[Placa]],Planilha2!$A$1:$B$12,2,0),"")</f>
        <v>Arnaldo</v>
      </c>
      <c r="G56" s="10">
        <v>8333.4500000000007</v>
      </c>
      <c r="H56" s="10">
        <v>173187.04</v>
      </c>
      <c r="I56" s="4">
        <v>1310</v>
      </c>
      <c r="J56" s="9">
        <f>IFERROR(Tabela32[[#This Row],[Valor Frete]]/Tabela32[[#This Row],[Valor Mercadoria]],"")</f>
        <v>4.8118207921331757E-2</v>
      </c>
      <c r="K56" s="11">
        <v>0.29166666666666669</v>
      </c>
      <c r="L56" s="15">
        <v>0.73611111111111116</v>
      </c>
      <c r="M56" s="15">
        <f>Tabela32[[#This Row],[Hr Chegada]]-Tabela32[[#This Row],[Hr Saida]]</f>
        <v>0.44444444444444448</v>
      </c>
      <c r="N56" s="4">
        <v>11841</v>
      </c>
      <c r="O56" s="4">
        <v>11896</v>
      </c>
      <c r="P56" s="4">
        <f>Tabela32[[#This Row],[Km Chegada]]-Tabela32[[#This Row],[Km Saída]]</f>
        <v>55</v>
      </c>
      <c r="Q56" s="4">
        <v>205</v>
      </c>
      <c r="R56" s="4">
        <v>28</v>
      </c>
      <c r="S56" s="4">
        <v>28</v>
      </c>
      <c r="T56" s="12">
        <f>Tabela32[[#This Row],[Entregas]]-Tabela32[[#This Row],[Realizadas]]</f>
        <v>0</v>
      </c>
      <c r="U56" s="13">
        <f>Tabela32[[#This Row],[Realizadas]]/Tabela32[[#This Row],[Entregas]]</f>
        <v>1</v>
      </c>
      <c r="V56" s="14" t="str">
        <f>IF(Tabela32[[#This Row],[% Entrega]]&gt;=96%,"Atendeu a Meta","Não Atendeu a Meta")</f>
        <v>Atendeu a Meta</v>
      </c>
      <c r="W56" s="4" t="s">
        <v>39</v>
      </c>
      <c r="X56" s="4">
        <v>0</v>
      </c>
      <c r="Y56" s="5">
        <v>0</v>
      </c>
    </row>
    <row r="57" spans="1:25" x14ac:dyDescent="0.25">
      <c r="A57" s="8">
        <v>46245</v>
      </c>
      <c r="B57" s="16">
        <f>YEAR(Tabela32[[#This Row],[Data]])</f>
        <v>2026</v>
      </c>
      <c r="C57" s="16">
        <f>MONTH(Tabela32[[#This Row],[Data]])</f>
        <v>8</v>
      </c>
      <c r="D57" s="4" t="s">
        <v>27</v>
      </c>
      <c r="E57" s="4">
        <v>1</v>
      </c>
      <c r="F57" s="4" t="str">
        <f>IFERROR(VLOOKUP(Tabela32[[#This Row],[Placa]],Planilha2!$A$1:$B$12,2,0),"")</f>
        <v>Rosinaldo</v>
      </c>
      <c r="G57" s="10">
        <v>4968.05</v>
      </c>
      <c r="H57" s="10">
        <v>99510.63</v>
      </c>
      <c r="I57" s="4">
        <v>664</v>
      </c>
      <c r="J57" s="9">
        <f>IFERROR(Tabela32[[#This Row],[Valor Frete]]/Tabela32[[#This Row],[Valor Mercadoria]],"")</f>
        <v>4.9924817077331339E-2</v>
      </c>
      <c r="K57" s="11">
        <v>0.29166666666666669</v>
      </c>
      <c r="L57" s="15">
        <v>0.75</v>
      </c>
      <c r="M57" s="15">
        <f>Tabela32[[#This Row],[Hr Chegada]]-Tabela32[[#This Row],[Hr Saida]]</f>
        <v>0.45833333333333331</v>
      </c>
      <c r="N57" s="4">
        <v>289832</v>
      </c>
      <c r="O57" s="4">
        <v>289919</v>
      </c>
      <c r="P57" s="4">
        <f>Tabela32[[#This Row],[Km Chegada]]-Tabela32[[#This Row],[Km Saída]]</f>
        <v>87</v>
      </c>
      <c r="Q57" s="4">
        <v>202</v>
      </c>
      <c r="R57" s="4">
        <v>10</v>
      </c>
      <c r="S57" s="4">
        <v>10</v>
      </c>
      <c r="T57" s="12">
        <f>Tabela32[[#This Row],[Entregas]]-Tabela32[[#This Row],[Realizadas]]</f>
        <v>0</v>
      </c>
      <c r="U57" s="13">
        <f>Tabela32[[#This Row],[Realizadas]]/Tabela32[[#This Row],[Entregas]]</f>
        <v>1</v>
      </c>
      <c r="V57" s="14" t="str">
        <f>IF(Tabela32[[#This Row],[% Entrega]]&gt;=96%,"Atendeu a Meta","Não Atendeu a Meta")</f>
        <v>Atendeu a Meta</v>
      </c>
      <c r="W57" s="4" t="s">
        <v>39</v>
      </c>
      <c r="X57" s="4">
        <v>0</v>
      </c>
      <c r="Y57" s="5">
        <v>0</v>
      </c>
    </row>
    <row r="58" spans="1:25" x14ac:dyDescent="0.25">
      <c r="A58" s="8">
        <v>46245</v>
      </c>
      <c r="B58" s="16">
        <f>YEAR(Tabela32[[#This Row],[Data]])</f>
        <v>2026</v>
      </c>
      <c r="C58" s="16">
        <f>MONTH(Tabela32[[#This Row],[Data]])</f>
        <v>8</v>
      </c>
      <c r="D58" s="4" t="s">
        <v>22</v>
      </c>
      <c r="E58" s="4">
        <v>2</v>
      </c>
      <c r="F58" s="4" t="str">
        <f>IFERROR(VLOOKUP(Tabela32[[#This Row],[Placa]],Planilha2!$A$1:$B$12,2,0),"")</f>
        <v>Wesley</v>
      </c>
      <c r="G58" s="10">
        <v>5884.88</v>
      </c>
      <c r="H58" s="10">
        <v>103112.02</v>
      </c>
      <c r="I58" s="4">
        <v>1764</v>
      </c>
      <c r="J58" s="9">
        <f>IFERROR(Tabela32[[#This Row],[Valor Frete]]/Tabela32[[#This Row],[Valor Mercadoria]],"")</f>
        <v>5.7072686579120457E-2</v>
      </c>
      <c r="K58" s="11">
        <v>0.29166666666666669</v>
      </c>
      <c r="L58" s="15">
        <v>0.75694444444444442</v>
      </c>
      <c r="M58" s="15">
        <f>Tabela32[[#This Row],[Hr Chegada]]-Tabela32[[#This Row],[Hr Saida]]</f>
        <v>0.46527777777777773</v>
      </c>
      <c r="N58" s="4">
        <v>302761</v>
      </c>
      <c r="O58" s="4">
        <v>302814</v>
      </c>
      <c r="P58" s="4">
        <f>Tabela32[[#This Row],[Km Chegada]]-Tabela32[[#This Row],[Km Saída]]</f>
        <v>53</v>
      </c>
      <c r="Q58" s="4">
        <v>408</v>
      </c>
      <c r="R58" s="4">
        <v>22</v>
      </c>
      <c r="S58" s="4">
        <v>22</v>
      </c>
      <c r="T58" s="12">
        <f>Tabela32[[#This Row],[Entregas]]-Tabela32[[#This Row],[Realizadas]]</f>
        <v>0</v>
      </c>
      <c r="U58" s="13">
        <f>Tabela32[[#This Row],[Realizadas]]/Tabela32[[#This Row],[Entregas]]</f>
        <v>1</v>
      </c>
      <c r="V58" s="14" t="str">
        <f>IF(Tabela32[[#This Row],[% Entrega]]&gt;=96%,"Atendeu a Meta","Não Atendeu a Meta")</f>
        <v>Atendeu a Meta</v>
      </c>
      <c r="W58" s="4" t="s">
        <v>39</v>
      </c>
      <c r="X58" s="4">
        <v>0</v>
      </c>
      <c r="Y58" s="5">
        <v>0</v>
      </c>
    </row>
    <row r="59" spans="1:25" x14ac:dyDescent="0.25">
      <c r="A59" s="8">
        <v>46245</v>
      </c>
      <c r="B59" s="16">
        <f>YEAR(Tabela32[[#This Row],[Data]])</f>
        <v>2026</v>
      </c>
      <c r="C59" s="16">
        <f>MONTH(Tabela32[[#This Row],[Data]])</f>
        <v>8</v>
      </c>
      <c r="D59" s="4" t="s">
        <v>35</v>
      </c>
      <c r="E59" s="4">
        <v>1</v>
      </c>
      <c r="F59" s="4" t="str">
        <f>IFERROR(VLOOKUP(Tabela32[[#This Row],[Placa]],Planilha2!$A$1:$B$12,2,0),"")</f>
        <v>Osvaldo</v>
      </c>
      <c r="G59" s="10">
        <v>7511.12</v>
      </c>
      <c r="H59" s="10">
        <v>66056.600000000006</v>
      </c>
      <c r="I59" s="4">
        <v>1345</v>
      </c>
      <c r="J59" s="9">
        <f>IFERROR(Tabela32[[#This Row],[Valor Frete]]/Tabela32[[#This Row],[Valor Mercadoria]],"")</f>
        <v>0.11370733583018199</v>
      </c>
      <c r="K59" s="11">
        <v>0.29166666666666669</v>
      </c>
      <c r="L59" s="15">
        <v>0.75</v>
      </c>
      <c r="M59" s="15">
        <f>Tabela32[[#This Row],[Hr Chegada]]-Tabela32[[#This Row],[Hr Saida]]</f>
        <v>0.45833333333333331</v>
      </c>
      <c r="N59" s="4">
        <v>140931</v>
      </c>
      <c r="O59" s="4">
        <v>141128</v>
      </c>
      <c r="P59" s="4">
        <f>Tabela32[[#This Row],[Km Chegada]]-Tabela32[[#This Row],[Km Saída]]</f>
        <v>197</v>
      </c>
      <c r="Q59" s="4">
        <v>176</v>
      </c>
      <c r="R59" s="4">
        <v>17</v>
      </c>
      <c r="S59" s="4">
        <v>17</v>
      </c>
      <c r="T59" s="12">
        <f>Tabela32[[#This Row],[Entregas]]-Tabela32[[#This Row],[Realizadas]]</f>
        <v>0</v>
      </c>
      <c r="U59" s="13">
        <f>Tabela32[[#This Row],[Realizadas]]/Tabela32[[#This Row],[Entregas]]</f>
        <v>1</v>
      </c>
      <c r="V59" s="14" t="str">
        <f>IF(Tabela32[[#This Row],[% Entrega]]&gt;=96%,"Atendeu a Meta","Não Atendeu a Meta")</f>
        <v>Atendeu a Meta</v>
      </c>
      <c r="W59" s="4" t="s">
        <v>40</v>
      </c>
      <c r="X59" s="4">
        <v>0</v>
      </c>
      <c r="Y59" s="5">
        <v>0</v>
      </c>
    </row>
    <row r="60" spans="1:25" x14ac:dyDescent="0.25">
      <c r="A60" s="8">
        <v>46245</v>
      </c>
      <c r="B60" s="16">
        <f>YEAR(Tabela32[[#This Row],[Data]])</f>
        <v>2026</v>
      </c>
      <c r="C60" s="16">
        <f>MONTH(Tabela32[[#This Row],[Data]])</f>
        <v>8</v>
      </c>
      <c r="D60" s="4" t="s">
        <v>33</v>
      </c>
      <c r="E60" s="4">
        <v>1</v>
      </c>
      <c r="F60" s="4" t="str">
        <f>IFERROR(VLOOKUP(Tabela32[[#This Row],[Placa]],Planilha2!$A$1:$B$12,2,0),"")</f>
        <v>Paulo</v>
      </c>
      <c r="G60" s="10">
        <v>1584.91</v>
      </c>
      <c r="H60" s="10">
        <v>7487.8</v>
      </c>
      <c r="I60" s="4">
        <v>195</v>
      </c>
      <c r="J60" s="9">
        <f>IFERROR(Tabela32[[#This Row],[Valor Frete]]/Tabela32[[#This Row],[Valor Mercadoria]],"")</f>
        <v>0.21166564277892039</v>
      </c>
      <c r="K60" s="11">
        <v>0.29166666666666669</v>
      </c>
      <c r="L60" s="15">
        <v>0.66666666666666663</v>
      </c>
      <c r="M60" s="15">
        <f>Tabela32[[#This Row],[Hr Chegada]]-Tabela32[[#This Row],[Hr Saida]]</f>
        <v>0.37499999999999994</v>
      </c>
      <c r="N60" s="4">
        <v>153694</v>
      </c>
      <c r="O60" s="4">
        <v>153753</v>
      </c>
      <c r="P60" s="4">
        <f>Tabela32[[#This Row],[Km Chegada]]-Tabela32[[#This Row],[Km Saída]]</f>
        <v>59</v>
      </c>
      <c r="Q60" s="4">
        <v>31</v>
      </c>
      <c r="R60" s="4">
        <v>1</v>
      </c>
      <c r="S60" s="4">
        <v>1</v>
      </c>
      <c r="T60" s="12">
        <f>Tabela32[[#This Row],[Entregas]]-Tabela32[[#This Row],[Realizadas]]</f>
        <v>0</v>
      </c>
      <c r="U60" s="13">
        <f>Tabela32[[#This Row],[Realizadas]]/Tabela32[[#This Row],[Entregas]]</f>
        <v>1</v>
      </c>
      <c r="V60" s="14" t="str">
        <f>IF(Tabela32[[#This Row],[% Entrega]]&gt;=96%,"Atendeu a Meta","Não Atendeu a Meta")</f>
        <v>Atendeu a Meta</v>
      </c>
      <c r="W60" s="4" t="s">
        <v>40</v>
      </c>
      <c r="X60" s="4">
        <v>0</v>
      </c>
      <c r="Y60" s="5">
        <v>0</v>
      </c>
    </row>
    <row r="61" spans="1:25" x14ac:dyDescent="0.25">
      <c r="A61" s="8">
        <v>46245</v>
      </c>
      <c r="B61" s="16">
        <f>YEAR(Tabela32[[#This Row],[Data]])</f>
        <v>2026</v>
      </c>
      <c r="C61" s="16">
        <f>MONTH(Tabela32[[#This Row],[Data]])</f>
        <v>8</v>
      </c>
      <c r="D61" s="4" t="s">
        <v>31</v>
      </c>
      <c r="E61" s="4">
        <v>5</v>
      </c>
      <c r="F61" s="4" t="str">
        <f>IFERROR(VLOOKUP(Tabela32[[#This Row],[Placa]],Planilha2!$A$1:$B$12,2,0),"")</f>
        <v>Jerson</v>
      </c>
      <c r="G61" s="10">
        <v>6261.94</v>
      </c>
      <c r="H61" s="10">
        <v>11079.14</v>
      </c>
      <c r="I61" s="4">
        <v>1182</v>
      </c>
      <c r="J61" s="9">
        <f>IFERROR(Tabela32[[#This Row],[Valor Frete]]/Tabela32[[#This Row],[Valor Mercadoria]],"")</f>
        <v>0.56520090909583232</v>
      </c>
      <c r="K61" s="11">
        <v>0.29166666666666669</v>
      </c>
      <c r="L61" s="15">
        <v>0.74652777777777779</v>
      </c>
      <c r="M61" s="15">
        <f>Tabela32[[#This Row],[Hr Chegada]]-Tabela32[[#This Row],[Hr Saida]]</f>
        <v>0.4548611111111111</v>
      </c>
      <c r="N61" s="4">
        <v>279059</v>
      </c>
      <c r="O61" s="4">
        <v>279145</v>
      </c>
      <c r="P61" s="4">
        <f>Tabela32[[#This Row],[Km Chegada]]-Tabela32[[#This Row],[Km Saída]]</f>
        <v>86</v>
      </c>
      <c r="Q61" s="4">
        <v>190</v>
      </c>
      <c r="R61" s="4">
        <v>30</v>
      </c>
      <c r="S61" s="4">
        <v>30</v>
      </c>
      <c r="T61" s="12">
        <f>Tabela32[[#This Row],[Entregas]]-Tabela32[[#This Row],[Realizadas]]</f>
        <v>0</v>
      </c>
      <c r="U61" s="13">
        <f>Tabela32[[#This Row],[Realizadas]]/Tabela32[[#This Row],[Entregas]]</f>
        <v>1</v>
      </c>
      <c r="V61" s="14" t="str">
        <f>IF(Tabela32[[#This Row],[% Entrega]]&gt;=96%,"Atendeu a Meta","Não Atendeu a Meta")</f>
        <v>Atendeu a Meta</v>
      </c>
      <c r="W61" s="4" t="s">
        <v>39</v>
      </c>
      <c r="X61" s="4">
        <v>0</v>
      </c>
      <c r="Y61" s="5">
        <v>0</v>
      </c>
    </row>
    <row r="62" spans="1:25" x14ac:dyDescent="0.25">
      <c r="A62" s="8">
        <v>46245</v>
      </c>
      <c r="B62" s="16">
        <f>YEAR(Tabela32[[#This Row],[Data]])</f>
        <v>2026</v>
      </c>
      <c r="C62" s="16">
        <f>MONTH(Tabela32[[#This Row],[Data]])</f>
        <v>8</v>
      </c>
      <c r="D62" s="4" t="s">
        <v>23</v>
      </c>
      <c r="E62" s="4">
        <v>4</v>
      </c>
      <c r="F62" s="4" t="str">
        <f>IFERROR(VLOOKUP(Tabela32[[#This Row],[Placa]],Planilha2!$A$1:$B$12,2,0),"")</f>
        <v>William</v>
      </c>
      <c r="G62" s="10">
        <v>13239.31</v>
      </c>
      <c r="H62" s="10">
        <v>288957.73</v>
      </c>
      <c r="I62" s="4">
        <v>2473</v>
      </c>
      <c r="J62" s="9">
        <f>IFERROR(Tabela32[[#This Row],[Valor Frete]]/Tabela32[[#This Row],[Valor Mercadoria]],"")</f>
        <v>4.581746264410369E-2</v>
      </c>
      <c r="K62" s="11">
        <v>0.29166666666666669</v>
      </c>
      <c r="L62" s="15">
        <v>0.75069444444444444</v>
      </c>
      <c r="M62" s="15">
        <f>Tabela32[[#This Row],[Hr Chegada]]-Tabela32[[#This Row],[Hr Saida]]</f>
        <v>0.45902777777777776</v>
      </c>
      <c r="N62" s="4">
        <v>123554</v>
      </c>
      <c r="O62" s="4">
        <v>123596</v>
      </c>
      <c r="P62" s="4">
        <f>Tabela32[[#This Row],[Km Chegada]]-Tabela32[[#This Row],[Km Saída]]</f>
        <v>42</v>
      </c>
      <c r="Q62" s="4">
        <v>364</v>
      </c>
      <c r="R62" s="4">
        <v>41</v>
      </c>
      <c r="S62" s="4">
        <v>38</v>
      </c>
      <c r="T62" s="12">
        <f>Tabela32[[#This Row],[Entregas]]-Tabela32[[#This Row],[Realizadas]]</f>
        <v>3</v>
      </c>
      <c r="U62" s="13">
        <f>Tabela32[[#This Row],[Realizadas]]/Tabela32[[#This Row],[Entregas]]</f>
        <v>0.92682926829268297</v>
      </c>
      <c r="V62" s="14" t="str">
        <f>IF(Tabela32[[#This Row],[% Entrega]]&gt;=96%,"Atendeu a Meta","Não Atendeu a Meta")</f>
        <v>Não Atendeu a Meta</v>
      </c>
      <c r="W62" s="4" t="s">
        <v>39</v>
      </c>
      <c r="X62" s="4">
        <v>3</v>
      </c>
      <c r="Y62" s="5" t="s">
        <v>69</v>
      </c>
    </row>
    <row r="63" spans="1:25" x14ac:dyDescent="0.25">
      <c r="A63" s="8">
        <v>46245</v>
      </c>
      <c r="B63" s="16">
        <f>YEAR(Tabela32[[#This Row],[Data]])</f>
        <v>2026</v>
      </c>
      <c r="C63" s="16">
        <f>MONTH(Tabela32[[#This Row],[Data]])</f>
        <v>8</v>
      </c>
      <c r="D63" s="4" t="s">
        <v>25</v>
      </c>
      <c r="E63" s="4">
        <v>11</v>
      </c>
      <c r="F63" s="4" t="str">
        <f>IFERROR(VLOOKUP(Tabela32[[#This Row],[Placa]],Planilha2!$A$1:$B$12,2,0),"")</f>
        <v>Gilberto</v>
      </c>
      <c r="G63" s="10">
        <v>9594.73</v>
      </c>
      <c r="H63" s="10">
        <v>136318.66</v>
      </c>
      <c r="I63" s="4">
        <v>1306</v>
      </c>
      <c r="J63" s="9">
        <f>IFERROR(Tabela32[[#This Row],[Valor Frete]]/Tabela32[[#This Row],[Valor Mercadoria]],"")</f>
        <v>7.0384568040795001E-2</v>
      </c>
      <c r="K63" s="11">
        <v>0.25</v>
      </c>
      <c r="L63" s="15">
        <v>0.74375000000000002</v>
      </c>
      <c r="M63" s="15">
        <f>Tabela32[[#This Row],[Hr Chegada]]-Tabela32[[#This Row],[Hr Saida]]</f>
        <v>0.49375000000000002</v>
      </c>
      <c r="N63" s="4">
        <v>117491</v>
      </c>
      <c r="O63" s="4">
        <v>117629</v>
      </c>
      <c r="P63" s="4">
        <f>Tabela32[[#This Row],[Km Chegada]]-Tabela32[[#This Row],[Km Saída]]</f>
        <v>138</v>
      </c>
      <c r="Q63" s="4">
        <v>202</v>
      </c>
      <c r="R63" s="4">
        <v>37</v>
      </c>
      <c r="S63" s="4">
        <v>37</v>
      </c>
      <c r="T63" s="12">
        <f>Tabela32[[#This Row],[Entregas]]-Tabela32[[#This Row],[Realizadas]]</f>
        <v>0</v>
      </c>
      <c r="U63" s="13">
        <f>Tabela32[[#This Row],[Realizadas]]/Tabela32[[#This Row],[Entregas]]</f>
        <v>1</v>
      </c>
      <c r="V63" s="14" t="str">
        <f>IF(Tabela32[[#This Row],[% Entrega]]&gt;=96%,"Atendeu a Meta","Não Atendeu a Meta")</f>
        <v>Atendeu a Meta</v>
      </c>
      <c r="W63" s="4" t="s">
        <v>41</v>
      </c>
      <c r="X63" s="4">
        <v>1</v>
      </c>
      <c r="Y63" s="5">
        <v>8</v>
      </c>
    </row>
    <row r="64" spans="1:25" x14ac:dyDescent="0.25">
      <c r="A64" s="8">
        <v>46245</v>
      </c>
      <c r="B64" s="16">
        <f>YEAR(Tabela32[[#This Row],[Data]])</f>
        <v>2026</v>
      </c>
      <c r="C64" s="16">
        <f>MONTH(Tabela32[[#This Row],[Data]])</f>
        <v>8</v>
      </c>
      <c r="D64" s="4" t="s">
        <v>28</v>
      </c>
      <c r="E64" s="4">
        <v>11</v>
      </c>
      <c r="F64" s="4" t="str">
        <f>IFERROR(VLOOKUP(Tabela32[[#This Row],[Placa]],Planilha2!$A$1:$B$12,2,0),"")</f>
        <v>Edilson</v>
      </c>
      <c r="G64" s="10">
        <v>14968.94</v>
      </c>
      <c r="H64" s="10">
        <v>889416.5</v>
      </c>
      <c r="I64" s="4">
        <v>1858</v>
      </c>
      <c r="J64" s="9">
        <f>IFERROR(Tabela32[[#This Row],[Valor Frete]]/Tabela32[[#This Row],[Valor Mercadoria]],"")</f>
        <v>1.6830067802879753E-2</v>
      </c>
      <c r="K64" s="11">
        <v>0.25</v>
      </c>
      <c r="L64" s="15">
        <v>0.75</v>
      </c>
      <c r="M64" s="15">
        <f>Tabela32[[#This Row],[Hr Chegada]]-Tabela32[[#This Row],[Hr Saida]]</f>
        <v>0.5</v>
      </c>
      <c r="N64" s="4">
        <v>103117</v>
      </c>
      <c r="O64" s="4">
        <v>103253</v>
      </c>
      <c r="P64" s="4">
        <f>Tabela32[[#This Row],[Km Chegada]]-Tabela32[[#This Row],[Km Saída]]</f>
        <v>136</v>
      </c>
      <c r="Q64" s="4">
        <v>115</v>
      </c>
      <c r="R64" s="4">
        <v>18</v>
      </c>
      <c r="S64" s="4">
        <v>18</v>
      </c>
      <c r="T64" s="12">
        <f>Tabela32[[#This Row],[Entregas]]-Tabela32[[#This Row],[Realizadas]]</f>
        <v>0</v>
      </c>
      <c r="U64" s="13">
        <f>Tabela32[[#This Row],[Realizadas]]/Tabela32[[#This Row],[Entregas]]</f>
        <v>1</v>
      </c>
      <c r="V64" s="14" t="str">
        <f>IF(Tabela32[[#This Row],[% Entrega]]&gt;=96%,"Atendeu a Meta","Não Atendeu a Meta")</f>
        <v>Atendeu a Meta</v>
      </c>
      <c r="W64" s="4" t="s">
        <v>41</v>
      </c>
      <c r="X64" s="4">
        <v>0</v>
      </c>
      <c r="Y64" s="5">
        <v>0</v>
      </c>
    </row>
    <row r="65" spans="1:25" x14ac:dyDescent="0.25">
      <c r="A65" s="8">
        <v>46246</v>
      </c>
      <c r="B65" s="16">
        <f>YEAR(Tabela32[[#This Row],[Data]])</f>
        <v>2026</v>
      </c>
      <c r="C65" s="16">
        <f>MONTH(Tabela32[[#This Row],[Data]])</f>
        <v>8</v>
      </c>
      <c r="D65" s="4" t="s">
        <v>27</v>
      </c>
      <c r="E65" s="4">
        <v>11</v>
      </c>
      <c r="F65" s="4" t="str">
        <f>IFERROR(VLOOKUP(Tabela32[[#This Row],[Placa]],Planilha2!$A$1:$B$12,2,0),"")</f>
        <v>Rosinaldo</v>
      </c>
      <c r="G65" s="10">
        <v>9959.56</v>
      </c>
      <c r="H65" s="10">
        <v>209678.62</v>
      </c>
      <c r="I65" s="4">
        <v>1710</v>
      </c>
      <c r="J65" s="9">
        <f>IFERROR(Tabela32[[#This Row],[Valor Frete]]/Tabela32[[#This Row],[Valor Mercadoria]],"")</f>
        <v>4.7499168012456398E-2</v>
      </c>
      <c r="K65" s="11">
        <v>0.25</v>
      </c>
      <c r="L65" s="15">
        <v>0.75</v>
      </c>
      <c r="M65" s="15">
        <f>Tabela32[[#This Row],[Hr Chegada]]-Tabela32[[#This Row],[Hr Saida]]</f>
        <v>0.5</v>
      </c>
      <c r="N65" s="4">
        <v>289919</v>
      </c>
      <c r="O65" s="4">
        <v>290052</v>
      </c>
      <c r="P65" s="4">
        <f>Tabela32[[#This Row],[Km Chegada]]-Tabela32[[#This Row],[Km Saída]]</f>
        <v>133</v>
      </c>
      <c r="Q65" s="4">
        <v>462</v>
      </c>
      <c r="R65" s="4">
        <v>14</v>
      </c>
      <c r="S65" s="4">
        <v>14</v>
      </c>
      <c r="T65" s="12">
        <f>Tabela32[[#This Row],[Entregas]]-Tabela32[[#This Row],[Realizadas]]</f>
        <v>0</v>
      </c>
      <c r="U65" s="13">
        <f>Tabela32[[#This Row],[Realizadas]]/Tabela32[[#This Row],[Entregas]]</f>
        <v>1</v>
      </c>
      <c r="V65" s="14" t="str">
        <f>IF(Tabela32[[#This Row],[% Entrega]]&gt;=96%,"Atendeu a Meta","Não Atendeu a Meta")</f>
        <v>Atendeu a Meta</v>
      </c>
      <c r="W65" s="4" t="s">
        <v>41</v>
      </c>
      <c r="X65" s="4">
        <v>0</v>
      </c>
      <c r="Y65" s="5">
        <v>0</v>
      </c>
    </row>
    <row r="66" spans="1:25" x14ac:dyDescent="0.25">
      <c r="A66" s="8">
        <v>46246</v>
      </c>
      <c r="B66" s="16">
        <f>YEAR(Tabela32[[#This Row],[Data]])</f>
        <v>2026</v>
      </c>
      <c r="C66" s="16">
        <f>MONTH(Tabela32[[#This Row],[Data]])</f>
        <v>8</v>
      </c>
      <c r="D66" s="4" t="s">
        <v>22</v>
      </c>
      <c r="E66" s="4">
        <v>2</v>
      </c>
      <c r="F66" s="4" t="str">
        <f>IFERROR(VLOOKUP(Tabela32[[#This Row],[Placa]],Planilha2!$A$1:$B$12,2,0),"")</f>
        <v>Wesley</v>
      </c>
      <c r="G66" s="10">
        <v>12632.35</v>
      </c>
      <c r="H66" s="10">
        <v>228744.65</v>
      </c>
      <c r="I66" s="4">
        <v>2403</v>
      </c>
      <c r="J66" s="9">
        <f>IFERROR(Tabela32[[#This Row],[Valor Frete]]/Tabela32[[#This Row],[Valor Mercadoria]],"")</f>
        <v>5.5224679571740806E-2</v>
      </c>
      <c r="K66" s="11">
        <v>0.29166666666666669</v>
      </c>
      <c r="L66" s="15">
        <v>0.75</v>
      </c>
      <c r="M66" s="15">
        <f>Tabela32[[#This Row],[Hr Chegada]]-Tabela32[[#This Row],[Hr Saida]]</f>
        <v>0.45833333333333331</v>
      </c>
      <c r="N66" s="4">
        <v>302814</v>
      </c>
      <c r="O66" s="4">
        <v>302867</v>
      </c>
      <c r="P66" s="4">
        <f>Tabela32[[#This Row],[Km Chegada]]-Tabela32[[#This Row],[Km Saída]]</f>
        <v>53</v>
      </c>
      <c r="Q66" s="4">
        <v>361</v>
      </c>
      <c r="R66" s="4">
        <v>55</v>
      </c>
      <c r="S66" s="4">
        <v>55</v>
      </c>
      <c r="T66" s="12">
        <f>Tabela32[[#This Row],[Entregas]]-Tabela32[[#This Row],[Realizadas]]</f>
        <v>0</v>
      </c>
      <c r="U66" s="13">
        <f>Tabela32[[#This Row],[Realizadas]]/Tabela32[[#This Row],[Entregas]]</f>
        <v>1</v>
      </c>
      <c r="V66" s="14" t="str">
        <f>IF(Tabela32[[#This Row],[% Entrega]]&gt;=96%,"Atendeu a Meta","Não Atendeu a Meta")</f>
        <v>Atendeu a Meta</v>
      </c>
      <c r="W66" s="4" t="s">
        <v>39</v>
      </c>
      <c r="X66" s="4">
        <v>0</v>
      </c>
      <c r="Y66" s="5">
        <v>0</v>
      </c>
    </row>
    <row r="67" spans="1:25" x14ac:dyDescent="0.25">
      <c r="A67" s="8">
        <v>46246</v>
      </c>
      <c r="B67" s="16">
        <f>YEAR(Tabela32[[#This Row],[Data]])</f>
        <v>2026</v>
      </c>
      <c r="C67" s="16">
        <f>MONTH(Tabela32[[#This Row],[Data]])</f>
        <v>8</v>
      </c>
      <c r="D67" s="4" t="s">
        <v>28</v>
      </c>
      <c r="E67" s="4">
        <v>11</v>
      </c>
      <c r="F67" s="4" t="str">
        <f>IFERROR(VLOOKUP(Tabela32[[#This Row],[Placa]],Planilha2!$A$1:$B$12,2,0),"")</f>
        <v>Edilson</v>
      </c>
      <c r="G67" s="10">
        <v>15755.52</v>
      </c>
      <c r="H67" s="10">
        <v>332632.09000000003</v>
      </c>
      <c r="I67" s="4">
        <v>2982</v>
      </c>
      <c r="J67" s="9">
        <f>IFERROR(Tabela32[[#This Row],[Valor Frete]]/Tabela32[[#This Row],[Valor Mercadoria]],"")</f>
        <v>4.7366205707933949E-2</v>
      </c>
      <c r="K67" s="11">
        <v>0.25</v>
      </c>
      <c r="L67" s="15">
        <v>0.75</v>
      </c>
      <c r="M67" s="15">
        <f>Tabela32[[#This Row],[Hr Chegada]]-Tabela32[[#This Row],[Hr Saida]]</f>
        <v>0.5</v>
      </c>
      <c r="N67" s="4">
        <v>103253</v>
      </c>
      <c r="O67" s="4">
        <v>103402</v>
      </c>
      <c r="P67" s="4">
        <f>Tabela32[[#This Row],[Km Chegada]]-Tabela32[[#This Row],[Km Saída]]</f>
        <v>149</v>
      </c>
      <c r="Q67" s="4">
        <v>149</v>
      </c>
      <c r="R67" s="4">
        <v>13</v>
      </c>
      <c r="S67" s="4">
        <v>13</v>
      </c>
      <c r="T67" s="12">
        <f>Tabela32[[#This Row],[Entregas]]-Tabela32[[#This Row],[Realizadas]]</f>
        <v>0</v>
      </c>
      <c r="U67" s="13">
        <f>Tabela32[[#This Row],[Realizadas]]/Tabela32[[#This Row],[Entregas]]</f>
        <v>1</v>
      </c>
      <c r="V67" s="14" t="str">
        <f>IF(Tabela32[[#This Row],[% Entrega]]&gt;=96%,"Atendeu a Meta","Não Atendeu a Meta")</f>
        <v>Atendeu a Meta</v>
      </c>
      <c r="W67" s="4" t="s">
        <v>41</v>
      </c>
      <c r="X67" s="4">
        <v>0</v>
      </c>
      <c r="Y67" s="5">
        <v>0</v>
      </c>
    </row>
    <row r="68" spans="1:25" x14ac:dyDescent="0.25">
      <c r="A68" s="8">
        <v>46246</v>
      </c>
      <c r="B68" s="16">
        <f>YEAR(Tabela32[[#This Row],[Data]])</f>
        <v>2026</v>
      </c>
      <c r="C68" s="16">
        <f>MONTH(Tabela32[[#This Row],[Data]])</f>
        <v>8</v>
      </c>
      <c r="D68" s="4" t="s">
        <v>23</v>
      </c>
      <c r="E68" s="4">
        <v>1</v>
      </c>
      <c r="F68" s="4" t="str">
        <f>IFERROR(VLOOKUP(Tabela32[[#This Row],[Placa]],Planilha2!$A$1:$B$12,2,0),"")</f>
        <v>William</v>
      </c>
      <c r="G68" s="10">
        <v>4236.68</v>
      </c>
      <c r="H68" s="10">
        <v>90140.12</v>
      </c>
      <c r="I68" s="4">
        <v>542</v>
      </c>
      <c r="J68" s="9">
        <f>IFERROR(Tabela32[[#This Row],[Valor Frete]]/Tabela32[[#This Row],[Valor Mercadoria]],"")</f>
        <v>4.7001046814670322E-2</v>
      </c>
      <c r="K68" s="11">
        <v>0.29166666666666669</v>
      </c>
      <c r="L68" s="15">
        <v>0.67361111111111116</v>
      </c>
      <c r="M68" s="15">
        <f>Tabela32[[#This Row],[Hr Chegada]]-Tabela32[[#This Row],[Hr Saida]]</f>
        <v>0.38194444444444448</v>
      </c>
      <c r="N68" s="4">
        <v>123596</v>
      </c>
      <c r="O68" s="4">
        <v>123626</v>
      </c>
      <c r="P68" s="4">
        <f>Tabela32[[#This Row],[Km Chegada]]-Tabela32[[#This Row],[Km Saída]]</f>
        <v>30</v>
      </c>
      <c r="Q68" s="4">
        <v>69</v>
      </c>
      <c r="R68" s="4">
        <v>5</v>
      </c>
      <c r="S68" s="4">
        <v>5</v>
      </c>
      <c r="T68" s="12">
        <f>Tabela32[[#This Row],[Entregas]]-Tabela32[[#This Row],[Realizadas]]</f>
        <v>0</v>
      </c>
      <c r="U68" s="13">
        <f>Tabela32[[#This Row],[Realizadas]]/Tabela32[[#This Row],[Entregas]]</f>
        <v>1</v>
      </c>
      <c r="V68" s="14" t="str">
        <f>IF(Tabela32[[#This Row],[% Entrega]]&gt;=96%,"Atendeu a Meta","Não Atendeu a Meta")</f>
        <v>Atendeu a Meta</v>
      </c>
      <c r="W68" s="4" t="s">
        <v>39</v>
      </c>
      <c r="X68" s="4">
        <v>0</v>
      </c>
      <c r="Y68" s="5">
        <v>0</v>
      </c>
    </row>
    <row r="69" spans="1:25" x14ac:dyDescent="0.25">
      <c r="A69" s="8">
        <v>46246</v>
      </c>
      <c r="B69" s="16">
        <f>YEAR(Tabela32[[#This Row],[Data]])</f>
        <v>2026</v>
      </c>
      <c r="C69" s="16">
        <f>MONTH(Tabela32[[#This Row],[Data]])</f>
        <v>8</v>
      </c>
      <c r="D69" s="4" t="s">
        <v>35</v>
      </c>
      <c r="E69" s="4">
        <v>1</v>
      </c>
      <c r="F69" s="4" t="str">
        <f>IFERROR(VLOOKUP(Tabela32[[#This Row],[Placa]],Planilha2!$A$1:$B$12,2,0),"")</f>
        <v>Osvaldo</v>
      </c>
      <c r="G69" s="10">
        <v>5657.91</v>
      </c>
      <c r="H69" s="10">
        <v>117922.23</v>
      </c>
      <c r="I69" s="4">
        <v>1332</v>
      </c>
      <c r="J69" s="9">
        <f>IFERROR(Tabela32[[#This Row],[Valor Frete]]/Tabela32[[#This Row],[Valor Mercadoria]],"")</f>
        <v>4.7980011911240149E-2</v>
      </c>
      <c r="K69" s="11">
        <v>0.29166666666666669</v>
      </c>
      <c r="L69" s="15">
        <v>0.70138888888888884</v>
      </c>
      <c r="M69" s="15">
        <f>Tabela32[[#This Row],[Hr Chegada]]-Tabela32[[#This Row],[Hr Saida]]</f>
        <v>0.40972222222222215</v>
      </c>
      <c r="N69" s="4">
        <v>141128</v>
      </c>
      <c r="O69" s="4">
        <v>141186</v>
      </c>
      <c r="P69" s="4">
        <f>Tabela32[[#This Row],[Km Chegada]]-Tabela32[[#This Row],[Km Saída]]</f>
        <v>58</v>
      </c>
      <c r="Q69" s="4">
        <v>148</v>
      </c>
      <c r="R69" s="4">
        <v>29</v>
      </c>
      <c r="S69" s="4">
        <v>29</v>
      </c>
      <c r="T69" s="12">
        <f>Tabela32[[#This Row],[Entregas]]-Tabela32[[#This Row],[Realizadas]]</f>
        <v>0</v>
      </c>
      <c r="U69" s="13">
        <f>Tabela32[[#This Row],[Realizadas]]/Tabela32[[#This Row],[Entregas]]</f>
        <v>1</v>
      </c>
      <c r="V69" s="14" t="str">
        <f>IF(Tabela32[[#This Row],[% Entrega]]&gt;=96%,"Atendeu a Meta","Não Atendeu a Meta")</f>
        <v>Atendeu a Meta</v>
      </c>
      <c r="W69" s="4" t="s">
        <v>43</v>
      </c>
      <c r="X69" s="4">
        <v>0</v>
      </c>
      <c r="Y69" s="5">
        <v>0</v>
      </c>
    </row>
    <row r="70" spans="1:25" x14ac:dyDescent="0.25">
      <c r="A70" s="8">
        <v>46246</v>
      </c>
      <c r="B70" s="16">
        <f>YEAR(Tabela32[[#This Row],[Data]])</f>
        <v>2026</v>
      </c>
      <c r="C70" s="16">
        <f>MONTH(Tabela32[[#This Row],[Data]])</f>
        <v>8</v>
      </c>
      <c r="D70" s="4" t="s">
        <v>33</v>
      </c>
      <c r="E70" s="4">
        <v>1</v>
      </c>
      <c r="F70" s="4" t="str">
        <f>IFERROR(VLOOKUP(Tabela32[[#This Row],[Placa]],Planilha2!$A$1:$B$12,2,0),"")</f>
        <v>Paulo</v>
      </c>
      <c r="G70" s="10">
        <v>4693.9799999999996</v>
      </c>
      <c r="H70" s="10">
        <v>37659.29</v>
      </c>
      <c r="I70" s="4">
        <v>507</v>
      </c>
      <c r="J70" s="9">
        <f>IFERROR(Tabela32[[#This Row],[Valor Frete]]/Tabela32[[#This Row],[Valor Mercadoria]],"")</f>
        <v>0.12464334829467044</v>
      </c>
      <c r="K70" s="11">
        <v>0.29166666666666669</v>
      </c>
      <c r="L70" s="15">
        <v>0.70833333333333337</v>
      </c>
      <c r="M70" s="15">
        <f>Tabela32[[#This Row],[Hr Chegada]]-Tabela32[[#This Row],[Hr Saida]]</f>
        <v>0.41666666666666669</v>
      </c>
      <c r="N70" s="4">
        <v>153753</v>
      </c>
      <c r="O70" s="4">
        <v>153814</v>
      </c>
      <c r="P70" s="4">
        <f>Tabela32[[#This Row],[Km Chegada]]-Tabela32[[#This Row],[Km Saída]]</f>
        <v>61</v>
      </c>
      <c r="Q70" s="4">
        <v>105</v>
      </c>
      <c r="R70" s="4">
        <v>7</v>
      </c>
      <c r="S70" s="4">
        <v>7</v>
      </c>
      <c r="T70" s="12">
        <f>Tabela32[[#This Row],[Entregas]]-Tabela32[[#This Row],[Realizadas]]</f>
        <v>0</v>
      </c>
      <c r="U70" s="13">
        <f>Tabela32[[#This Row],[Realizadas]]/Tabela32[[#This Row],[Entregas]]</f>
        <v>1</v>
      </c>
      <c r="V70" s="14" t="str">
        <f>IF(Tabela32[[#This Row],[% Entrega]]&gt;=96%,"Atendeu a Meta","Não Atendeu a Meta")</f>
        <v>Atendeu a Meta</v>
      </c>
      <c r="W70" s="4" t="s">
        <v>43</v>
      </c>
      <c r="X70" s="4">
        <v>0</v>
      </c>
      <c r="Y70" s="5">
        <v>0</v>
      </c>
    </row>
    <row r="71" spans="1:25" x14ac:dyDescent="0.25">
      <c r="A71" s="8">
        <v>46246</v>
      </c>
      <c r="B71" s="16">
        <f>YEAR(Tabela32[[#This Row],[Data]])</f>
        <v>2026</v>
      </c>
      <c r="C71" s="16">
        <f>MONTH(Tabela32[[#This Row],[Data]])</f>
        <v>8</v>
      </c>
      <c r="D71" s="4" t="s">
        <v>25</v>
      </c>
      <c r="E71" s="4">
        <v>11</v>
      </c>
      <c r="F71" s="4" t="str">
        <f>IFERROR(VLOOKUP(Tabela32[[#This Row],[Placa]],Planilha2!$A$1:$B$12,2,0),"")</f>
        <v>Gilberto</v>
      </c>
      <c r="G71" s="10">
        <v>5518.8</v>
      </c>
      <c r="H71" s="10">
        <v>137481.15</v>
      </c>
      <c r="I71" s="4">
        <v>523</v>
      </c>
      <c r="J71" s="9">
        <f>IFERROR(Tabela32[[#This Row],[Valor Frete]]/Tabela32[[#This Row],[Valor Mercadoria]],"")</f>
        <v>4.0142230407586792E-2</v>
      </c>
      <c r="K71" s="11">
        <v>0.25</v>
      </c>
      <c r="L71" s="15">
        <v>0.70833333333333337</v>
      </c>
      <c r="M71" s="15">
        <f>Tabela32[[#This Row],[Hr Chegada]]-Tabela32[[#This Row],[Hr Saida]]</f>
        <v>0.45833333333333337</v>
      </c>
      <c r="N71" s="4">
        <v>117629</v>
      </c>
      <c r="O71" s="4">
        <v>117763</v>
      </c>
      <c r="P71" s="4">
        <f>Tabela32[[#This Row],[Km Chegada]]-Tabela32[[#This Row],[Km Saída]]</f>
        <v>134</v>
      </c>
      <c r="Q71" s="4">
        <v>278</v>
      </c>
      <c r="R71" s="4">
        <v>14</v>
      </c>
      <c r="S71" s="4">
        <v>14</v>
      </c>
      <c r="T71" s="12">
        <f>Tabela32[[#This Row],[Entregas]]-Tabela32[[#This Row],[Realizadas]]</f>
        <v>0</v>
      </c>
      <c r="U71" s="13">
        <f>Tabela32[[#This Row],[Realizadas]]/Tabela32[[#This Row],[Entregas]]</f>
        <v>1</v>
      </c>
      <c r="V71" s="14" t="str">
        <f>IF(Tabela32[[#This Row],[% Entrega]]&gt;=96%,"Atendeu a Meta","Não Atendeu a Meta")</f>
        <v>Atendeu a Meta</v>
      </c>
      <c r="W71" s="4" t="s">
        <v>41</v>
      </c>
      <c r="X71" s="4">
        <v>0</v>
      </c>
      <c r="Y71" s="5">
        <v>0</v>
      </c>
    </row>
    <row r="72" spans="1:25" x14ac:dyDescent="0.25">
      <c r="A72" s="8">
        <v>46246</v>
      </c>
      <c r="B72" s="16">
        <f>YEAR(Tabela32[[#This Row],[Data]])</f>
        <v>2026</v>
      </c>
      <c r="C72" s="16">
        <f>MONTH(Tabela32[[#This Row],[Data]])</f>
        <v>8</v>
      </c>
      <c r="D72" s="4" t="s">
        <v>53</v>
      </c>
      <c r="E72" s="4">
        <v>3</v>
      </c>
      <c r="F72" s="4" t="str">
        <f>IFERROR(VLOOKUP(Tabela32[[#This Row],[Placa]],Planilha2!$A$1:$B$12,2,0),"")</f>
        <v>Arnaldo</v>
      </c>
      <c r="G72" s="10">
        <v>4275.37</v>
      </c>
      <c r="H72" s="10">
        <v>104020.84</v>
      </c>
      <c r="I72" s="4">
        <v>1171</v>
      </c>
      <c r="J72" s="9">
        <f>IFERROR(Tabela32[[#This Row],[Valor Frete]]/Tabela32[[#This Row],[Valor Mercadoria]],"")</f>
        <v>4.110109089678568E-2</v>
      </c>
      <c r="K72" s="11">
        <v>0.29166666666666669</v>
      </c>
      <c r="L72" s="15">
        <v>0.70833333333333337</v>
      </c>
      <c r="M72" s="15">
        <f>Tabela32[[#This Row],[Hr Chegada]]-Tabela32[[#This Row],[Hr Saida]]</f>
        <v>0.41666666666666669</v>
      </c>
      <c r="N72" s="4">
        <v>11896</v>
      </c>
      <c r="O72" s="4">
        <v>11964</v>
      </c>
      <c r="P72" s="4">
        <f>Tabela32[[#This Row],[Km Chegada]]-Tabela32[[#This Row],[Km Saída]]</f>
        <v>68</v>
      </c>
      <c r="Q72" s="4">
        <v>149</v>
      </c>
      <c r="R72" s="4">
        <v>11</v>
      </c>
      <c r="S72" s="4">
        <v>11</v>
      </c>
      <c r="T72" s="12">
        <f>Tabela32[[#This Row],[Entregas]]-Tabela32[[#This Row],[Realizadas]]</f>
        <v>0</v>
      </c>
      <c r="U72" s="13">
        <f>Tabela32[[#This Row],[Realizadas]]/Tabela32[[#This Row],[Entregas]]</f>
        <v>1</v>
      </c>
      <c r="V72" s="14" t="str">
        <f>IF(Tabela32[[#This Row],[% Entrega]]&gt;=96%,"Atendeu a Meta","Não Atendeu a Meta")</f>
        <v>Atendeu a Meta</v>
      </c>
      <c r="W72" s="4" t="s">
        <v>39</v>
      </c>
      <c r="X72" s="4">
        <v>0</v>
      </c>
      <c r="Y72" s="5">
        <v>0</v>
      </c>
    </row>
    <row r="73" spans="1:25" x14ac:dyDescent="0.25">
      <c r="A73" s="8">
        <v>46246</v>
      </c>
      <c r="B73" s="16">
        <f>YEAR(Tabela32[[#This Row],[Data]])</f>
        <v>2026</v>
      </c>
      <c r="C73" s="16">
        <f>MONTH(Tabela32[[#This Row],[Data]])</f>
        <v>8</v>
      </c>
      <c r="D73" s="4" t="s">
        <v>31</v>
      </c>
      <c r="E73" s="4">
        <v>5</v>
      </c>
      <c r="F73" s="4" t="str">
        <f>IFERROR(VLOOKUP(Tabela32[[#This Row],[Placa]],Planilha2!$A$1:$B$12,2,0),"")</f>
        <v>Jerson</v>
      </c>
      <c r="G73" s="10">
        <v>10605.63</v>
      </c>
      <c r="H73" s="10">
        <v>152531.4</v>
      </c>
      <c r="I73" s="4">
        <v>1627</v>
      </c>
      <c r="J73" s="9">
        <f>IFERROR(Tabela32[[#This Row],[Valor Frete]]/Tabela32[[#This Row],[Valor Mercadoria]],"")</f>
        <v>6.9530798248754022E-2</v>
      </c>
      <c r="K73" s="11">
        <v>0.29166666666666669</v>
      </c>
      <c r="L73" s="15">
        <v>0.79166666666666663</v>
      </c>
      <c r="M73" s="15">
        <f>Tabela32[[#This Row],[Hr Chegada]]-Tabela32[[#This Row],[Hr Saida]]</f>
        <v>0.49999999999999994</v>
      </c>
      <c r="N73" s="4">
        <v>279145</v>
      </c>
      <c r="O73" s="4">
        <v>279229</v>
      </c>
      <c r="P73" s="4">
        <f>Tabela32[[#This Row],[Km Chegada]]-Tabela32[[#This Row],[Km Saída]]</f>
        <v>84</v>
      </c>
      <c r="Q73" s="4">
        <v>365</v>
      </c>
      <c r="R73" s="4">
        <v>33</v>
      </c>
      <c r="S73" s="4">
        <v>33</v>
      </c>
      <c r="T73" s="12">
        <f>Tabela32[[#This Row],[Entregas]]-Tabela32[[#This Row],[Realizadas]]</f>
        <v>0</v>
      </c>
      <c r="U73" s="13">
        <f>Tabela32[[#This Row],[Realizadas]]/Tabela32[[#This Row],[Entregas]]</f>
        <v>1</v>
      </c>
      <c r="V73" s="14" t="str">
        <f>IF(Tabela32[[#This Row],[% Entrega]]&gt;=96%,"Atendeu a Meta","Não Atendeu a Meta")</f>
        <v>Atendeu a Meta</v>
      </c>
      <c r="W73" s="4" t="s">
        <v>39</v>
      </c>
      <c r="X73" s="4">
        <v>0</v>
      </c>
      <c r="Y73" s="5">
        <v>0</v>
      </c>
    </row>
    <row r="74" spans="1:25" x14ac:dyDescent="0.25">
      <c r="A74" s="8">
        <v>46247</v>
      </c>
      <c r="B74" s="16">
        <f>YEAR(Tabela32[[#This Row],[Data]])</f>
        <v>2026</v>
      </c>
      <c r="C74" s="16">
        <f>MONTH(Tabela32[[#This Row],[Data]])</f>
        <v>8</v>
      </c>
      <c r="D74" s="4" t="s">
        <v>35</v>
      </c>
      <c r="E74" s="4">
        <v>2</v>
      </c>
      <c r="F74" s="4" t="str">
        <f>IFERROR(VLOOKUP(Tabela32[[#This Row],[Placa]],Planilha2!$A$1:$B$12,2,0),"")</f>
        <v>Osvaldo</v>
      </c>
      <c r="G74" s="10">
        <v>4149.43</v>
      </c>
      <c r="H74" s="10">
        <v>64802.46</v>
      </c>
      <c r="I74" s="4">
        <v>772</v>
      </c>
      <c r="J74" s="9">
        <f>IFERROR(Tabela32[[#This Row],[Valor Frete]]/Tabela32[[#This Row],[Valor Mercadoria]],"")</f>
        <v>6.4031982736457854E-2</v>
      </c>
      <c r="K74" s="11">
        <v>0.29166666666666669</v>
      </c>
      <c r="L74" s="15">
        <v>0.73611111111111116</v>
      </c>
      <c r="M74" s="15">
        <f>Tabela32[[#This Row],[Hr Chegada]]-Tabela32[[#This Row],[Hr Saida]]</f>
        <v>0.44444444444444448</v>
      </c>
      <c r="N74" s="4">
        <v>141186</v>
      </c>
      <c r="O74" s="4">
        <v>141261</v>
      </c>
      <c r="P74" s="4">
        <f>Tabela32[[#This Row],[Km Chegada]]-Tabela32[[#This Row],[Km Saída]]</f>
        <v>75</v>
      </c>
      <c r="Q74" s="4">
        <v>158</v>
      </c>
      <c r="R74" s="4">
        <v>13</v>
      </c>
      <c r="S74" s="4">
        <v>13</v>
      </c>
      <c r="T74" s="12">
        <f>Tabela32[[#This Row],[Entregas]]-Tabela32[[#This Row],[Realizadas]]</f>
        <v>0</v>
      </c>
      <c r="U74" s="13">
        <f>Tabela32[[#This Row],[Realizadas]]/Tabela32[[#This Row],[Entregas]]</f>
        <v>1</v>
      </c>
      <c r="V74" s="14" t="str">
        <f>IF(Tabela32[[#This Row],[% Entrega]]&gt;=96%,"Atendeu a Meta","Não Atendeu a Meta")</f>
        <v>Atendeu a Meta</v>
      </c>
      <c r="W74" s="4" t="s">
        <v>43</v>
      </c>
      <c r="X74" s="4">
        <v>0</v>
      </c>
      <c r="Y74" s="5">
        <v>0</v>
      </c>
    </row>
    <row r="75" spans="1:25" x14ac:dyDescent="0.25">
      <c r="A75" s="8">
        <v>46247</v>
      </c>
      <c r="B75" s="16">
        <f>YEAR(Tabela32[[#This Row],[Data]])</f>
        <v>2026</v>
      </c>
      <c r="C75" s="16">
        <f>MONTH(Tabela32[[#This Row],[Data]])</f>
        <v>8</v>
      </c>
      <c r="D75" s="4" t="s">
        <v>33</v>
      </c>
      <c r="E75" s="4">
        <v>3</v>
      </c>
      <c r="F75" s="4" t="str">
        <f>IFERROR(VLOOKUP(Tabela32[[#This Row],[Placa]],Planilha2!$A$1:$B$12,2,0),"")</f>
        <v>Paulo</v>
      </c>
      <c r="G75" s="10">
        <v>1610.61</v>
      </c>
      <c r="H75" s="10">
        <v>21817.599999999999</v>
      </c>
      <c r="I75" s="4">
        <v>221</v>
      </c>
      <c r="J75" s="9">
        <f>IFERROR(Tabela32[[#This Row],[Valor Frete]]/Tabela32[[#This Row],[Valor Mercadoria]],"")</f>
        <v>7.3821593575828695E-2</v>
      </c>
      <c r="K75" s="11">
        <v>0.29166666666666669</v>
      </c>
      <c r="L75" s="15">
        <v>0.73611111111111116</v>
      </c>
      <c r="M75" s="15">
        <f>Tabela32[[#This Row],[Hr Chegada]]-Tabela32[[#This Row],[Hr Saida]]</f>
        <v>0.44444444444444448</v>
      </c>
      <c r="N75" s="4">
        <v>153880</v>
      </c>
      <c r="O75" s="4">
        <v>153930</v>
      </c>
      <c r="P75" s="4">
        <f>Tabela32[[#This Row],[Km Chegada]]-Tabela32[[#This Row],[Km Saída]]</f>
        <v>50</v>
      </c>
      <c r="Q75" s="4">
        <v>33</v>
      </c>
      <c r="R75" s="4">
        <v>8</v>
      </c>
      <c r="S75" s="4">
        <v>8</v>
      </c>
      <c r="T75" s="12">
        <f>Tabela32[[#This Row],[Entregas]]-Tabela32[[#This Row],[Realizadas]]</f>
        <v>0</v>
      </c>
      <c r="U75" s="13">
        <f>Tabela32[[#This Row],[Realizadas]]/Tabela32[[#This Row],[Entregas]]</f>
        <v>1</v>
      </c>
      <c r="V75" s="14" t="str">
        <f>IF(Tabela32[[#This Row],[% Entrega]]&gt;=96%,"Atendeu a Meta","Não Atendeu a Meta")</f>
        <v>Atendeu a Meta</v>
      </c>
      <c r="W75" s="4" t="s">
        <v>39</v>
      </c>
      <c r="X75" s="4">
        <v>0</v>
      </c>
      <c r="Y75" s="5">
        <v>0</v>
      </c>
    </row>
    <row r="76" spans="1:25" x14ac:dyDescent="0.25">
      <c r="A76" s="8">
        <v>46247</v>
      </c>
      <c r="B76" s="16">
        <f>YEAR(Tabela32[[#This Row],[Data]])</f>
        <v>2026</v>
      </c>
      <c r="C76" s="16">
        <f>MONTH(Tabela32[[#This Row],[Data]])</f>
        <v>8</v>
      </c>
      <c r="D76" s="4" t="s">
        <v>22</v>
      </c>
      <c r="E76" s="4">
        <v>2</v>
      </c>
      <c r="F76" s="4" t="str">
        <f>IFERROR(VLOOKUP(Tabela32[[#This Row],[Placa]],Planilha2!$A$1:$B$12,2,0),"")</f>
        <v>Wesley</v>
      </c>
      <c r="G76" s="10">
        <v>10304.700000000001</v>
      </c>
      <c r="H76" s="10">
        <v>176238.04</v>
      </c>
      <c r="I76" s="4">
        <v>2008</v>
      </c>
      <c r="J76" s="9">
        <f>IFERROR(Tabela32[[#This Row],[Valor Frete]]/Tabela32[[#This Row],[Valor Mercadoria]],"")</f>
        <v>5.8470350668902132E-2</v>
      </c>
      <c r="K76" s="11">
        <v>0.29166666666666669</v>
      </c>
      <c r="L76" s="15">
        <v>0.75</v>
      </c>
      <c r="M76" s="15">
        <f>Tabela32[[#This Row],[Hr Chegada]]-Tabela32[[#This Row],[Hr Saida]]</f>
        <v>0.45833333333333331</v>
      </c>
      <c r="N76" s="4">
        <v>302867</v>
      </c>
      <c r="O76" s="4">
        <v>302940</v>
      </c>
      <c r="P76" s="4">
        <f>Tabela32[[#This Row],[Km Chegada]]-Tabela32[[#This Row],[Km Saída]]</f>
        <v>73</v>
      </c>
      <c r="Q76" s="4">
        <v>355</v>
      </c>
      <c r="R76" s="4">
        <v>27</v>
      </c>
      <c r="S76" s="4">
        <v>27</v>
      </c>
      <c r="T76" s="12">
        <f>Tabela32[[#This Row],[Entregas]]-Tabela32[[#This Row],[Realizadas]]</f>
        <v>0</v>
      </c>
      <c r="U76" s="13">
        <f>Tabela32[[#This Row],[Realizadas]]/Tabela32[[#This Row],[Entregas]]</f>
        <v>1</v>
      </c>
      <c r="V76" s="14" t="str">
        <f>IF(Tabela32[[#This Row],[% Entrega]]&gt;=96%,"Atendeu a Meta","Não Atendeu a Meta")</f>
        <v>Atendeu a Meta</v>
      </c>
      <c r="W76" s="4" t="s">
        <v>39</v>
      </c>
      <c r="X76" s="4">
        <v>0</v>
      </c>
      <c r="Y76" s="5">
        <v>0</v>
      </c>
    </row>
    <row r="77" spans="1:25" x14ac:dyDescent="0.25">
      <c r="A77" s="8">
        <v>46247</v>
      </c>
      <c r="B77" s="16">
        <f>YEAR(Tabela32[[#This Row],[Data]])</f>
        <v>2026</v>
      </c>
      <c r="C77" s="16">
        <f>MONTH(Tabela32[[#This Row],[Data]])</f>
        <v>8</v>
      </c>
      <c r="D77" s="4" t="s">
        <v>23</v>
      </c>
      <c r="E77" s="4">
        <v>1</v>
      </c>
      <c r="F77" s="4" t="str">
        <f>IFERROR(VLOOKUP(Tabela32[[#This Row],[Placa]],Planilha2!$A$1:$B$12,2,0),"")</f>
        <v>William</v>
      </c>
      <c r="G77" s="10">
        <v>5685.81</v>
      </c>
      <c r="H77" s="10">
        <v>64367.64</v>
      </c>
      <c r="I77" s="4">
        <v>887</v>
      </c>
      <c r="J77" s="9">
        <f>IFERROR(Tabela32[[#This Row],[Valor Frete]]/Tabela32[[#This Row],[Valor Mercadoria]],"")</f>
        <v>8.8333361297695562E-2</v>
      </c>
      <c r="K77" s="11">
        <v>0.29166666666666669</v>
      </c>
      <c r="L77" s="15">
        <v>0.75</v>
      </c>
      <c r="M77" s="15">
        <f>Tabela32[[#This Row],[Hr Chegada]]-Tabela32[[#This Row],[Hr Saida]]</f>
        <v>0.45833333333333331</v>
      </c>
      <c r="N77" s="4">
        <v>123627</v>
      </c>
      <c r="O77" s="4">
        <v>123706</v>
      </c>
      <c r="P77" s="4">
        <f>Tabela32[[#This Row],[Km Chegada]]-Tabela32[[#This Row],[Km Saída]]</f>
        <v>79</v>
      </c>
      <c r="Q77" s="4">
        <v>101</v>
      </c>
      <c r="R77" s="4">
        <v>11</v>
      </c>
      <c r="S77" s="4">
        <v>11</v>
      </c>
      <c r="T77" s="12">
        <f>Tabela32[[#This Row],[Entregas]]-Tabela32[[#This Row],[Realizadas]]</f>
        <v>0</v>
      </c>
      <c r="U77" s="13">
        <f>Tabela32[[#This Row],[Realizadas]]/Tabela32[[#This Row],[Entregas]]</f>
        <v>1</v>
      </c>
      <c r="V77" s="14" t="str">
        <f>IF(Tabela32[[#This Row],[% Entrega]]&gt;=96%,"Atendeu a Meta","Não Atendeu a Meta")</f>
        <v>Atendeu a Meta</v>
      </c>
      <c r="W77" s="4" t="s">
        <v>39</v>
      </c>
      <c r="X77" s="4">
        <v>0</v>
      </c>
      <c r="Y77" s="5">
        <v>0</v>
      </c>
    </row>
    <row r="78" spans="1:25" x14ac:dyDescent="0.25">
      <c r="A78" s="8">
        <v>46247</v>
      </c>
      <c r="B78" s="16">
        <f>YEAR(Tabela32[[#This Row],[Data]])</f>
        <v>2026</v>
      </c>
      <c r="C78" s="16">
        <f>MONTH(Tabela32[[#This Row],[Data]])</f>
        <v>8</v>
      </c>
      <c r="D78" s="4" t="s">
        <v>25</v>
      </c>
      <c r="E78" s="4">
        <v>3</v>
      </c>
      <c r="F78" s="4" t="str">
        <f>IFERROR(VLOOKUP(Tabela32[[#This Row],[Placa]],Planilha2!$A$1:$B$12,2,0),"")</f>
        <v>Gilberto</v>
      </c>
      <c r="G78" s="10">
        <v>7403.26</v>
      </c>
      <c r="H78" s="10">
        <v>105447.47</v>
      </c>
      <c r="I78" s="4">
        <v>952</v>
      </c>
      <c r="J78" s="9">
        <f>IFERROR(Tabela32[[#This Row],[Valor Frete]]/Tabela32[[#This Row],[Valor Mercadoria]],"")</f>
        <v>7.020803818242391E-2</v>
      </c>
      <c r="K78" s="11">
        <v>0.29166666666666669</v>
      </c>
      <c r="L78" s="15">
        <v>0.66666666666666663</v>
      </c>
      <c r="M78" s="15">
        <f>Tabela32[[#This Row],[Hr Chegada]]-Tabela32[[#This Row],[Hr Saida]]</f>
        <v>0.37499999999999994</v>
      </c>
      <c r="N78" s="4">
        <v>117763</v>
      </c>
      <c r="O78" s="4">
        <v>117817</v>
      </c>
      <c r="P78" s="4">
        <f>Tabela32[[#This Row],[Km Chegada]]-Tabela32[[#This Row],[Km Saída]]</f>
        <v>54</v>
      </c>
      <c r="Q78" s="4">
        <v>198</v>
      </c>
      <c r="R78" s="4">
        <v>18</v>
      </c>
      <c r="S78" s="4">
        <v>18</v>
      </c>
      <c r="T78" s="12">
        <f>Tabela32[[#This Row],[Entregas]]-Tabela32[[#This Row],[Realizadas]]</f>
        <v>0</v>
      </c>
      <c r="U78" s="13">
        <f>Tabela32[[#This Row],[Realizadas]]/Tabela32[[#This Row],[Entregas]]</f>
        <v>1</v>
      </c>
      <c r="V78" s="14" t="str">
        <f>IF(Tabela32[[#This Row],[% Entrega]]&gt;=96%,"Atendeu a Meta","Não Atendeu a Meta")</f>
        <v>Atendeu a Meta</v>
      </c>
      <c r="W78" s="4" t="s">
        <v>39</v>
      </c>
      <c r="X78" s="4">
        <v>0</v>
      </c>
      <c r="Y78" s="5">
        <v>0</v>
      </c>
    </row>
    <row r="79" spans="1:25" x14ac:dyDescent="0.25">
      <c r="A79" s="8">
        <v>46247</v>
      </c>
      <c r="B79" s="16">
        <f>YEAR(Tabela32[[#This Row],[Data]])</f>
        <v>2026</v>
      </c>
      <c r="C79" s="16">
        <f>MONTH(Tabela32[[#This Row],[Data]])</f>
        <v>8</v>
      </c>
      <c r="D79" s="4" t="s">
        <v>27</v>
      </c>
      <c r="E79" s="4">
        <v>1</v>
      </c>
      <c r="F79" s="4" t="str">
        <f>IFERROR(VLOOKUP(Tabela32[[#This Row],[Placa]],Planilha2!$A$1:$B$12,2,0),"")</f>
        <v>Rosinaldo</v>
      </c>
      <c r="G79" s="10">
        <v>5857.74</v>
      </c>
      <c r="H79" s="10">
        <v>56980.160000000003</v>
      </c>
      <c r="I79" s="4">
        <v>462</v>
      </c>
      <c r="J79" s="9">
        <f>IFERROR(Tabela32[[#This Row],[Valor Frete]]/Tabela32[[#This Row],[Valor Mercadoria]],"")</f>
        <v>0.10280315113190275</v>
      </c>
      <c r="K79" s="11">
        <v>0.29166666666666669</v>
      </c>
      <c r="L79" s="15">
        <v>0.70833333333333337</v>
      </c>
      <c r="M79" s="15">
        <f>Tabela32[[#This Row],[Hr Chegada]]-Tabela32[[#This Row],[Hr Saida]]</f>
        <v>0.41666666666666669</v>
      </c>
      <c r="N79" s="4">
        <v>290052</v>
      </c>
      <c r="O79" s="4">
        <v>290094</v>
      </c>
      <c r="P79" s="4">
        <f>Tabela32[[#This Row],[Km Chegada]]-Tabela32[[#This Row],[Km Saída]]</f>
        <v>42</v>
      </c>
      <c r="Q79" s="4">
        <v>150</v>
      </c>
      <c r="R79" s="4">
        <v>3</v>
      </c>
      <c r="S79" s="4">
        <v>3</v>
      </c>
      <c r="T79" s="12">
        <f>Tabela32[[#This Row],[Entregas]]-Tabela32[[#This Row],[Realizadas]]</f>
        <v>0</v>
      </c>
      <c r="U79" s="13">
        <f>Tabela32[[#This Row],[Realizadas]]/Tabela32[[#This Row],[Entregas]]</f>
        <v>1</v>
      </c>
      <c r="V79" s="14" t="str">
        <f>IF(Tabela32[[#This Row],[% Entrega]]&gt;=96%,"Atendeu a Meta","Não Atendeu a Meta")</f>
        <v>Atendeu a Meta</v>
      </c>
      <c r="W79" s="4" t="s">
        <v>40</v>
      </c>
      <c r="X79" s="4">
        <v>0</v>
      </c>
      <c r="Y79" s="5">
        <v>0</v>
      </c>
    </row>
    <row r="80" spans="1:25" x14ac:dyDescent="0.25">
      <c r="A80" s="8">
        <v>46247</v>
      </c>
      <c r="B80" s="16">
        <f>YEAR(Tabela32[[#This Row],[Data]])</f>
        <v>2026</v>
      </c>
      <c r="C80" s="16">
        <f>MONTH(Tabela32[[#This Row],[Data]])</f>
        <v>8</v>
      </c>
      <c r="D80" s="4" t="s">
        <v>33</v>
      </c>
      <c r="E80" s="4">
        <v>1</v>
      </c>
      <c r="F80" s="4" t="str">
        <f>IFERROR(VLOOKUP(Tabela32[[#This Row],[Placa]],Planilha2!$A$1:$B$12,2,0),"")</f>
        <v>Paulo</v>
      </c>
      <c r="G80" s="10">
        <v>610.5</v>
      </c>
      <c r="H80" s="10">
        <v>22220.04</v>
      </c>
      <c r="I80" s="4">
        <v>13.8</v>
      </c>
      <c r="J80" s="9">
        <f>IFERROR(Tabela32[[#This Row],[Valor Frete]]/Tabela32[[#This Row],[Valor Mercadoria]],"")</f>
        <v>2.7475198064449927E-2</v>
      </c>
      <c r="K80" s="11">
        <v>0.29166666666666669</v>
      </c>
      <c r="L80" s="15">
        <v>0.45763888888888887</v>
      </c>
      <c r="M80" s="15">
        <f>Tabela32[[#This Row],[Hr Chegada]]-Tabela32[[#This Row],[Hr Saida]]</f>
        <v>0.16597222222222219</v>
      </c>
      <c r="N80" s="4">
        <v>153814</v>
      </c>
      <c r="O80" s="4">
        <v>153845</v>
      </c>
      <c r="P80" s="4">
        <f>Tabela32[[#This Row],[Km Chegada]]-Tabela32[[#This Row],[Km Saída]]</f>
        <v>31</v>
      </c>
      <c r="Q80" s="4">
        <v>1</v>
      </c>
      <c r="R80" s="4">
        <v>1</v>
      </c>
      <c r="S80" s="4">
        <v>1</v>
      </c>
      <c r="T80" s="12">
        <f>Tabela32[[#This Row],[Entregas]]-Tabela32[[#This Row],[Realizadas]]</f>
        <v>0</v>
      </c>
      <c r="U80" s="13">
        <f>Tabela32[[#This Row],[Realizadas]]/Tabela32[[#This Row],[Entregas]]</f>
        <v>1</v>
      </c>
      <c r="V80" s="14" t="str">
        <f>IF(Tabela32[[#This Row],[% Entrega]]&gt;=96%,"Atendeu a Meta","Não Atendeu a Meta")</f>
        <v>Atendeu a Meta</v>
      </c>
      <c r="W80" s="4" t="s">
        <v>40</v>
      </c>
      <c r="X80" s="4">
        <v>0</v>
      </c>
      <c r="Y80" s="5">
        <v>0</v>
      </c>
    </row>
    <row r="81" spans="1:25" x14ac:dyDescent="0.25">
      <c r="A81" s="8">
        <v>46247</v>
      </c>
      <c r="B81" s="16">
        <f>YEAR(Tabela32[[#This Row],[Data]])</f>
        <v>2026</v>
      </c>
      <c r="C81" s="16">
        <f>MONTH(Tabela32[[#This Row],[Data]])</f>
        <v>8</v>
      </c>
      <c r="D81" s="4" t="s">
        <v>28</v>
      </c>
      <c r="E81" s="4">
        <v>1</v>
      </c>
      <c r="F81" s="4" t="str">
        <f>IFERROR(VLOOKUP(Tabela32[[#This Row],[Placa]],Planilha2!$A$1:$B$12,2,0),"")</f>
        <v>Edilson</v>
      </c>
      <c r="G81" s="10">
        <v>29019.15</v>
      </c>
      <c r="H81" s="10">
        <v>599535.15</v>
      </c>
      <c r="I81" s="4">
        <v>7812</v>
      </c>
      <c r="J81" s="9">
        <f>IFERROR(Tabela32[[#This Row],[Valor Frete]]/Tabela32[[#This Row],[Valor Mercadoria]],"")</f>
        <v>4.8402750030586195E-2</v>
      </c>
      <c r="K81" s="11">
        <v>0.29166666666666669</v>
      </c>
      <c r="L81" s="15">
        <v>0.75</v>
      </c>
      <c r="M81" s="15">
        <f>Tabela32[[#This Row],[Hr Chegada]]-Tabela32[[#This Row],[Hr Saida]]</f>
        <v>0.45833333333333331</v>
      </c>
      <c r="N81" s="4">
        <v>103402</v>
      </c>
      <c r="O81" s="4">
        <v>103436</v>
      </c>
      <c r="P81" s="4">
        <f>Tabela32[[#This Row],[Km Chegada]]-Tabela32[[#This Row],[Km Saída]]</f>
        <v>34</v>
      </c>
      <c r="Q81" s="4">
        <v>1094</v>
      </c>
      <c r="R81" s="4">
        <v>10</v>
      </c>
      <c r="S81" s="4">
        <v>10</v>
      </c>
      <c r="T81" s="12">
        <f>Tabela32[[#This Row],[Entregas]]-Tabela32[[#This Row],[Realizadas]]</f>
        <v>0</v>
      </c>
      <c r="U81" s="13">
        <f>Tabela32[[#This Row],[Realizadas]]/Tabela32[[#This Row],[Entregas]]</f>
        <v>1</v>
      </c>
      <c r="V81" s="14" t="str">
        <f>IF(Tabela32[[#This Row],[% Entrega]]&gt;=96%,"Atendeu a Meta","Não Atendeu a Meta")</f>
        <v>Atendeu a Meta</v>
      </c>
      <c r="W81" s="4" t="s">
        <v>39</v>
      </c>
      <c r="X81" s="4">
        <v>0</v>
      </c>
      <c r="Y81" s="5">
        <v>0</v>
      </c>
    </row>
    <row r="82" spans="1:25" x14ac:dyDescent="0.25">
      <c r="A82" s="8">
        <v>46247</v>
      </c>
      <c r="B82" s="16">
        <f>YEAR(Tabela32[[#This Row],[Data]])</f>
        <v>2026</v>
      </c>
      <c r="C82" s="16">
        <f>MONTH(Tabela32[[#This Row],[Data]])</f>
        <v>8</v>
      </c>
      <c r="D82" s="4" t="s">
        <v>31</v>
      </c>
      <c r="E82" s="4">
        <v>5</v>
      </c>
      <c r="F82" s="4" t="str">
        <f>IFERROR(VLOOKUP(Tabela32[[#This Row],[Placa]],Planilha2!$A$1:$B$12,2,0),"")</f>
        <v>Jerson</v>
      </c>
      <c r="G82" s="10">
        <v>16066.39</v>
      </c>
      <c r="H82" s="10">
        <v>354985</v>
      </c>
      <c r="I82" s="4">
        <v>3473</v>
      </c>
      <c r="J82" s="9">
        <f>IFERROR(Tabela32[[#This Row],[Valor Frete]]/Tabela32[[#This Row],[Valor Mercadoria]],"")</f>
        <v>4.5259348986576894E-2</v>
      </c>
      <c r="K82" s="11">
        <v>0.29166666666666669</v>
      </c>
      <c r="L82" s="15">
        <v>0.74305555555555558</v>
      </c>
      <c r="M82" s="15">
        <f>Tabela32[[#This Row],[Hr Chegada]]-Tabela32[[#This Row],[Hr Saida]]</f>
        <v>0.4513888888888889</v>
      </c>
      <c r="N82" s="4">
        <v>279229</v>
      </c>
      <c r="O82" s="4">
        <v>279279</v>
      </c>
      <c r="P82" s="4">
        <f>Tabela32[[#This Row],[Km Chegada]]-Tabela32[[#This Row],[Km Saída]]</f>
        <v>50</v>
      </c>
      <c r="Q82" s="4">
        <v>333</v>
      </c>
      <c r="R82" s="4">
        <v>17</v>
      </c>
      <c r="S82" s="4">
        <v>17</v>
      </c>
      <c r="T82" s="12">
        <f>Tabela32[[#This Row],[Entregas]]-Tabela32[[#This Row],[Realizadas]]</f>
        <v>0</v>
      </c>
      <c r="U82" s="13">
        <f>Tabela32[[#This Row],[Realizadas]]/Tabela32[[#This Row],[Entregas]]</f>
        <v>1</v>
      </c>
      <c r="V82" s="14" t="str">
        <f>IF(Tabela32[[#This Row],[% Entrega]]&gt;=96%,"Atendeu a Meta","Não Atendeu a Meta")</f>
        <v>Atendeu a Meta</v>
      </c>
      <c r="W82" s="4" t="s">
        <v>39</v>
      </c>
      <c r="X82" s="4">
        <v>0</v>
      </c>
      <c r="Y82" s="5">
        <v>0</v>
      </c>
    </row>
    <row r="83" spans="1:25" x14ac:dyDescent="0.25">
      <c r="A83" s="8">
        <v>46247</v>
      </c>
      <c r="B83" s="16">
        <f>YEAR(Tabela32[[#This Row],[Data]])</f>
        <v>2026</v>
      </c>
      <c r="C83" s="16">
        <f>MONTH(Tabela32[[#This Row],[Data]])</f>
        <v>8</v>
      </c>
      <c r="D83" s="4" t="s">
        <v>53</v>
      </c>
      <c r="E83" s="4">
        <v>11</v>
      </c>
      <c r="F83" s="4" t="str">
        <f>IFERROR(VLOOKUP(Tabela32[[#This Row],[Placa]],Planilha2!$A$1:$B$12,2,0),"")</f>
        <v>Arnaldo</v>
      </c>
      <c r="G83" s="10">
        <v>9544.64</v>
      </c>
      <c r="H83" s="10">
        <v>154394.04</v>
      </c>
      <c r="I83" s="4">
        <v>1212</v>
      </c>
      <c r="J83" s="9">
        <f>IFERROR(Tabela32[[#This Row],[Valor Frete]]/Tabela32[[#This Row],[Valor Mercadoria]],"")</f>
        <v>6.1820002896484857E-2</v>
      </c>
      <c r="K83" s="11">
        <v>0.25</v>
      </c>
      <c r="L83" s="15">
        <v>0.71736111111111112</v>
      </c>
      <c r="M83" s="15">
        <f>Tabela32[[#This Row],[Hr Chegada]]-Tabela32[[#This Row],[Hr Saida]]</f>
        <v>0.46736111111111112</v>
      </c>
      <c r="N83" s="4">
        <v>11964</v>
      </c>
      <c r="O83" s="4">
        <v>12099</v>
      </c>
      <c r="P83" s="4">
        <f>Tabela32[[#This Row],[Km Chegada]]-Tabela32[[#This Row],[Km Saída]]</f>
        <v>135</v>
      </c>
      <c r="Q83" s="4">
        <v>195</v>
      </c>
      <c r="R83" s="4">
        <v>24</v>
      </c>
      <c r="S83" s="4">
        <v>24</v>
      </c>
      <c r="T83" s="12">
        <f>Tabela32[[#This Row],[Entregas]]-Tabela32[[#This Row],[Realizadas]]</f>
        <v>0</v>
      </c>
      <c r="U83" s="13">
        <f>Tabela32[[#This Row],[Realizadas]]/Tabela32[[#This Row],[Entregas]]</f>
        <v>1</v>
      </c>
      <c r="V83" s="14" t="str">
        <f>IF(Tabela32[[#This Row],[% Entrega]]&gt;=96%,"Atendeu a Meta","Não Atendeu a Meta")</f>
        <v>Atendeu a Meta</v>
      </c>
      <c r="W83" s="4" t="s">
        <v>41</v>
      </c>
      <c r="X83" s="4">
        <v>4</v>
      </c>
      <c r="Y83" s="5">
        <v>38</v>
      </c>
    </row>
    <row r="84" spans="1:25" x14ac:dyDescent="0.25">
      <c r="A84" s="8">
        <v>46248</v>
      </c>
      <c r="B84" s="16">
        <f>YEAR(Tabela32[[#This Row],[Data]])</f>
        <v>2026</v>
      </c>
      <c r="C84" s="16">
        <f>MONTH(Tabela32[[#This Row],[Data]])</f>
        <v>8</v>
      </c>
      <c r="D84" s="4" t="s">
        <v>23</v>
      </c>
      <c r="E84" s="4">
        <v>11</v>
      </c>
      <c r="F84" s="4" t="str">
        <f>IFERROR(VLOOKUP(Tabela32[[#This Row],[Placa]],Planilha2!$A$1:$B$12,2,0),"")</f>
        <v>William</v>
      </c>
      <c r="G84" s="10">
        <v>7378.67</v>
      </c>
      <c r="H84" s="10">
        <v>97331.41</v>
      </c>
      <c r="I84" s="4">
        <v>795</v>
      </c>
      <c r="J84" s="9">
        <f>IFERROR(Tabela32[[#This Row],[Valor Frete]]/Tabela32[[#This Row],[Valor Mercadoria]],"")</f>
        <v>7.5809751446115903E-2</v>
      </c>
      <c r="K84" s="11">
        <v>0.25</v>
      </c>
      <c r="L84" s="15">
        <v>0.71180555555555558</v>
      </c>
      <c r="M84" s="15">
        <f>Tabela32[[#This Row],[Hr Chegada]]-Tabela32[[#This Row],[Hr Saida]]</f>
        <v>0.46180555555555558</v>
      </c>
      <c r="N84" s="4">
        <v>123706</v>
      </c>
      <c r="O84" s="4">
        <v>123852</v>
      </c>
      <c r="P84" s="4">
        <f>Tabela32[[#This Row],[Km Chegada]]-Tabela32[[#This Row],[Km Saída]]</f>
        <v>146</v>
      </c>
      <c r="Q84" s="4">
        <v>158</v>
      </c>
      <c r="R84" s="4">
        <v>19</v>
      </c>
      <c r="S84" s="4">
        <v>19</v>
      </c>
      <c r="T84" s="12">
        <f>Tabela32[[#This Row],[Entregas]]-Tabela32[[#This Row],[Realizadas]]</f>
        <v>0</v>
      </c>
      <c r="U84" s="13">
        <f>Tabela32[[#This Row],[Realizadas]]/Tabela32[[#This Row],[Entregas]]</f>
        <v>1</v>
      </c>
      <c r="V84" s="14" t="str">
        <f>IF(Tabela32[[#This Row],[% Entrega]]&gt;=96%,"Atendeu a Meta","Não Atendeu a Meta")</f>
        <v>Atendeu a Meta</v>
      </c>
      <c r="W84" s="4" t="s">
        <v>41</v>
      </c>
      <c r="X84" s="4">
        <v>0</v>
      </c>
      <c r="Y84" s="5">
        <v>0</v>
      </c>
    </row>
    <row r="85" spans="1:25" x14ac:dyDescent="0.25">
      <c r="A85" s="8">
        <v>46248</v>
      </c>
      <c r="B85" s="16">
        <f>YEAR(Tabela32[[#This Row],[Data]])</f>
        <v>2026</v>
      </c>
      <c r="C85" s="16">
        <f>MONTH(Tabela32[[#This Row],[Data]])</f>
        <v>8</v>
      </c>
      <c r="D85" s="4" t="s">
        <v>35</v>
      </c>
      <c r="E85" s="4">
        <v>1</v>
      </c>
      <c r="F85" s="4" t="str">
        <f>IFERROR(VLOOKUP(Tabela32[[#This Row],[Placa]],Planilha2!$A$1:$B$12,2,0),"")</f>
        <v>Osvaldo</v>
      </c>
      <c r="G85" s="10">
        <v>11533.88</v>
      </c>
      <c r="H85" s="10">
        <v>122470.23</v>
      </c>
      <c r="I85" s="4">
        <v>2305</v>
      </c>
      <c r="J85" s="9">
        <f>IFERROR(Tabela32[[#This Row],[Valor Frete]]/Tabela32[[#This Row],[Valor Mercadoria]],"")</f>
        <v>9.4177009384239743E-2</v>
      </c>
      <c r="K85" s="11">
        <v>0.29166666666666669</v>
      </c>
      <c r="L85" s="15">
        <v>0.74791666666666667</v>
      </c>
      <c r="M85" s="15">
        <f>Tabela32[[#This Row],[Hr Chegada]]-Tabela32[[#This Row],[Hr Saida]]</f>
        <v>0.45624999999999999</v>
      </c>
      <c r="N85" s="4">
        <v>141361</v>
      </c>
      <c r="O85" s="4">
        <v>141412</v>
      </c>
      <c r="P85" s="4">
        <f>Tabela32[[#This Row],[Km Chegada]]-Tabela32[[#This Row],[Km Saída]]</f>
        <v>51</v>
      </c>
      <c r="Q85" s="4">
        <v>356</v>
      </c>
      <c r="R85" s="4">
        <v>18</v>
      </c>
      <c r="S85" s="4">
        <v>18</v>
      </c>
      <c r="T85" s="12">
        <f>Tabela32[[#This Row],[Entregas]]-Tabela32[[#This Row],[Realizadas]]</f>
        <v>0</v>
      </c>
      <c r="U85" s="13">
        <f>Tabela32[[#This Row],[Realizadas]]/Tabela32[[#This Row],[Entregas]]</f>
        <v>1</v>
      </c>
      <c r="V85" s="14" t="str">
        <f>IF(Tabela32[[#This Row],[% Entrega]]&gt;=96%,"Atendeu a Meta","Não Atendeu a Meta")</f>
        <v>Atendeu a Meta</v>
      </c>
      <c r="W85" s="4" t="s">
        <v>43</v>
      </c>
      <c r="X85" s="4">
        <v>0</v>
      </c>
      <c r="Y85" s="5">
        <v>0</v>
      </c>
    </row>
    <row r="86" spans="1:25" x14ac:dyDescent="0.25">
      <c r="A86" s="8">
        <v>46248</v>
      </c>
      <c r="B86" s="16">
        <f>YEAR(Tabela32[[#This Row],[Data]])</f>
        <v>2026</v>
      </c>
      <c r="C86" s="16">
        <f>MONTH(Tabela32[[#This Row],[Data]])</f>
        <v>8</v>
      </c>
      <c r="D86" s="4" t="s">
        <v>25</v>
      </c>
      <c r="E86" s="4">
        <v>3</v>
      </c>
      <c r="F86" s="4" t="str">
        <f>IFERROR(VLOOKUP(Tabela32[[#This Row],[Placa]],Planilha2!$A$1:$B$12,2,0),"")</f>
        <v>Gilberto</v>
      </c>
      <c r="G86" s="10">
        <v>10059.02</v>
      </c>
      <c r="H86" s="10">
        <v>66344.72</v>
      </c>
      <c r="I86" s="4">
        <v>5603</v>
      </c>
      <c r="J86" s="9">
        <f>IFERROR(Tabela32[[#This Row],[Valor Frete]]/Tabela32[[#This Row],[Valor Mercadoria]],"")</f>
        <v>0.15161749118844725</v>
      </c>
      <c r="K86" s="11">
        <v>0.29166666666666669</v>
      </c>
      <c r="L86" s="15">
        <v>0.5</v>
      </c>
      <c r="M86" s="15">
        <f>Tabela32[[#This Row],[Hr Chegada]]-Tabela32[[#This Row],[Hr Saida]]</f>
        <v>0.20833333333333331</v>
      </c>
      <c r="N86" s="4">
        <v>117817</v>
      </c>
      <c r="O86" s="4">
        <v>117886</v>
      </c>
      <c r="P86" s="4">
        <f>Tabela32[[#This Row],[Km Chegada]]-Tabela32[[#This Row],[Km Saída]]</f>
        <v>69</v>
      </c>
      <c r="Q86" s="4">
        <v>561</v>
      </c>
      <c r="R86" s="4">
        <v>2</v>
      </c>
      <c r="S86" s="4">
        <v>2</v>
      </c>
      <c r="T86" s="12">
        <f>Tabela32[[#This Row],[Entregas]]-Tabela32[[#This Row],[Realizadas]]</f>
        <v>0</v>
      </c>
      <c r="U86" s="13">
        <f>Tabela32[[#This Row],[Realizadas]]/Tabela32[[#This Row],[Entregas]]</f>
        <v>1</v>
      </c>
      <c r="V86" s="14" t="str">
        <f>IF(Tabela32[[#This Row],[% Entrega]]&gt;=96%,"Atendeu a Meta","Não Atendeu a Meta")</f>
        <v>Atendeu a Meta</v>
      </c>
      <c r="W86" s="4" t="s">
        <v>39</v>
      </c>
      <c r="X86" s="4">
        <v>0</v>
      </c>
      <c r="Y86" s="5">
        <v>0</v>
      </c>
    </row>
    <row r="87" spans="1:25" x14ac:dyDescent="0.25">
      <c r="A87" s="8">
        <v>46248</v>
      </c>
      <c r="B87" s="16">
        <f>YEAR(Tabela32[[#This Row],[Data]])</f>
        <v>2026</v>
      </c>
      <c r="C87" s="16">
        <f>MONTH(Tabela32[[#This Row],[Data]])</f>
        <v>8</v>
      </c>
      <c r="D87" s="4" t="s">
        <v>31</v>
      </c>
      <c r="E87" s="4">
        <v>5</v>
      </c>
      <c r="F87" s="4" t="str">
        <f>IFERROR(VLOOKUP(Tabela32[[#This Row],[Placa]],Planilha2!$A$1:$B$12,2,0),"")</f>
        <v>Jerson</v>
      </c>
      <c r="G87" s="10">
        <v>6929.72</v>
      </c>
      <c r="H87" s="10">
        <v>109427.11</v>
      </c>
      <c r="I87" s="4">
        <v>1223</v>
      </c>
      <c r="J87" s="9">
        <f>IFERROR(Tabela32[[#This Row],[Valor Frete]]/Tabela32[[#This Row],[Valor Mercadoria]],"")</f>
        <v>6.3327268717962126E-2</v>
      </c>
      <c r="K87" s="11">
        <v>0.30555555555555558</v>
      </c>
      <c r="L87" s="15">
        <v>0.78125</v>
      </c>
      <c r="M87" s="15">
        <f>Tabela32[[#This Row],[Hr Chegada]]-Tabela32[[#This Row],[Hr Saida]]</f>
        <v>0.47569444444444442</v>
      </c>
      <c r="N87" s="4">
        <v>279314</v>
      </c>
      <c r="O87" s="4">
        <v>279422</v>
      </c>
      <c r="P87" s="4">
        <f>Tabela32[[#This Row],[Km Chegada]]-Tabela32[[#This Row],[Km Saída]]</f>
        <v>108</v>
      </c>
      <c r="Q87" s="4">
        <v>155</v>
      </c>
      <c r="R87" s="4">
        <v>23</v>
      </c>
      <c r="S87" s="4">
        <v>20</v>
      </c>
      <c r="T87" s="12">
        <f>Tabela32[[#This Row],[Entregas]]-Tabela32[[#This Row],[Realizadas]]</f>
        <v>3</v>
      </c>
      <c r="U87" s="13">
        <f>Tabela32[[#This Row],[Realizadas]]/Tabela32[[#This Row],[Entregas]]</f>
        <v>0.86956521739130432</v>
      </c>
      <c r="V87" s="14" t="str">
        <f>IF(Tabela32[[#This Row],[% Entrega]]&gt;=96%,"Atendeu a Meta","Não Atendeu a Meta")</f>
        <v>Não Atendeu a Meta</v>
      </c>
      <c r="W87" s="4" t="s">
        <v>39</v>
      </c>
      <c r="X87" s="4">
        <v>3</v>
      </c>
      <c r="Y87" s="5" t="s">
        <v>69</v>
      </c>
    </row>
    <row r="88" spans="1:25" x14ac:dyDescent="0.25">
      <c r="A88" s="8">
        <v>46248</v>
      </c>
      <c r="B88" s="16">
        <f>YEAR(Tabela32[[#This Row],[Data]])</f>
        <v>2026</v>
      </c>
      <c r="C88" s="16">
        <f>MONTH(Tabela32[[#This Row],[Data]])</f>
        <v>8</v>
      </c>
      <c r="D88" s="4" t="s">
        <v>22</v>
      </c>
      <c r="E88" s="4">
        <v>4</v>
      </c>
      <c r="F88" s="4" t="str">
        <f>IFERROR(VLOOKUP(Tabela32[[#This Row],[Placa]],Planilha2!$A$1:$B$12,2,0),"")</f>
        <v>Wesley</v>
      </c>
      <c r="G88" s="10">
        <v>7158.89</v>
      </c>
      <c r="H88" s="10">
        <v>169228.66</v>
      </c>
      <c r="I88" s="4">
        <v>1333</v>
      </c>
      <c r="J88" s="9">
        <f>IFERROR(Tabela32[[#This Row],[Valor Frete]]/Tabela32[[#This Row],[Valor Mercadoria]],"")</f>
        <v>4.2303059068127112E-2</v>
      </c>
      <c r="K88" s="11">
        <v>0.30555555555555558</v>
      </c>
      <c r="L88" s="15">
        <v>0.74305555555555558</v>
      </c>
      <c r="M88" s="15">
        <f>Tabela32[[#This Row],[Hr Chegada]]-Tabela32[[#This Row],[Hr Saida]]</f>
        <v>0.4375</v>
      </c>
      <c r="N88" s="4">
        <v>302940</v>
      </c>
      <c r="O88" s="4">
        <v>303019</v>
      </c>
      <c r="P88" s="4">
        <f>Tabela32[[#This Row],[Km Chegada]]-Tabela32[[#This Row],[Km Saída]]</f>
        <v>79</v>
      </c>
      <c r="Q88" s="4">
        <v>237</v>
      </c>
      <c r="R88" s="4">
        <v>22</v>
      </c>
      <c r="S88" s="4">
        <v>22</v>
      </c>
      <c r="T88" s="12">
        <f>Tabela32[[#This Row],[Entregas]]-Tabela32[[#This Row],[Realizadas]]</f>
        <v>0</v>
      </c>
      <c r="U88" s="13">
        <f>Tabela32[[#This Row],[Realizadas]]/Tabela32[[#This Row],[Entregas]]</f>
        <v>1</v>
      </c>
      <c r="V88" s="14" t="str">
        <f>IF(Tabela32[[#This Row],[% Entrega]]&gt;=96%,"Atendeu a Meta","Não Atendeu a Meta")</f>
        <v>Atendeu a Meta</v>
      </c>
      <c r="W88" s="4" t="s">
        <v>39</v>
      </c>
      <c r="X88" s="4">
        <v>0</v>
      </c>
      <c r="Y88" s="5">
        <v>0</v>
      </c>
    </row>
    <row r="89" spans="1:25" x14ac:dyDescent="0.25">
      <c r="A89" s="8">
        <v>46248</v>
      </c>
      <c r="B89" s="16">
        <f>YEAR(Tabela32[[#This Row],[Data]])</f>
        <v>2026</v>
      </c>
      <c r="C89" s="16">
        <f>MONTH(Tabela32[[#This Row],[Data]])</f>
        <v>8</v>
      </c>
      <c r="D89" s="4" t="s">
        <v>53</v>
      </c>
      <c r="E89" s="4">
        <v>11</v>
      </c>
      <c r="F89" s="4" t="str">
        <f>IFERROR(VLOOKUP(Tabela32[[#This Row],[Placa]],Planilha2!$A$1:$B$12,2,0),"")</f>
        <v>Arnaldo</v>
      </c>
      <c r="G89" s="10">
        <v>14499.96</v>
      </c>
      <c r="H89" s="10">
        <v>338284.13</v>
      </c>
      <c r="I89" s="4">
        <v>2232</v>
      </c>
      <c r="J89" s="9">
        <f>IFERROR(Tabela32[[#This Row],[Valor Frete]]/Tabela32[[#This Row],[Valor Mercadoria]],"")</f>
        <v>4.2863258172944736E-2</v>
      </c>
      <c r="K89" s="11">
        <v>0.25</v>
      </c>
      <c r="L89" s="15">
        <v>0.77777777777777779</v>
      </c>
      <c r="M89" s="15">
        <f>Tabela32[[#This Row],[Hr Chegada]]-Tabela32[[#This Row],[Hr Saida]]</f>
        <v>0.52777777777777779</v>
      </c>
      <c r="N89" s="4">
        <v>12099</v>
      </c>
      <c r="O89" s="4">
        <v>12226</v>
      </c>
      <c r="P89" s="4">
        <f>Tabela32[[#This Row],[Km Chegada]]-Tabela32[[#This Row],[Km Saída]]</f>
        <v>127</v>
      </c>
      <c r="Q89" s="4">
        <v>48</v>
      </c>
      <c r="R89" s="4">
        <v>9</v>
      </c>
      <c r="S89" s="4">
        <v>9</v>
      </c>
      <c r="T89" s="12">
        <f>Tabela32[[#This Row],[Entregas]]-Tabela32[[#This Row],[Realizadas]]</f>
        <v>0</v>
      </c>
      <c r="U89" s="13">
        <f>Tabela32[[#This Row],[Realizadas]]/Tabela32[[#This Row],[Entregas]]</f>
        <v>1</v>
      </c>
      <c r="V89" s="14" t="str">
        <f>IF(Tabela32[[#This Row],[% Entrega]]&gt;=96%,"Atendeu a Meta","Não Atendeu a Meta")</f>
        <v>Atendeu a Meta</v>
      </c>
      <c r="W89" s="4" t="s">
        <v>41</v>
      </c>
      <c r="X89" s="4">
        <v>0</v>
      </c>
      <c r="Y89" s="5">
        <v>0</v>
      </c>
    </row>
    <row r="90" spans="1:25" x14ac:dyDescent="0.25">
      <c r="A90" s="8">
        <v>46248</v>
      </c>
      <c r="B90" s="16">
        <f>YEAR(Tabela32[[#This Row],[Data]])</f>
        <v>2026</v>
      </c>
      <c r="C90" s="16">
        <f>MONTH(Tabela32[[#This Row],[Data]])</f>
        <v>8</v>
      </c>
      <c r="D90" s="4" t="s">
        <v>28</v>
      </c>
      <c r="E90" s="4">
        <v>1</v>
      </c>
      <c r="F90" s="4" t="str">
        <f>IFERROR(VLOOKUP(Tabela32[[#This Row],[Placa]],Planilha2!$A$1:$B$12,2,0),"")</f>
        <v>Edilson</v>
      </c>
      <c r="G90" s="10">
        <v>11679.11</v>
      </c>
      <c r="H90" s="10">
        <v>836250.49</v>
      </c>
      <c r="I90" s="4">
        <v>1540</v>
      </c>
      <c r="J90" s="9">
        <f>IFERROR(Tabela32[[#This Row],[Valor Frete]]/Tabela32[[#This Row],[Valor Mercadoria]],"")</f>
        <v>1.396604263873137E-2</v>
      </c>
      <c r="K90" s="11">
        <v>0.25</v>
      </c>
      <c r="L90" s="15">
        <v>0.75138888888888888</v>
      </c>
      <c r="M90" s="15">
        <f>Tabela32[[#This Row],[Hr Chegada]]-Tabela32[[#This Row],[Hr Saida]]</f>
        <v>0.50138888888888888</v>
      </c>
      <c r="N90" s="4">
        <v>103436</v>
      </c>
      <c r="O90" s="4">
        <v>103478</v>
      </c>
      <c r="P90" s="4">
        <f>Tabela32[[#This Row],[Km Chegada]]-Tabela32[[#This Row],[Km Saída]]</f>
        <v>42</v>
      </c>
      <c r="Q90" s="4">
        <v>87</v>
      </c>
      <c r="R90" s="4">
        <v>8</v>
      </c>
      <c r="S90" s="4">
        <v>8</v>
      </c>
      <c r="T90" s="12">
        <f>Tabela32[[#This Row],[Entregas]]-Tabela32[[#This Row],[Realizadas]]</f>
        <v>0</v>
      </c>
      <c r="U90" s="13">
        <f>Tabela32[[#This Row],[Realizadas]]/Tabela32[[#This Row],[Entregas]]</f>
        <v>1</v>
      </c>
      <c r="V90" s="14" t="str">
        <f>IF(Tabela32[[#This Row],[% Entrega]]&gt;=96%,"Atendeu a Meta","Não Atendeu a Meta")</f>
        <v>Atendeu a Meta</v>
      </c>
      <c r="W90" s="4" t="s">
        <v>40</v>
      </c>
      <c r="X90" s="4">
        <v>0</v>
      </c>
      <c r="Y90" s="5">
        <v>0</v>
      </c>
    </row>
    <row r="91" spans="1:25" x14ac:dyDescent="0.25">
      <c r="A91" s="8">
        <v>46248</v>
      </c>
      <c r="B91" s="16">
        <f>YEAR(Tabela32[[#This Row],[Data]])</f>
        <v>2026</v>
      </c>
      <c r="C91" s="16">
        <f>MONTH(Tabela32[[#This Row],[Data]])</f>
        <v>8</v>
      </c>
      <c r="D91" s="4" t="s">
        <v>27</v>
      </c>
      <c r="E91" s="4">
        <v>3</v>
      </c>
      <c r="F91" s="4" t="str">
        <f>IFERROR(VLOOKUP(Tabela32[[#This Row],[Placa]],Planilha2!$A$1:$B$12,2,0),"")</f>
        <v>Rosinaldo</v>
      </c>
      <c r="G91" s="10">
        <v>6830.4</v>
      </c>
      <c r="H91" s="10">
        <v>91300.7</v>
      </c>
      <c r="I91" s="4">
        <v>1245</v>
      </c>
      <c r="J91" s="9">
        <f>IFERROR(Tabela32[[#This Row],[Valor Frete]]/Tabela32[[#This Row],[Valor Mercadoria]],"")</f>
        <v>7.4812131779931582E-2</v>
      </c>
      <c r="K91" s="11">
        <v>0.30555555555555558</v>
      </c>
      <c r="L91" s="15">
        <v>0.74305555555555558</v>
      </c>
      <c r="M91" s="15">
        <f>Tabela32[[#This Row],[Hr Chegada]]-Tabela32[[#This Row],[Hr Saida]]</f>
        <v>0.4375</v>
      </c>
      <c r="N91" s="4">
        <v>270091</v>
      </c>
      <c r="O91" s="4">
        <v>270160</v>
      </c>
      <c r="P91" s="4">
        <f>Tabela32[[#This Row],[Km Chegada]]-Tabela32[[#This Row],[Km Saída]]</f>
        <v>69</v>
      </c>
      <c r="Q91" s="4">
        <v>211</v>
      </c>
      <c r="R91" s="4">
        <v>20</v>
      </c>
      <c r="S91" s="4">
        <v>20</v>
      </c>
      <c r="T91" s="12">
        <f>Tabela32[[#This Row],[Entregas]]-Tabela32[[#This Row],[Realizadas]]</f>
        <v>0</v>
      </c>
      <c r="U91" s="13">
        <f>Tabela32[[#This Row],[Realizadas]]/Tabela32[[#This Row],[Entregas]]</f>
        <v>1</v>
      </c>
      <c r="V91" s="14" t="str">
        <f>IF(Tabela32[[#This Row],[% Entrega]]&gt;=96%,"Atendeu a Meta","Não Atendeu a Meta")</f>
        <v>Atendeu a Meta</v>
      </c>
      <c r="W91" s="4" t="s">
        <v>39</v>
      </c>
      <c r="X91" s="4">
        <v>1</v>
      </c>
      <c r="Y91" s="5">
        <v>38</v>
      </c>
    </row>
    <row r="92" spans="1:25" x14ac:dyDescent="0.25">
      <c r="A92" s="8">
        <v>46248</v>
      </c>
      <c r="B92" s="16">
        <f>YEAR(Tabela32[[#This Row],[Data]])</f>
        <v>2026</v>
      </c>
      <c r="C92" s="16">
        <f>MONTH(Tabela32[[#This Row],[Data]])</f>
        <v>8</v>
      </c>
      <c r="D92" s="4" t="s">
        <v>25</v>
      </c>
      <c r="E92" s="4">
        <v>1</v>
      </c>
      <c r="F92" s="4" t="str">
        <f>IFERROR(VLOOKUP(Tabela32[[#This Row],[Placa]],Planilha2!$A$1:$B$12,2,0),"")</f>
        <v>Gilberto</v>
      </c>
      <c r="G92" s="10">
        <v>3443.35</v>
      </c>
      <c r="H92" s="10">
        <v>88816.89</v>
      </c>
      <c r="I92" s="4">
        <v>999</v>
      </c>
      <c r="J92" s="9">
        <f>IFERROR(Tabela32[[#This Row],[Valor Frete]]/Tabela32[[#This Row],[Valor Mercadoria]],"")</f>
        <v>3.8769089978268771E-2</v>
      </c>
      <c r="K92" s="11">
        <v>0.29166666666666669</v>
      </c>
      <c r="L92" s="15">
        <v>0.72916666666666663</v>
      </c>
      <c r="M92" s="15">
        <f>Tabela32[[#This Row],[Hr Chegada]]-Tabela32[[#This Row],[Hr Saida]]</f>
        <v>0.43749999999999994</v>
      </c>
      <c r="N92" s="4">
        <v>117886</v>
      </c>
      <c r="O92" s="4">
        <v>117926</v>
      </c>
      <c r="P92" s="4">
        <f>Tabela32[[#This Row],[Km Chegada]]-Tabela32[[#This Row],[Km Saída]]</f>
        <v>40</v>
      </c>
      <c r="Q92" s="4">
        <v>239</v>
      </c>
      <c r="R92" s="4">
        <v>3</v>
      </c>
      <c r="S92" s="4">
        <v>3</v>
      </c>
      <c r="T92" s="12">
        <f>Tabela32[[#This Row],[Entregas]]-Tabela32[[#This Row],[Realizadas]]</f>
        <v>0</v>
      </c>
      <c r="U92" s="13">
        <f>Tabela32[[#This Row],[Realizadas]]/Tabela32[[#This Row],[Entregas]]</f>
        <v>1</v>
      </c>
      <c r="V92" s="14" t="str">
        <f>IF(Tabela32[[#This Row],[% Entrega]]&gt;=96%,"Atendeu a Meta","Não Atendeu a Meta")</f>
        <v>Atendeu a Meta</v>
      </c>
      <c r="W92" s="4" t="s">
        <v>39</v>
      </c>
      <c r="X92" s="4">
        <v>0</v>
      </c>
      <c r="Y92" s="5">
        <v>0</v>
      </c>
    </row>
    <row r="93" spans="1:25" x14ac:dyDescent="0.25">
      <c r="A93" s="8">
        <v>46248</v>
      </c>
      <c r="B93" s="16">
        <f>YEAR(Tabela32[[#This Row],[Data]])</f>
        <v>2026</v>
      </c>
      <c r="C93" s="16">
        <f>MONTH(Tabela32[[#This Row],[Data]])</f>
        <v>8</v>
      </c>
      <c r="D93" s="4" t="s">
        <v>29</v>
      </c>
      <c r="E93" s="4">
        <v>1</v>
      </c>
      <c r="F93" s="4" t="str">
        <f>IFERROR(VLOOKUP(Tabela32[[#This Row],[Placa]],Planilha2!$A$1:$B$12,2,0),"")</f>
        <v>Sandro</v>
      </c>
      <c r="G93" s="10">
        <v>3838.27</v>
      </c>
      <c r="H93" s="10">
        <v>249155.96</v>
      </c>
      <c r="I93" s="4">
        <v>766</v>
      </c>
      <c r="J93" s="9">
        <f>IFERROR(Tabela32[[#This Row],[Valor Frete]]/Tabela32[[#This Row],[Valor Mercadoria]],"")</f>
        <v>1.5405090048819223E-2</v>
      </c>
      <c r="K93" s="11">
        <v>0.29166666666666669</v>
      </c>
      <c r="L93" s="15">
        <v>0.73611111111111116</v>
      </c>
      <c r="M93" s="15">
        <f>Tabela32[[#This Row],[Hr Chegada]]-Tabela32[[#This Row],[Hr Saida]]</f>
        <v>0.44444444444444448</v>
      </c>
      <c r="N93" s="4">
        <v>274120</v>
      </c>
      <c r="O93" s="4">
        <v>274151</v>
      </c>
      <c r="P93" s="4">
        <f>Tabela32[[#This Row],[Km Chegada]]-Tabela32[[#This Row],[Km Saída]]</f>
        <v>31</v>
      </c>
      <c r="Q93" s="4">
        <v>238</v>
      </c>
      <c r="R93" s="4">
        <v>6</v>
      </c>
      <c r="S93" s="4">
        <v>6</v>
      </c>
      <c r="T93" s="12">
        <f>Tabela32[[#This Row],[Entregas]]-Tabela32[[#This Row],[Realizadas]]</f>
        <v>0</v>
      </c>
      <c r="U93" s="13">
        <f>Tabela32[[#This Row],[Realizadas]]/Tabela32[[#This Row],[Entregas]]</f>
        <v>1</v>
      </c>
      <c r="V93" s="14" t="str">
        <f>IF(Tabela32[[#This Row],[% Entrega]]&gt;=96%,"Atendeu a Meta","Não Atendeu a Meta")</f>
        <v>Atendeu a Meta</v>
      </c>
      <c r="W93" s="4" t="s">
        <v>39</v>
      </c>
      <c r="X93" s="4">
        <v>0</v>
      </c>
      <c r="Y93" s="5">
        <v>0</v>
      </c>
    </row>
    <row r="94" spans="1:25" x14ac:dyDescent="0.25">
      <c r="A94" s="8">
        <v>46248</v>
      </c>
      <c r="B94" s="16">
        <f>YEAR(Tabela32[[#This Row],[Data]])</f>
        <v>2026</v>
      </c>
      <c r="C94" s="16">
        <f>MONTH(Tabela32[[#This Row],[Data]])</f>
        <v>8</v>
      </c>
      <c r="D94" s="4" t="s">
        <v>33</v>
      </c>
      <c r="E94" s="4">
        <v>1</v>
      </c>
      <c r="F94" s="4" t="str">
        <f>IFERROR(VLOOKUP(Tabela32[[#This Row],[Placa]],Planilha2!$A$1:$B$12,2,0),"")</f>
        <v>Paulo</v>
      </c>
      <c r="G94" s="10">
        <v>3065.33</v>
      </c>
      <c r="H94" s="10">
        <v>154957.76999999999</v>
      </c>
      <c r="I94" s="4">
        <v>487</v>
      </c>
      <c r="J94" s="9">
        <f>IFERROR(Tabela32[[#This Row],[Valor Frete]]/Tabela32[[#This Row],[Valor Mercadoria]],"")</f>
        <v>1.9781712140023697E-2</v>
      </c>
      <c r="K94" s="11">
        <v>0.29166666666666669</v>
      </c>
      <c r="L94" s="15">
        <v>0.60416666666666663</v>
      </c>
      <c r="M94" s="15">
        <f>Tabela32[[#This Row],[Hr Chegada]]-Tabela32[[#This Row],[Hr Saida]]</f>
        <v>0.31249999999999994</v>
      </c>
      <c r="N94" s="4">
        <v>153930</v>
      </c>
      <c r="O94" s="4">
        <v>153980</v>
      </c>
      <c r="P94" s="4">
        <f>Tabela32[[#This Row],[Km Chegada]]-Tabela32[[#This Row],[Km Saída]]</f>
        <v>50</v>
      </c>
      <c r="Q94" s="4">
        <v>3</v>
      </c>
      <c r="R94" s="4">
        <v>3</v>
      </c>
      <c r="S94" s="4">
        <v>3</v>
      </c>
      <c r="T94" s="12">
        <f>Tabela32[[#This Row],[Entregas]]-Tabela32[[#This Row],[Realizadas]]</f>
        <v>0</v>
      </c>
      <c r="U94" s="13">
        <f>Tabela32[[#This Row],[Realizadas]]/Tabela32[[#This Row],[Entregas]]</f>
        <v>1</v>
      </c>
      <c r="V94" s="14" t="str">
        <f>IF(Tabela32[[#This Row],[% Entrega]]&gt;=96%,"Atendeu a Meta","Não Atendeu a Meta")</f>
        <v>Atendeu a Meta</v>
      </c>
      <c r="W94" s="4" t="s">
        <v>40</v>
      </c>
      <c r="X94" s="4">
        <v>0</v>
      </c>
      <c r="Y94" s="5">
        <v>0</v>
      </c>
    </row>
    <row r="95" spans="1:25" x14ac:dyDescent="0.25">
      <c r="A95" s="8">
        <v>46251</v>
      </c>
      <c r="B95" s="16">
        <f>YEAR(Tabela32[[#This Row],[Data]])</f>
        <v>2026</v>
      </c>
      <c r="C95" s="16">
        <f>MONTH(Tabela32[[#This Row],[Data]])</f>
        <v>8</v>
      </c>
      <c r="D95" s="4" t="s">
        <v>53</v>
      </c>
      <c r="E95" s="4">
        <v>4</v>
      </c>
      <c r="F95" s="4" t="str">
        <f>IFERROR(VLOOKUP(Tabela32[[#This Row],[Placa]],Planilha2!$A$1:$B$12,2,0),"")</f>
        <v>Arnaldo</v>
      </c>
      <c r="G95" s="10">
        <v>12467.2</v>
      </c>
      <c r="H95" s="10">
        <v>206725.72</v>
      </c>
      <c r="I95" s="4">
        <v>2674</v>
      </c>
      <c r="J95" s="9">
        <f>IFERROR(Tabela32[[#This Row],[Valor Frete]]/Tabela32[[#This Row],[Valor Mercadoria]],"")</f>
        <v>6.0307928786026241E-2</v>
      </c>
      <c r="K95" s="11">
        <v>0.27083333333333331</v>
      </c>
      <c r="L95" s="15">
        <v>0.79513888888888884</v>
      </c>
      <c r="M95" s="15">
        <f>Tabela32[[#This Row],[Hr Chegada]]-Tabela32[[#This Row],[Hr Saida]]</f>
        <v>0.52430555555555558</v>
      </c>
      <c r="N95" s="4">
        <v>12226</v>
      </c>
      <c r="O95" s="4">
        <v>12296</v>
      </c>
      <c r="P95" s="4">
        <f>Tabela32[[#This Row],[Km Chegada]]-Tabela32[[#This Row],[Km Saída]]</f>
        <v>70</v>
      </c>
      <c r="Q95" s="4">
        <v>318</v>
      </c>
      <c r="R95" s="4">
        <v>26</v>
      </c>
      <c r="S95" s="4">
        <v>26</v>
      </c>
      <c r="T95" s="12">
        <f>Tabela32[[#This Row],[Entregas]]-Tabela32[[#This Row],[Realizadas]]</f>
        <v>0</v>
      </c>
      <c r="U95" s="13">
        <f>Tabela32[[#This Row],[Realizadas]]/Tabela32[[#This Row],[Entregas]]</f>
        <v>1</v>
      </c>
      <c r="V95" s="14" t="str">
        <f>IF(Tabela32[[#This Row],[% Entrega]]&gt;=96%,"Atendeu a Meta","Não Atendeu a Meta")</f>
        <v>Atendeu a Meta</v>
      </c>
      <c r="W95" s="4" t="s">
        <v>39</v>
      </c>
      <c r="X95" s="4">
        <v>0</v>
      </c>
      <c r="Y95" s="5">
        <v>0</v>
      </c>
    </row>
    <row r="96" spans="1:25" x14ac:dyDescent="0.25">
      <c r="A96" s="8">
        <v>46251</v>
      </c>
      <c r="B96" s="16">
        <f>YEAR(Tabela32[[#This Row],[Data]])</f>
        <v>2026</v>
      </c>
      <c r="C96" s="16">
        <f>MONTH(Tabela32[[#This Row],[Data]])</f>
        <v>8</v>
      </c>
      <c r="D96" s="4" t="s">
        <v>33</v>
      </c>
      <c r="E96" s="4">
        <v>1</v>
      </c>
      <c r="F96" s="4" t="str">
        <f>IFERROR(VLOOKUP(Tabela32[[#This Row],[Placa]],Planilha2!$A$1:$B$12,2,0),"")</f>
        <v>Paulo</v>
      </c>
      <c r="G96" s="10">
        <v>1414.74</v>
      </c>
      <c r="H96" s="10">
        <v>19675.72</v>
      </c>
      <c r="I96" s="4">
        <v>168</v>
      </c>
      <c r="J96" s="9">
        <f>IFERROR(Tabela32[[#This Row],[Valor Frete]]/Tabela32[[#This Row],[Valor Mercadoria]],"")</f>
        <v>7.1902832526586066E-2</v>
      </c>
      <c r="K96" s="11">
        <v>0.29166666666666669</v>
      </c>
      <c r="L96" s="15">
        <v>0.71319444444444446</v>
      </c>
      <c r="M96" s="15">
        <f>Tabela32[[#This Row],[Hr Chegada]]-Tabela32[[#This Row],[Hr Saida]]</f>
        <v>0.42152777777777778</v>
      </c>
      <c r="N96" s="4">
        <v>154010</v>
      </c>
      <c r="O96" s="4">
        <v>154047</v>
      </c>
      <c r="P96" s="4">
        <f>Tabela32[[#This Row],[Km Chegada]]-Tabela32[[#This Row],[Km Saída]]</f>
        <v>37</v>
      </c>
      <c r="Q96" s="4">
        <v>21</v>
      </c>
      <c r="R96" s="4">
        <v>5</v>
      </c>
      <c r="S96" s="4">
        <v>5</v>
      </c>
      <c r="T96" s="12">
        <f>Tabela32[[#This Row],[Entregas]]-Tabela32[[#This Row],[Realizadas]]</f>
        <v>0</v>
      </c>
      <c r="U96" s="13">
        <f>Tabela32[[#This Row],[Realizadas]]/Tabela32[[#This Row],[Entregas]]</f>
        <v>1</v>
      </c>
      <c r="V96" s="14" t="str">
        <f>IF(Tabela32[[#This Row],[% Entrega]]&gt;=96%,"Atendeu a Meta","Não Atendeu a Meta")</f>
        <v>Atendeu a Meta</v>
      </c>
      <c r="W96" s="4" t="s">
        <v>63</v>
      </c>
      <c r="X96" s="4">
        <v>0</v>
      </c>
      <c r="Y96" s="5">
        <v>0</v>
      </c>
    </row>
    <row r="97" spans="1:25" x14ac:dyDescent="0.25">
      <c r="A97" s="8">
        <v>46251</v>
      </c>
      <c r="B97" s="16">
        <f>YEAR(Tabela32[[#This Row],[Data]])</f>
        <v>2026</v>
      </c>
      <c r="C97" s="16">
        <f>MONTH(Tabela32[[#This Row],[Data]])</f>
        <v>8</v>
      </c>
      <c r="D97" s="4" t="s">
        <v>27</v>
      </c>
      <c r="E97" s="4">
        <v>1</v>
      </c>
      <c r="F97" s="4" t="str">
        <f>IFERROR(VLOOKUP(Tabela32[[#This Row],[Placa]],Planilha2!$A$1:$B$12,2,0),"")</f>
        <v>Rosinaldo</v>
      </c>
      <c r="G97" s="10">
        <v>8731.2199999999993</v>
      </c>
      <c r="H97" s="10">
        <v>97372.43</v>
      </c>
      <c r="I97" s="4">
        <v>1226</v>
      </c>
      <c r="J97" s="9">
        <f>IFERROR(Tabela32[[#This Row],[Valor Frete]]/Tabela32[[#This Row],[Valor Mercadoria]],"")</f>
        <v>8.966829727880879E-2</v>
      </c>
      <c r="K97" s="11">
        <v>0.30555555555555558</v>
      </c>
      <c r="L97" s="15">
        <v>0.75694444444444442</v>
      </c>
      <c r="M97" s="15">
        <f>Tabela32[[#This Row],[Hr Chegada]]-Tabela32[[#This Row],[Hr Saida]]</f>
        <v>0.45138888888888884</v>
      </c>
      <c r="N97" s="4">
        <v>290160</v>
      </c>
      <c r="O97" s="4">
        <v>290216</v>
      </c>
      <c r="P97" s="4">
        <f>Tabela32[[#This Row],[Km Chegada]]-Tabela32[[#This Row],[Km Saída]]</f>
        <v>56</v>
      </c>
      <c r="Q97" s="4">
        <v>251</v>
      </c>
      <c r="R97" s="4">
        <v>12</v>
      </c>
      <c r="S97" s="4">
        <v>12</v>
      </c>
      <c r="T97" s="12">
        <f>Tabela32[[#This Row],[Entregas]]-Tabela32[[#This Row],[Realizadas]]</f>
        <v>0</v>
      </c>
      <c r="U97" s="13">
        <f>Tabela32[[#This Row],[Realizadas]]/Tabela32[[#This Row],[Entregas]]</f>
        <v>1</v>
      </c>
      <c r="V97" s="14" t="str">
        <f>IF(Tabela32[[#This Row],[% Entrega]]&gt;=96%,"Atendeu a Meta","Não Atendeu a Meta")</f>
        <v>Atendeu a Meta</v>
      </c>
      <c r="W97" s="4" t="s">
        <v>43</v>
      </c>
      <c r="X97" s="4">
        <v>3</v>
      </c>
      <c r="Y97" s="5">
        <v>8</v>
      </c>
    </row>
    <row r="98" spans="1:25" x14ac:dyDescent="0.25">
      <c r="A98" s="8">
        <v>46251</v>
      </c>
      <c r="B98" s="16">
        <f>YEAR(Tabela32[[#This Row],[Data]])</f>
        <v>2026</v>
      </c>
      <c r="C98" s="16">
        <f>MONTH(Tabela32[[#This Row],[Data]])</f>
        <v>8</v>
      </c>
      <c r="D98" s="4" t="s">
        <v>29</v>
      </c>
      <c r="E98" s="4">
        <v>11</v>
      </c>
      <c r="F98" s="4" t="str">
        <f>IFERROR(VLOOKUP(Tabela32[[#This Row],[Placa]],Planilha2!$A$1:$B$12,2,0),"")</f>
        <v>Sandro</v>
      </c>
      <c r="G98" s="10">
        <v>9371.58</v>
      </c>
      <c r="H98" s="10">
        <v>129112.22</v>
      </c>
      <c r="I98" s="4">
        <v>1696</v>
      </c>
      <c r="J98" s="9">
        <f>IFERROR(Tabela32[[#This Row],[Valor Frete]]/Tabela32[[#This Row],[Valor Mercadoria]],"")</f>
        <v>7.2584763858912812E-2</v>
      </c>
      <c r="K98" s="11">
        <v>0.25</v>
      </c>
      <c r="L98" s="15">
        <v>0.79861111111111116</v>
      </c>
      <c r="M98" s="15">
        <f>Tabela32[[#This Row],[Hr Chegada]]-Tabela32[[#This Row],[Hr Saida]]</f>
        <v>0.54861111111111116</v>
      </c>
      <c r="N98" s="4">
        <v>274171</v>
      </c>
      <c r="O98" s="4">
        <v>274288</v>
      </c>
      <c r="P98" s="4">
        <f>Tabela32[[#This Row],[Km Chegada]]-Tabela32[[#This Row],[Km Saída]]</f>
        <v>117</v>
      </c>
      <c r="Q98" s="4">
        <v>111</v>
      </c>
      <c r="R98" s="4">
        <v>23</v>
      </c>
      <c r="S98" s="4">
        <v>23</v>
      </c>
      <c r="T98" s="12">
        <f>Tabela32[[#This Row],[Entregas]]-Tabela32[[#This Row],[Realizadas]]</f>
        <v>0</v>
      </c>
      <c r="U98" s="13">
        <f>Tabela32[[#This Row],[Realizadas]]/Tabela32[[#This Row],[Entregas]]</f>
        <v>1</v>
      </c>
      <c r="V98" s="14" t="str">
        <f>IF(Tabela32[[#This Row],[% Entrega]]&gt;=96%,"Atendeu a Meta","Não Atendeu a Meta")</f>
        <v>Atendeu a Meta</v>
      </c>
      <c r="W98" s="4" t="s">
        <v>41</v>
      </c>
      <c r="X98" s="4">
        <v>0</v>
      </c>
      <c r="Y98" s="5">
        <v>0</v>
      </c>
    </row>
    <row r="99" spans="1:25" x14ac:dyDescent="0.25">
      <c r="A99" s="8">
        <v>46251</v>
      </c>
      <c r="B99" s="16">
        <f>YEAR(Tabela32[[#This Row],[Data]])</f>
        <v>2026</v>
      </c>
      <c r="C99" s="16">
        <f>MONTH(Tabela32[[#This Row],[Data]])</f>
        <v>8</v>
      </c>
      <c r="D99" s="4" t="s">
        <v>28</v>
      </c>
      <c r="E99" s="4">
        <v>1</v>
      </c>
      <c r="F99" s="4" t="str">
        <f>IFERROR(VLOOKUP(Tabela32[[#This Row],[Placa]],Planilha2!$A$1:$B$12,2,0),"")</f>
        <v>Edilson</v>
      </c>
      <c r="G99" s="10">
        <v>13727.72</v>
      </c>
      <c r="H99" s="10">
        <v>302941.99</v>
      </c>
      <c r="I99" s="4">
        <v>1917</v>
      </c>
      <c r="J99" s="9">
        <f>IFERROR(Tabela32[[#This Row],[Valor Frete]]/Tabela32[[#This Row],[Valor Mercadoria]],"")</f>
        <v>4.5314682193775775E-2</v>
      </c>
      <c r="K99" s="11">
        <v>0.29166666666666669</v>
      </c>
      <c r="L99" s="15">
        <v>0.77083333333333337</v>
      </c>
      <c r="M99" s="15">
        <f>Tabela32[[#This Row],[Hr Chegada]]-Tabela32[[#This Row],[Hr Saida]]</f>
        <v>0.47916666666666669</v>
      </c>
      <c r="N99" s="4">
        <v>103436</v>
      </c>
      <c r="O99" s="4">
        <v>103460</v>
      </c>
      <c r="P99" s="4">
        <f>Tabela32[[#This Row],[Km Chegada]]-Tabela32[[#This Row],[Km Saída]]</f>
        <v>24</v>
      </c>
      <c r="Q99" s="4">
        <v>954</v>
      </c>
      <c r="R99" s="4">
        <v>12</v>
      </c>
      <c r="S99" s="4">
        <v>12</v>
      </c>
      <c r="T99" s="12">
        <f>Tabela32[[#This Row],[Entregas]]-Tabela32[[#This Row],[Realizadas]]</f>
        <v>0</v>
      </c>
      <c r="U99" s="13">
        <f>Tabela32[[#This Row],[Realizadas]]/Tabela32[[#This Row],[Entregas]]</f>
        <v>1</v>
      </c>
      <c r="V99" s="14" t="str">
        <f>IF(Tabela32[[#This Row],[% Entrega]]&gt;=96%,"Atendeu a Meta","Não Atendeu a Meta")</f>
        <v>Atendeu a Meta</v>
      </c>
      <c r="W99" s="4" t="s">
        <v>39</v>
      </c>
      <c r="X99" s="4">
        <v>0</v>
      </c>
      <c r="Y99" s="5">
        <v>0</v>
      </c>
    </row>
    <row r="100" spans="1:25" x14ac:dyDescent="0.25">
      <c r="A100" s="8">
        <v>46251</v>
      </c>
      <c r="B100" s="16">
        <f>YEAR(Tabela32[[#This Row],[Data]])</f>
        <v>2026</v>
      </c>
      <c r="C100" s="16">
        <f>MONTH(Tabela32[[#This Row],[Data]])</f>
        <v>8</v>
      </c>
      <c r="D100" s="4" t="s">
        <v>35</v>
      </c>
      <c r="E100" s="4">
        <v>1</v>
      </c>
      <c r="F100" s="4" t="str">
        <f>IFERROR(VLOOKUP(Tabela32[[#This Row],[Placa]],Planilha2!$A$1:$B$12,2,0),"")</f>
        <v>Osvaldo</v>
      </c>
      <c r="G100" s="10">
        <v>8590.7999999999993</v>
      </c>
      <c r="H100" s="10">
        <v>130505.5</v>
      </c>
      <c r="I100" s="4">
        <v>1513</v>
      </c>
      <c r="J100" s="9">
        <f>IFERROR(Tabela32[[#This Row],[Valor Frete]]/Tabela32[[#This Row],[Valor Mercadoria]],"")</f>
        <v>6.5827110734796607E-2</v>
      </c>
      <c r="K100" s="11">
        <v>0.29166666666666669</v>
      </c>
      <c r="L100" s="15">
        <v>0.78125</v>
      </c>
      <c r="M100" s="15">
        <f>Tabela32[[#This Row],[Hr Chegada]]-Tabela32[[#This Row],[Hr Saida]]</f>
        <v>0.48958333333333331</v>
      </c>
      <c r="N100" s="4">
        <v>141412</v>
      </c>
      <c r="O100" s="4">
        <v>141515</v>
      </c>
      <c r="P100" s="4">
        <f>Tabela32[[#This Row],[Km Chegada]]-Tabela32[[#This Row],[Km Saída]]</f>
        <v>103</v>
      </c>
      <c r="Q100" s="4">
        <v>327</v>
      </c>
      <c r="R100" s="4">
        <v>21</v>
      </c>
      <c r="S100" s="4">
        <v>20</v>
      </c>
      <c r="T100" s="12">
        <f>Tabela32[[#This Row],[Entregas]]-Tabela32[[#This Row],[Realizadas]]</f>
        <v>1</v>
      </c>
      <c r="U100" s="13">
        <f>Tabela32[[#This Row],[Realizadas]]/Tabela32[[#This Row],[Entregas]]</f>
        <v>0.95238095238095233</v>
      </c>
      <c r="V100" s="14" t="str">
        <f>IF(Tabela32[[#This Row],[% Entrega]]&gt;=96%,"Atendeu a Meta","Não Atendeu a Meta")</f>
        <v>Não Atendeu a Meta</v>
      </c>
      <c r="W100" s="4" t="s">
        <v>43</v>
      </c>
      <c r="X100" s="4">
        <v>1</v>
      </c>
      <c r="Y100" s="5">
        <v>13</v>
      </c>
    </row>
    <row r="101" spans="1:25" x14ac:dyDescent="0.25">
      <c r="A101" s="8">
        <v>46251</v>
      </c>
      <c r="B101" s="16">
        <f>YEAR(Tabela32[[#This Row],[Data]])</f>
        <v>2026</v>
      </c>
      <c r="C101" s="16">
        <f>MONTH(Tabela32[[#This Row],[Data]])</f>
        <v>8</v>
      </c>
      <c r="D101" s="4" t="s">
        <v>22</v>
      </c>
      <c r="E101" s="4">
        <v>3</v>
      </c>
      <c r="F101" s="4" t="str">
        <f>IFERROR(VLOOKUP(Tabela32[[#This Row],[Placa]],Planilha2!$A$1:$B$12,2,0),"")</f>
        <v>Wesley</v>
      </c>
      <c r="G101" s="10">
        <v>7088.01</v>
      </c>
      <c r="H101" s="10">
        <v>135271.22</v>
      </c>
      <c r="I101" s="4">
        <v>796</v>
      </c>
      <c r="J101" s="9">
        <f>IFERROR(Tabela32[[#This Row],[Valor Frete]]/Tabela32[[#This Row],[Valor Mercadoria]],"")</f>
        <v>5.2398507236055089E-2</v>
      </c>
      <c r="K101" s="11">
        <v>0.29166666666666669</v>
      </c>
      <c r="L101" s="15">
        <v>0.76388888888888884</v>
      </c>
      <c r="M101" s="15">
        <f>Tabela32[[#This Row],[Hr Chegada]]-Tabela32[[#This Row],[Hr Saida]]</f>
        <v>0.47222222222222215</v>
      </c>
      <c r="N101" s="4">
        <v>303019</v>
      </c>
      <c r="O101" s="4">
        <v>303081</v>
      </c>
      <c r="P101" s="4">
        <f>Tabela32[[#This Row],[Km Chegada]]-Tabela32[[#This Row],[Km Saída]]</f>
        <v>62</v>
      </c>
      <c r="Q101" s="4">
        <v>168</v>
      </c>
      <c r="R101" s="4">
        <v>17</v>
      </c>
      <c r="S101" s="4">
        <v>17</v>
      </c>
      <c r="T101" s="12">
        <f>Tabela32[[#This Row],[Entregas]]-Tabela32[[#This Row],[Realizadas]]</f>
        <v>0</v>
      </c>
      <c r="U101" s="13">
        <f>Tabela32[[#This Row],[Realizadas]]/Tabela32[[#This Row],[Entregas]]</f>
        <v>1</v>
      </c>
      <c r="V101" s="14" t="str">
        <f>IF(Tabela32[[#This Row],[% Entrega]]&gt;=96%,"Atendeu a Meta","Não Atendeu a Meta")</f>
        <v>Atendeu a Meta</v>
      </c>
      <c r="W101" s="4" t="s">
        <v>39</v>
      </c>
      <c r="X101" s="4">
        <v>0</v>
      </c>
      <c r="Y101" s="5">
        <v>0</v>
      </c>
    </row>
    <row r="102" spans="1:25" x14ac:dyDescent="0.25">
      <c r="A102" s="8">
        <v>46251</v>
      </c>
      <c r="B102" s="16">
        <f>YEAR(Tabela32[[#This Row],[Data]])</f>
        <v>2026</v>
      </c>
      <c r="C102" s="16">
        <f>MONTH(Tabela32[[#This Row],[Data]])</f>
        <v>8</v>
      </c>
      <c r="D102" s="4" t="s">
        <v>25</v>
      </c>
      <c r="E102" s="4">
        <v>5</v>
      </c>
      <c r="F102" s="4" t="str">
        <f>IFERROR(VLOOKUP(Tabela32[[#This Row],[Placa]],Planilha2!$A$1:$B$12,2,0),"")</f>
        <v>Gilberto</v>
      </c>
      <c r="G102" s="10">
        <v>6420.79</v>
      </c>
      <c r="H102" s="10">
        <v>126316.72</v>
      </c>
      <c r="I102" s="4">
        <v>1373</v>
      </c>
      <c r="J102" s="9">
        <f>IFERROR(Tabela32[[#This Row],[Valor Frete]]/Tabela32[[#This Row],[Valor Mercadoria]],"")</f>
        <v>5.0830879712519449E-2</v>
      </c>
      <c r="K102" s="11">
        <v>0.3125</v>
      </c>
      <c r="L102" s="15">
        <v>0.72222222222222221</v>
      </c>
      <c r="M102" s="15">
        <f>Tabela32[[#This Row],[Hr Chegada]]-Tabela32[[#This Row],[Hr Saida]]</f>
        <v>0.40972222222222221</v>
      </c>
      <c r="N102" s="4">
        <v>117926</v>
      </c>
      <c r="O102" s="4">
        <v>118030</v>
      </c>
      <c r="P102" s="4">
        <f>Tabela32[[#This Row],[Km Chegada]]-Tabela32[[#This Row],[Km Saída]]</f>
        <v>104</v>
      </c>
      <c r="Q102" s="4">
        <v>178</v>
      </c>
      <c r="R102" s="4">
        <v>21</v>
      </c>
      <c r="S102" s="4">
        <v>21</v>
      </c>
      <c r="T102" s="12">
        <f>Tabela32[[#This Row],[Entregas]]-Tabela32[[#This Row],[Realizadas]]</f>
        <v>0</v>
      </c>
      <c r="U102" s="13">
        <f>Tabela32[[#This Row],[Realizadas]]/Tabela32[[#This Row],[Entregas]]</f>
        <v>1</v>
      </c>
      <c r="V102" s="14" t="str">
        <f>IF(Tabela32[[#This Row],[% Entrega]]&gt;=96%,"Atendeu a Meta","Não Atendeu a Meta")</f>
        <v>Atendeu a Meta</v>
      </c>
      <c r="W102" s="4" t="s">
        <v>39</v>
      </c>
      <c r="X102" s="4">
        <v>0</v>
      </c>
      <c r="Y102" s="5">
        <v>0</v>
      </c>
    </row>
    <row r="103" spans="1:25" x14ac:dyDescent="0.25">
      <c r="A103" s="8">
        <v>46251</v>
      </c>
      <c r="B103" s="16">
        <f>YEAR(Tabela32[[#This Row],[Data]])</f>
        <v>2026</v>
      </c>
      <c r="C103" s="16">
        <f>MONTH(Tabela32[[#This Row],[Data]])</f>
        <v>8</v>
      </c>
      <c r="D103" s="4" t="s">
        <v>23</v>
      </c>
      <c r="E103" s="4">
        <v>11</v>
      </c>
      <c r="F103" s="4" t="str">
        <f>IFERROR(VLOOKUP(Tabela32[[#This Row],[Placa]],Planilha2!$A$1:$B$12,2,0),"")</f>
        <v>William</v>
      </c>
      <c r="G103" s="10">
        <v>8907.3799999999992</v>
      </c>
      <c r="H103" s="10">
        <v>156529.39000000001</v>
      </c>
      <c r="I103" s="4">
        <v>1950</v>
      </c>
      <c r="J103" s="9">
        <f>IFERROR(Tabela32[[#This Row],[Valor Frete]]/Tabela32[[#This Row],[Valor Mercadoria]],"")</f>
        <v>5.690547953965705E-2</v>
      </c>
      <c r="K103" s="11">
        <v>0.25</v>
      </c>
      <c r="L103" s="15">
        <v>0.70833333333333337</v>
      </c>
      <c r="M103" s="15">
        <f>Tabela32[[#This Row],[Hr Chegada]]-Tabela32[[#This Row],[Hr Saida]]</f>
        <v>0.45833333333333337</v>
      </c>
      <c r="N103" s="4">
        <v>123852</v>
      </c>
      <c r="O103" s="4">
        <v>124001</v>
      </c>
      <c r="P103" s="4">
        <f>Tabela32[[#This Row],[Km Chegada]]-Tabela32[[#This Row],[Km Saída]]</f>
        <v>149</v>
      </c>
      <c r="Q103" s="4">
        <v>326</v>
      </c>
      <c r="R103" s="4">
        <v>14</v>
      </c>
      <c r="S103" s="4">
        <v>14</v>
      </c>
      <c r="T103" s="12">
        <f>Tabela32[[#This Row],[Entregas]]-Tabela32[[#This Row],[Realizadas]]</f>
        <v>0</v>
      </c>
      <c r="U103" s="13">
        <f>Tabela32[[#This Row],[Realizadas]]/Tabela32[[#This Row],[Entregas]]</f>
        <v>1</v>
      </c>
      <c r="V103" s="14" t="str">
        <f>IF(Tabela32[[#This Row],[% Entrega]]&gt;=96%,"Atendeu a Meta","Não Atendeu a Meta")</f>
        <v>Atendeu a Meta</v>
      </c>
      <c r="W103" s="4" t="s">
        <v>41</v>
      </c>
      <c r="X103" s="4">
        <v>0</v>
      </c>
      <c r="Y103" s="5">
        <v>0</v>
      </c>
    </row>
    <row r="104" spans="1:25" x14ac:dyDescent="0.25">
      <c r="A104" s="8">
        <v>46251</v>
      </c>
      <c r="B104" s="16">
        <f>YEAR(Tabela32[[#This Row],[Data]])</f>
        <v>2026</v>
      </c>
      <c r="C104" s="16">
        <f>MONTH(Tabela32[[#This Row],[Data]])</f>
        <v>8</v>
      </c>
      <c r="D104" s="4" t="s">
        <v>31</v>
      </c>
      <c r="E104" s="4">
        <v>1</v>
      </c>
      <c r="F104" s="4" t="str">
        <f>IFERROR(VLOOKUP(Tabela32[[#This Row],[Placa]],Planilha2!$A$1:$B$12,2,0),"")</f>
        <v>Jerson</v>
      </c>
      <c r="G104" s="10">
        <v>594.54999999999995</v>
      </c>
      <c r="H104" s="10">
        <v>8970</v>
      </c>
      <c r="I104" s="4">
        <v>12</v>
      </c>
      <c r="J104" s="9">
        <f>IFERROR(Tabela32[[#This Row],[Valor Frete]]/Tabela32[[#This Row],[Valor Mercadoria]],"")</f>
        <v>6.628205128205128E-2</v>
      </c>
      <c r="K104" s="11">
        <v>0.25</v>
      </c>
      <c r="L104" s="15">
        <v>0.72222222222222221</v>
      </c>
      <c r="M104" s="15">
        <f>Tabela32[[#This Row],[Hr Chegada]]-Tabela32[[#This Row],[Hr Saida]]</f>
        <v>0.47222222222222221</v>
      </c>
      <c r="N104" s="4">
        <v>279422</v>
      </c>
      <c r="O104" s="4">
        <v>279465</v>
      </c>
      <c r="P104" s="4">
        <f>Tabela32[[#This Row],[Km Chegada]]-Tabela32[[#This Row],[Km Saída]]</f>
        <v>43</v>
      </c>
      <c r="Q104" s="4">
        <v>5</v>
      </c>
      <c r="R104" s="4">
        <v>1</v>
      </c>
      <c r="S104" s="4">
        <v>1</v>
      </c>
      <c r="T104" s="12">
        <f>Tabela32[[#This Row],[Entregas]]-Tabela32[[#This Row],[Realizadas]]</f>
        <v>0</v>
      </c>
      <c r="U104" s="13">
        <f>Tabela32[[#This Row],[Realizadas]]/Tabela32[[#This Row],[Entregas]]</f>
        <v>1</v>
      </c>
      <c r="V104" s="14" t="str">
        <f>IF(Tabela32[[#This Row],[% Entrega]]&gt;=96%,"Atendeu a Meta","Não Atendeu a Meta")</f>
        <v>Atendeu a Meta</v>
      </c>
      <c r="W104" s="4" t="s">
        <v>40</v>
      </c>
      <c r="X104" s="4">
        <v>0</v>
      </c>
      <c r="Y104" s="5">
        <v>0</v>
      </c>
    </row>
    <row r="105" spans="1:25" x14ac:dyDescent="0.25">
      <c r="A105" s="8">
        <v>46251</v>
      </c>
      <c r="B105" s="16">
        <f>YEAR(Tabela32[[#This Row],[Data]])</f>
        <v>2026</v>
      </c>
      <c r="C105" s="16">
        <f>MONTH(Tabela32[[#This Row],[Data]])</f>
        <v>8</v>
      </c>
      <c r="D105" s="4" t="s">
        <v>33</v>
      </c>
      <c r="E105" s="4">
        <v>1</v>
      </c>
      <c r="F105" s="4" t="str">
        <f>IFERROR(VLOOKUP(Tabela32[[#This Row],[Placa]],Planilha2!$A$1:$B$12,2,0),"")</f>
        <v>Paulo</v>
      </c>
      <c r="G105" s="10">
        <v>766.59</v>
      </c>
      <c r="H105" s="10">
        <v>47250.12</v>
      </c>
      <c r="I105" s="4">
        <v>54</v>
      </c>
      <c r="J105" s="9">
        <f>IFERROR(Tabela32[[#This Row],[Valor Frete]]/Tabela32[[#This Row],[Valor Mercadoria]],"")</f>
        <v>1.6224085780099606E-2</v>
      </c>
      <c r="K105" s="11">
        <v>0.43055555555555558</v>
      </c>
      <c r="L105" s="15">
        <v>0.47222222222222221</v>
      </c>
      <c r="M105" s="15">
        <f>Tabela32[[#This Row],[Hr Chegada]]-Tabela32[[#This Row],[Hr Saida]]</f>
        <v>4.166666666666663E-2</v>
      </c>
      <c r="N105" s="4">
        <v>153980</v>
      </c>
      <c r="O105" s="4">
        <v>154010</v>
      </c>
      <c r="P105" s="4">
        <f>Tabela32[[#This Row],[Km Chegada]]-Tabela32[[#This Row],[Km Saída]]</f>
        <v>30</v>
      </c>
      <c r="Q105" s="4">
        <v>21</v>
      </c>
      <c r="R105" s="4">
        <v>1</v>
      </c>
      <c r="S105" s="4">
        <v>1</v>
      </c>
      <c r="T105" s="12">
        <f>Tabela32[[#This Row],[Entregas]]-Tabela32[[#This Row],[Realizadas]]</f>
        <v>0</v>
      </c>
      <c r="U105" s="13">
        <f>Tabela32[[#This Row],[Realizadas]]/Tabela32[[#This Row],[Entregas]]</f>
        <v>1</v>
      </c>
      <c r="V105" s="14" t="str">
        <f>IF(Tabela32[[#This Row],[% Entrega]]&gt;=96%,"Atendeu a Meta","Não Atendeu a Meta")</f>
        <v>Atendeu a Meta</v>
      </c>
      <c r="W105" s="4" t="s">
        <v>40</v>
      </c>
      <c r="X105" s="4">
        <v>0</v>
      </c>
      <c r="Y105" s="5">
        <v>0</v>
      </c>
    </row>
    <row r="106" spans="1:25" x14ac:dyDescent="0.25">
      <c r="A106" s="8">
        <v>46252</v>
      </c>
      <c r="B106" s="16">
        <f>YEAR(Tabela32[[#This Row],[Data]])</f>
        <v>2026</v>
      </c>
      <c r="C106" s="16">
        <f>MONTH(Tabela32[[#This Row],[Data]])</f>
        <v>8</v>
      </c>
      <c r="D106" s="4" t="s">
        <v>29</v>
      </c>
      <c r="E106" s="4">
        <v>11</v>
      </c>
      <c r="F106" s="4" t="str">
        <f>IFERROR(VLOOKUP(Tabela32[[#This Row],[Placa]],Planilha2!$A$1:$B$12,2,0),"")</f>
        <v>Sandro</v>
      </c>
      <c r="G106" s="10">
        <v>5034.3</v>
      </c>
      <c r="H106" s="10">
        <v>94735.22</v>
      </c>
      <c r="I106" s="4">
        <v>638</v>
      </c>
      <c r="J106" s="17">
        <f>IFERROR(Tabela32[[#This Row],[Valor Frete]]/Tabela32[[#This Row],[Valor Mercadoria]],"")</f>
        <v>5.314074322094782E-2</v>
      </c>
      <c r="K106" s="11">
        <v>0.25</v>
      </c>
      <c r="L106" s="15">
        <v>0.66249999999999998</v>
      </c>
      <c r="M106" s="15">
        <f>Tabela32[[#This Row],[Hr Chegada]]-Tabela32[[#This Row],[Hr Saida]]</f>
        <v>0.41249999999999998</v>
      </c>
      <c r="N106" s="4">
        <v>274288</v>
      </c>
      <c r="O106" s="4">
        <v>274431</v>
      </c>
      <c r="P106" s="4">
        <f>Tabela32[[#This Row],[Km Chegada]]-Tabela32[[#This Row],[Km Saída]]</f>
        <v>143</v>
      </c>
      <c r="Q106" s="4">
        <v>162</v>
      </c>
      <c r="R106" s="4">
        <v>10</v>
      </c>
      <c r="S106" s="4">
        <v>10</v>
      </c>
      <c r="T106" s="12">
        <f>Tabela32[[#This Row],[Entregas]]-Tabela32[[#This Row],[Realizadas]]</f>
        <v>0</v>
      </c>
      <c r="U106" s="18">
        <f>Tabela32[[#This Row],[Realizadas]]/Tabela32[[#This Row],[Entregas]]</f>
        <v>1</v>
      </c>
      <c r="V106" s="19" t="str">
        <f>IF(Tabela32[[#This Row],[% Entrega]]&gt;=96%,"Atendeu a Meta","Não Atendeu a Meta")</f>
        <v>Atendeu a Meta</v>
      </c>
      <c r="W106" s="4" t="s">
        <v>41</v>
      </c>
      <c r="X106" s="4">
        <v>1</v>
      </c>
      <c r="Y106" s="5">
        <v>38</v>
      </c>
    </row>
    <row r="107" spans="1:25" x14ac:dyDescent="0.25">
      <c r="A107" s="8">
        <v>46252</v>
      </c>
      <c r="B107" s="16">
        <f>YEAR(Tabela32[[#This Row],[Data]])</f>
        <v>2026</v>
      </c>
      <c r="C107" s="16">
        <f>MONTH(Tabela32[[#This Row],[Data]])</f>
        <v>8</v>
      </c>
      <c r="D107" s="4" t="s">
        <v>35</v>
      </c>
      <c r="E107" s="4">
        <v>1</v>
      </c>
      <c r="F107" s="4" t="str">
        <f>IFERROR(VLOOKUP(Tabela32[[#This Row],[Placa]],Planilha2!$A$1:$B$12,2,0),"")</f>
        <v>Osvaldo</v>
      </c>
      <c r="G107" s="10">
        <v>9312.91</v>
      </c>
      <c r="H107" s="10">
        <v>151403.81</v>
      </c>
      <c r="I107" s="4">
        <v>1578</v>
      </c>
      <c r="J107" s="17">
        <f>IFERROR(Tabela32[[#This Row],[Valor Frete]]/Tabela32[[#This Row],[Valor Mercadoria]],"")</f>
        <v>6.1510407168749587E-2</v>
      </c>
      <c r="K107" s="11">
        <v>0.29166666666666669</v>
      </c>
      <c r="L107" s="15">
        <v>0.72222222222222221</v>
      </c>
      <c r="M107" s="15">
        <f>Tabela32[[#This Row],[Hr Chegada]]-Tabela32[[#This Row],[Hr Saida]]</f>
        <v>0.43055555555555552</v>
      </c>
      <c r="N107" s="4">
        <v>141515</v>
      </c>
      <c r="O107" s="4">
        <v>141651</v>
      </c>
      <c r="P107" s="4">
        <f>Tabela32[[#This Row],[Km Chegada]]-Tabela32[[#This Row],[Km Saída]]</f>
        <v>136</v>
      </c>
      <c r="Q107" s="4">
        <v>97</v>
      </c>
      <c r="R107" s="4">
        <v>26</v>
      </c>
      <c r="S107" s="4">
        <v>26</v>
      </c>
      <c r="T107" s="12">
        <f>Tabela32[[#This Row],[Entregas]]-Tabela32[[#This Row],[Realizadas]]</f>
        <v>0</v>
      </c>
      <c r="U107" s="18">
        <f>Tabela32[[#This Row],[Realizadas]]/Tabela32[[#This Row],[Entregas]]</f>
        <v>1</v>
      </c>
      <c r="V107" s="19" t="str">
        <f>IF(Tabela32[[#This Row],[% Entrega]]&gt;=96%,"Atendeu a Meta","Não Atendeu a Meta")</f>
        <v>Atendeu a Meta</v>
      </c>
      <c r="W107" s="4" t="s">
        <v>40</v>
      </c>
      <c r="X107" s="4">
        <v>2</v>
      </c>
      <c r="Y107" s="5">
        <v>42.1</v>
      </c>
    </row>
    <row r="108" spans="1:25" x14ac:dyDescent="0.25">
      <c r="A108" s="8">
        <v>46252</v>
      </c>
      <c r="B108" s="16">
        <f>YEAR(Tabela32[[#This Row],[Data]])</f>
        <v>2026</v>
      </c>
      <c r="C108" s="16">
        <f>MONTH(Tabela32[[#This Row],[Data]])</f>
        <v>8</v>
      </c>
      <c r="D108" s="4" t="s">
        <v>23</v>
      </c>
      <c r="E108" s="4">
        <v>4</v>
      </c>
      <c r="F108" s="4" t="str">
        <f>IFERROR(VLOOKUP(Tabela32[[#This Row],[Placa]],Planilha2!$A$1:$B$12,2,0),"")</f>
        <v>William</v>
      </c>
      <c r="G108" s="10">
        <v>5003.6899999999996</v>
      </c>
      <c r="H108" s="10">
        <v>108954.02</v>
      </c>
      <c r="I108" s="4">
        <v>902</v>
      </c>
      <c r="J108" s="17">
        <f>IFERROR(Tabela32[[#This Row],[Valor Frete]]/Tabela32[[#This Row],[Valor Mercadoria]],"")</f>
        <v>4.5924785519616436E-2</v>
      </c>
      <c r="K108" s="11">
        <v>0.29166666666666669</v>
      </c>
      <c r="L108" s="15">
        <v>0.71527777777777779</v>
      </c>
      <c r="M108" s="15">
        <f>Tabela32[[#This Row],[Hr Chegada]]-Tabela32[[#This Row],[Hr Saida]]</f>
        <v>0.4236111111111111</v>
      </c>
      <c r="N108" s="4">
        <v>124001</v>
      </c>
      <c r="O108" s="4">
        <v>124044</v>
      </c>
      <c r="P108" s="4">
        <f>Tabela32[[#This Row],[Km Chegada]]-Tabela32[[#This Row],[Km Saída]]</f>
        <v>43</v>
      </c>
      <c r="Q108" s="4">
        <v>171</v>
      </c>
      <c r="R108" s="4">
        <v>16</v>
      </c>
      <c r="S108" s="4">
        <v>16</v>
      </c>
      <c r="T108" s="12">
        <f>Tabela32[[#This Row],[Entregas]]-Tabela32[[#This Row],[Realizadas]]</f>
        <v>0</v>
      </c>
      <c r="U108" s="18">
        <f>Tabela32[[#This Row],[Realizadas]]/Tabela32[[#This Row],[Entregas]]</f>
        <v>1</v>
      </c>
      <c r="V108" s="19" t="str">
        <f>IF(Tabela32[[#This Row],[% Entrega]]&gt;=96%,"Atendeu a Meta","Não Atendeu a Meta")</f>
        <v>Atendeu a Meta</v>
      </c>
      <c r="W108" s="4" t="s">
        <v>39</v>
      </c>
      <c r="X108" s="4">
        <v>0</v>
      </c>
      <c r="Y108" s="5">
        <v>0</v>
      </c>
    </row>
    <row r="109" spans="1:25" x14ac:dyDescent="0.25">
      <c r="A109" s="8">
        <v>46252</v>
      </c>
      <c r="B109" s="16">
        <f>YEAR(Tabela32[[#This Row],[Data]])</f>
        <v>2026</v>
      </c>
      <c r="C109" s="16">
        <f>MONTH(Tabela32[[#This Row],[Data]])</f>
        <v>8</v>
      </c>
      <c r="D109" s="4" t="s">
        <v>27</v>
      </c>
      <c r="E109" s="4">
        <v>1</v>
      </c>
      <c r="F109" s="4" t="str">
        <f>IFERROR(VLOOKUP(Tabela32[[#This Row],[Placa]],Planilha2!$A$1:$B$12,2,0),"")</f>
        <v>Rosinaldo</v>
      </c>
      <c r="G109" s="10">
        <v>6107.34</v>
      </c>
      <c r="H109" s="10">
        <v>220201.19</v>
      </c>
      <c r="I109" s="4">
        <v>619</v>
      </c>
      <c r="J109" s="17">
        <f>IFERROR(Tabela32[[#This Row],[Valor Frete]]/Tabela32[[#This Row],[Valor Mercadoria]],"")</f>
        <v>2.773527245697446E-2</v>
      </c>
      <c r="K109" s="11">
        <v>0.29166666666666669</v>
      </c>
      <c r="L109" s="15">
        <v>0.75694444444444442</v>
      </c>
      <c r="M109" s="15">
        <f>Tabela32[[#This Row],[Hr Chegada]]-Tabela32[[#This Row],[Hr Saida]]</f>
        <v>0.46527777777777773</v>
      </c>
      <c r="N109" s="4">
        <v>290216</v>
      </c>
      <c r="O109" s="4">
        <v>290259</v>
      </c>
      <c r="P109" s="4">
        <f>Tabela32[[#This Row],[Km Chegada]]-Tabela32[[#This Row],[Km Saída]]</f>
        <v>43</v>
      </c>
      <c r="Q109" s="4">
        <v>263</v>
      </c>
      <c r="R109" s="4">
        <v>6</v>
      </c>
      <c r="S109" s="4">
        <v>6</v>
      </c>
      <c r="T109" s="12">
        <f>Tabela32[[#This Row],[Entregas]]-Tabela32[[#This Row],[Realizadas]]</f>
        <v>0</v>
      </c>
      <c r="U109" s="18">
        <f>Tabela32[[#This Row],[Realizadas]]/Tabela32[[#This Row],[Entregas]]</f>
        <v>1</v>
      </c>
      <c r="V109" s="19" t="str">
        <f>IF(Tabela32[[#This Row],[% Entrega]]&gt;=96%,"Atendeu a Meta","Não Atendeu a Meta")</f>
        <v>Atendeu a Meta</v>
      </c>
      <c r="W109" s="4" t="s">
        <v>40</v>
      </c>
      <c r="X109" s="4">
        <v>0</v>
      </c>
      <c r="Y109" s="5">
        <v>0</v>
      </c>
    </row>
    <row r="110" spans="1:25" x14ac:dyDescent="0.25">
      <c r="A110" s="8">
        <v>46252</v>
      </c>
      <c r="B110" s="16">
        <f>YEAR(Tabela32[[#This Row],[Data]])</f>
        <v>2026</v>
      </c>
      <c r="C110" s="16">
        <f>MONTH(Tabela32[[#This Row],[Data]])</f>
        <v>8</v>
      </c>
      <c r="D110" s="4" t="s">
        <v>22</v>
      </c>
      <c r="E110" s="4">
        <v>3</v>
      </c>
      <c r="F110" s="4" t="str">
        <f>IFERROR(VLOOKUP(Tabela32[[#This Row],[Placa]],Planilha2!$A$1:$B$12,2,0),"")</f>
        <v>Wesley</v>
      </c>
      <c r="G110" s="10">
        <v>8968.25</v>
      </c>
      <c r="H110" s="10">
        <v>121071.14</v>
      </c>
      <c r="I110" s="4">
        <v>1152</v>
      </c>
      <c r="J110" s="17">
        <f>IFERROR(Tabela32[[#This Row],[Valor Frete]]/Tabela32[[#This Row],[Valor Mercadoria]],"")</f>
        <v>7.4074217852413055E-2</v>
      </c>
      <c r="K110" s="11">
        <v>0.29166666666666669</v>
      </c>
      <c r="L110" s="15">
        <v>0.77083333333333337</v>
      </c>
      <c r="M110" s="15">
        <f>Tabela32[[#This Row],[Hr Chegada]]-Tabela32[[#This Row],[Hr Saida]]</f>
        <v>0.47916666666666669</v>
      </c>
      <c r="N110" s="4">
        <v>303081</v>
      </c>
      <c r="O110" s="4">
        <v>303134</v>
      </c>
      <c r="P110" s="4">
        <f>Tabela32[[#This Row],[Km Chegada]]-Tabela32[[#This Row],[Km Saída]]</f>
        <v>53</v>
      </c>
      <c r="Q110" s="4">
        <v>168</v>
      </c>
      <c r="R110" s="4">
        <v>20</v>
      </c>
      <c r="S110" s="4">
        <v>20</v>
      </c>
      <c r="T110" s="12">
        <f>Tabela32[[#This Row],[Entregas]]-Tabela32[[#This Row],[Realizadas]]</f>
        <v>0</v>
      </c>
      <c r="U110" s="18">
        <f>Tabela32[[#This Row],[Realizadas]]/Tabela32[[#This Row],[Entregas]]</f>
        <v>1</v>
      </c>
      <c r="V110" s="19" t="str">
        <f>IF(Tabela32[[#This Row],[% Entrega]]&gt;=96%,"Atendeu a Meta","Não Atendeu a Meta")</f>
        <v>Atendeu a Meta</v>
      </c>
      <c r="W110" s="4" t="s">
        <v>39</v>
      </c>
      <c r="X110" s="4">
        <v>0</v>
      </c>
      <c r="Y110" s="5">
        <v>0</v>
      </c>
    </row>
    <row r="111" spans="1:25" x14ac:dyDescent="0.25">
      <c r="A111" s="8">
        <v>46252</v>
      </c>
      <c r="B111" s="16">
        <f>YEAR(Tabela32[[#This Row],[Data]])</f>
        <v>2026</v>
      </c>
      <c r="C111" s="16">
        <f>MONTH(Tabela32[[#This Row],[Data]])</f>
        <v>8</v>
      </c>
      <c r="D111" s="4" t="s">
        <v>53</v>
      </c>
      <c r="E111" s="4">
        <v>2</v>
      </c>
      <c r="F111" s="4" t="str">
        <f>IFERROR(VLOOKUP(Tabela32[[#This Row],[Placa]],Planilha2!$A$1:$B$12,2,0),"")</f>
        <v>Arnaldo</v>
      </c>
      <c r="G111" s="10">
        <v>13448.98</v>
      </c>
      <c r="H111" s="10">
        <v>203621.83</v>
      </c>
      <c r="I111" s="4">
        <v>2812</v>
      </c>
      <c r="J111" s="17">
        <f>IFERROR(Tabela32[[#This Row],[Valor Frete]]/Tabela32[[#This Row],[Valor Mercadoria]],"")</f>
        <v>6.6048812153392394E-2</v>
      </c>
      <c r="K111" s="11">
        <v>0.29166666666666669</v>
      </c>
      <c r="L111" s="15">
        <v>0.70833333333333337</v>
      </c>
      <c r="M111" s="15">
        <f>Tabela32[[#This Row],[Hr Chegada]]-Tabela32[[#This Row],[Hr Saida]]</f>
        <v>0.41666666666666669</v>
      </c>
      <c r="N111" s="4">
        <v>12296</v>
      </c>
      <c r="O111" s="4">
        <v>12350</v>
      </c>
      <c r="P111" s="4">
        <f>Tabela32[[#This Row],[Km Chegada]]-Tabela32[[#This Row],[Km Saída]]</f>
        <v>54</v>
      </c>
      <c r="Q111" s="4">
        <v>345</v>
      </c>
      <c r="R111" s="4">
        <v>18</v>
      </c>
      <c r="S111" s="4">
        <v>18</v>
      </c>
      <c r="T111" s="12">
        <f>Tabela32[[#This Row],[Entregas]]-Tabela32[[#This Row],[Realizadas]]</f>
        <v>0</v>
      </c>
      <c r="U111" s="18">
        <f>Tabela32[[#This Row],[Realizadas]]/Tabela32[[#This Row],[Entregas]]</f>
        <v>1</v>
      </c>
      <c r="V111" s="19" t="str">
        <f>IF(Tabela32[[#This Row],[% Entrega]]&gt;=96%,"Atendeu a Meta","Não Atendeu a Meta")</f>
        <v>Atendeu a Meta</v>
      </c>
      <c r="W111" s="4" t="s">
        <v>39</v>
      </c>
      <c r="X111" s="4">
        <v>2</v>
      </c>
      <c r="Y111" s="5">
        <v>38</v>
      </c>
    </row>
    <row r="112" spans="1:25" x14ac:dyDescent="0.25">
      <c r="A112" s="8">
        <v>46252</v>
      </c>
      <c r="B112" s="16">
        <f>YEAR(Tabela32[[#This Row],[Data]])</f>
        <v>2026</v>
      </c>
      <c r="C112" s="16">
        <f>MONTH(Tabela32[[#This Row],[Data]])</f>
        <v>8</v>
      </c>
      <c r="D112" s="4" t="s">
        <v>28</v>
      </c>
      <c r="E112" s="4">
        <v>11</v>
      </c>
      <c r="F112" s="4" t="str">
        <f>IFERROR(VLOOKUP(Tabela32[[#This Row],[Placa]],Planilha2!$A$1:$B$12,2,0),"")</f>
        <v>Edilson</v>
      </c>
      <c r="G112" s="10">
        <v>16015.07</v>
      </c>
      <c r="H112" s="10">
        <v>218177.17</v>
      </c>
      <c r="I112" s="4">
        <v>4279</v>
      </c>
      <c r="J112" s="17">
        <f>IFERROR(Tabela32[[#This Row],[Valor Frete]]/Tabela32[[#This Row],[Valor Mercadoria]],"")</f>
        <v>7.340396797703444E-2</v>
      </c>
      <c r="K112" s="11">
        <v>0.25</v>
      </c>
      <c r="L112" s="15">
        <v>0.71111111111111114</v>
      </c>
      <c r="M112" s="15">
        <f>Tabela32[[#This Row],[Hr Chegada]]-Tabela32[[#This Row],[Hr Saida]]</f>
        <v>0.46111111111111114</v>
      </c>
      <c r="N112" s="4">
        <v>103560</v>
      </c>
      <c r="O112" s="4">
        <v>103696</v>
      </c>
      <c r="P112" s="4">
        <f>Tabela32[[#This Row],[Km Chegada]]-Tabela32[[#This Row],[Km Saída]]</f>
        <v>136</v>
      </c>
      <c r="Q112" s="4">
        <v>299</v>
      </c>
      <c r="R112" s="4">
        <v>24</v>
      </c>
      <c r="S112" s="4">
        <v>24</v>
      </c>
      <c r="T112" s="12">
        <f>Tabela32[[#This Row],[Entregas]]-Tabela32[[#This Row],[Realizadas]]</f>
        <v>0</v>
      </c>
      <c r="U112" s="18">
        <f>Tabela32[[#This Row],[Realizadas]]/Tabela32[[#This Row],[Entregas]]</f>
        <v>1</v>
      </c>
      <c r="V112" s="19" t="str">
        <f>IF(Tabela32[[#This Row],[% Entrega]]&gt;=96%,"Atendeu a Meta","Não Atendeu a Meta")</f>
        <v>Atendeu a Meta</v>
      </c>
      <c r="W112" s="4" t="s">
        <v>41</v>
      </c>
      <c r="X112" s="4">
        <v>4</v>
      </c>
      <c r="Y112" s="5">
        <v>38</v>
      </c>
    </row>
    <row r="113" spans="1:25" x14ac:dyDescent="0.25">
      <c r="A113" s="8">
        <v>46252</v>
      </c>
      <c r="B113" s="16">
        <f>YEAR(Tabela32[[#This Row],[Data]])</f>
        <v>2026</v>
      </c>
      <c r="C113" s="16">
        <f>MONTH(Tabela32[[#This Row],[Data]])</f>
        <v>8</v>
      </c>
      <c r="D113" s="4" t="s">
        <v>25</v>
      </c>
      <c r="E113" s="4">
        <v>5</v>
      </c>
      <c r="F113" s="4" t="str">
        <f>IFERROR(VLOOKUP(Tabela32[[#This Row],[Placa]],Planilha2!$A$1:$B$12,2,0),"")</f>
        <v>Gilberto</v>
      </c>
      <c r="G113" s="10">
        <v>6269.27</v>
      </c>
      <c r="H113" s="10">
        <v>193795.68</v>
      </c>
      <c r="I113" s="4">
        <v>1326</v>
      </c>
      <c r="J113" s="17">
        <f>IFERROR(Tabela32[[#This Row],[Valor Frete]]/Tabela32[[#This Row],[Valor Mercadoria]],"")</f>
        <v>3.2349895518826839E-2</v>
      </c>
      <c r="K113" s="11">
        <v>0.29166666666666669</v>
      </c>
      <c r="L113" s="15">
        <v>0.70972222222222225</v>
      </c>
      <c r="M113" s="15">
        <f>Tabela32[[#This Row],[Hr Chegada]]-Tabela32[[#This Row],[Hr Saida]]</f>
        <v>0.41805555555555557</v>
      </c>
      <c r="N113" s="4">
        <v>118030</v>
      </c>
      <c r="O113" s="4">
        <v>118116</v>
      </c>
      <c r="P113" s="4">
        <f>Tabela32[[#This Row],[Km Chegada]]-Tabela32[[#This Row],[Km Saída]]</f>
        <v>86</v>
      </c>
      <c r="Q113" s="4">
        <v>110</v>
      </c>
      <c r="R113" s="4">
        <v>27</v>
      </c>
      <c r="S113" s="4">
        <v>27</v>
      </c>
      <c r="T113" s="12">
        <f>Tabela32[[#This Row],[Entregas]]-Tabela32[[#This Row],[Realizadas]]</f>
        <v>0</v>
      </c>
      <c r="U113" s="18">
        <f>Tabela32[[#This Row],[Realizadas]]/Tabela32[[#This Row],[Entregas]]</f>
        <v>1</v>
      </c>
      <c r="V113" s="19" t="str">
        <f>IF(Tabela32[[#This Row],[% Entrega]]&gt;=96%,"Atendeu a Meta","Não Atendeu a Meta")</f>
        <v>Atendeu a Meta</v>
      </c>
      <c r="W113" s="4" t="s">
        <v>39</v>
      </c>
      <c r="X113" s="4">
        <v>0</v>
      </c>
      <c r="Y113" s="5">
        <v>0</v>
      </c>
    </row>
    <row r="114" spans="1:25" x14ac:dyDescent="0.25">
      <c r="A114" s="8">
        <v>46252</v>
      </c>
      <c r="B114" s="16">
        <f>YEAR(Tabela32[[#This Row],[Data]])</f>
        <v>2026</v>
      </c>
      <c r="C114" s="16">
        <f>MONTH(Tabela32[[#This Row],[Data]])</f>
        <v>8</v>
      </c>
      <c r="D114" s="4" t="s">
        <v>33</v>
      </c>
      <c r="E114" s="4">
        <v>1</v>
      </c>
      <c r="F114" s="4" t="str">
        <f>IFERROR(VLOOKUP(Tabela32[[#This Row],[Placa]],Planilha2!$A$1:$B$12,2,0),"")</f>
        <v>Paulo</v>
      </c>
      <c r="G114" s="10">
        <v>1959.35</v>
      </c>
      <c r="H114" s="10">
        <v>24688.86</v>
      </c>
      <c r="I114" s="4">
        <v>251</v>
      </c>
      <c r="J114" s="17">
        <f>IFERROR(Tabela32[[#This Row],[Valor Frete]]/Tabela32[[#This Row],[Valor Mercadoria]],"")</f>
        <v>7.9361704023596061E-2</v>
      </c>
      <c r="K114" s="11">
        <v>0.29166666666666669</v>
      </c>
      <c r="L114" s="15">
        <v>0.66666666666666663</v>
      </c>
      <c r="M114" s="15">
        <f>Tabela32[[#This Row],[Hr Chegada]]-Tabela32[[#This Row],[Hr Saida]]</f>
        <v>0.37499999999999994</v>
      </c>
      <c r="N114" s="4">
        <v>154047</v>
      </c>
      <c r="O114" s="4">
        <v>154091</v>
      </c>
      <c r="P114" s="4">
        <f>Tabela32[[#This Row],[Km Chegada]]-Tabela32[[#This Row],[Km Saída]]</f>
        <v>44</v>
      </c>
      <c r="Q114" s="4">
        <v>75</v>
      </c>
      <c r="R114" s="4">
        <v>3</v>
      </c>
      <c r="S114" s="4">
        <v>3</v>
      </c>
      <c r="T114" s="12">
        <f>Tabela32[[#This Row],[Entregas]]-Tabela32[[#This Row],[Realizadas]]</f>
        <v>0</v>
      </c>
      <c r="U114" s="18">
        <f>Tabela32[[#This Row],[Realizadas]]/Tabela32[[#This Row],[Entregas]]</f>
        <v>1</v>
      </c>
      <c r="V114" s="19" t="str">
        <f>IF(Tabela32[[#This Row],[% Entrega]]&gt;=96%,"Atendeu a Meta","Não Atendeu a Meta")</f>
        <v>Atendeu a Meta</v>
      </c>
      <c r="W114" s="4" t="s">
        <v>43</v>
      </c>
      <c r="X114" s="4">
        <v>0</v>
      </c>
      <c r="Y114" s="5">
        <v>0</v>
      </c>
    </row>
    <row r="115" spans="1:25" x14ac:dyDescent="0.25">
      <c r="A115" s="8">
        <v>46253</v>
      </c>
      <c r="B115" s="16">
        <f>YEAR(Tabela32[[#This Row],[Data]])</f>
        <v>2026</v>
      </c>
      <c r="C115" s="16">
        <f>MONTH(Tabela32[[#This Row],[Data]])</f>
        <v>8</v>
      </c>
      <c r="D115" s="4" t="s">
        <v>22</v>
      </c>
      <c r="E115" s="4">
        <v>2</v>
      </c>
      <c r="F115" s="4" t="str">
        <f>IFERROR(VLOOKUP(Tabela32[[#This Row],[Placa]],Planilha2!$A$1:$B$12,2,0),"")</f>
        <v>Wesley</v>
      </c>
      <c r="G115" s="10">
        <v>6952.52</v>
      </c>
      <c r="H115" s="10">
        <v>192915.32</v>
      </c>
      <c r="I115" s="4">
        <v>1241</v>
      </c>
      <c r="J115" s="17">
        <f>IFERROR(Tabela32[[#This Row],[Valor Frete]]/Tabela32[[#This Row],[Valor Mercadoria]],"")</f>
        <v>3.6039232135633398E-2</v>
      </c>
      <c r="K115" s="11">
        <v>0.29166666666666669</v>
      </c>
      <c r="L115" s="15">
        <v>0.75</v>
      </c>
      <c r="M115" s="15">
        <f>Tabela32[[#This Row],[Hr Chegada]]-Tabela32[[#This Row],[Hr Saida]]</f>
        <v>0.45833333333333331</v>
      </c>
      <c r="N115" s="4">
        <v>303134</v>
      </c>
      <c r="O115" s="4">
        <v>303230</v>
      </c>
      <c r="P115" s="4">
        <f>Tabela32[[#This Row],[Km Chegada]]-Tabela32[[#This Row],[Km Saída]]</f>
        <v>96</v>
      </c>
      <c r="Q115" s="4">
        <v>213</v>
      </c>
      <c r="R115" s="4">
        <v>23</v>
      </c>
      <c r="S115" s="4">
        <v>23</v>
      </c>
      <c r="T115" s="12">
        <f>Tabela32[[#This Row],[Entregas]]-Tabela32[[#This Row],[Realizadas]]</f>
        <v>0</v>
      </c>
      <c r="U115" s="18">
        <f>Tabela32[[#This Row],[Realizadas]]/Tabela32[[#This Row],[Entregas]]</f>
        <v>1</v>
      </c>
      <c r="V115" s="19" t="str">
        <f>IF(Tabela32[[#This Row],[% Entrega]]&gt;=96%,"Atendeu a Meta","Não Atendeu a Meta")</f>
        <v>Atendeu a Meta</v>
      </c>
      <c r="W115" s="4" t="s">
        <v>39</v>
      </c>
      <c r="X115" s="4">
        <v>0</v>
      </c>
      <c r="Y115" s="5">
        <v>0</v>
      </c>
    </row>
    <row r="116" spans="1:25" x14ac:dyDescent="0.25">
      <c r="A116" s="8">
        <v>46253</v>
      </c>
      <c r="B116" s="16">
        <f>YEAR(Tabela32[[#This Row],[Data]])</f>
        <v>2026</v>
      </c>
      <c r="C116" s="16">
        <f>MONTH(Tabela32[[#This Row],[Data]])</f>
        <v>8</v>
      </c>
      <c r="D116" s="4" t="s">
        <v>33</v>
      </c>
      <c r="E116" s="4">
        <v>1</v>
      </c>
      <c r="F116" s="4" t="str">
        <f>IFERROR(VLOOKUP(Tabela32[[#This Row],[Placa]],Planilha2!$A$1:$B$12,2,0),"")</f>
        <v>Paulo</v>
      </c>
      <c r="G116" s="10">
        <v>677.17</v>
      </c>
      <c r="H116" s="10">
        <v>22770.12</v>
      </c>
      <c r="I116" s="4">
        <v>39</v>
      </c>
      <c r="J116" s="17">
        <f>IFERROR(Tabela32[[#This Row],[Valor Frete]]/Tabela32[[#This Row],[Valor Mercadoria]],"")</f>
        <v>2.9739412879686185E-2</v>
      </c>
      <c r="K116" s="11">
        <v>0.29166666666666669</v>
      </c>
      <c r="L116" s="15">
        <v>0.43402777777777779</v>
      </c>
      <c r="M116" s="15">
        <f>Tabela32[[#This Row],[Hr Chegada]]-Tabela32[[#This Row],[Hr Saida]]</f>
        <v>0.1423611111111111</v>
      </c>
      <c r="N116" s="4">
        <v>454091</v>
      </c>
      <c r="O116" s="4">
        <v>454122</v>
      </c>
      <c r="P116" s="4">
        <f>Tabela32[[#This Row],[Km Chegada]]-Tabela32[[#This Row],[Km Saída]]</f>
        <v>31</v>
      </c>
      <c r="Q116" s="4">
        <v>15</v>
      </c>
      <c r="R116" s="4">
        <v>1</v>
      </c>
      <c r="S116" s="4">
        <v>1</v>
      </c>
      <c r="T116" s="12">
        <f>Tabela32[[#This Row],[Entregas]]-Tabela32[[#This Row],[Realizadas]]</f>
        <v>0</v>
      </c>
      <c r="U116" s="18">
        <f>Tabela32[[#This Row],[Realizadas]]/Tabela32[[#This Row],[Entregas]]</f>
        <v>1</v>
      </c>
      <c r="V116" s="19" t="str">
        <f>IF(Tabela32[[#This Row],[% Entrega]]&gt;=96%,"Atendeu a Meta","Não Atendeu a Meta")</f>
        <v>Atendeu a Meta</v>
      </c>
      <c r="W116" s="4" t="s">
        <v>40</v>
      </c>
      <c r="X116" s="4">
        <v>0</v>
      </c>
      <c r="Y116" s="5">
        <v>0</v>
      </c>
    </row>
    <row r="117" spans="1:25" x14ac:dyDescent="0.25">
      <c r="A117" s="8">
        <v>46253</v>
      </c>
      <c r="B117" s="16">
        <f>YEAR(Tabela32[[#This Row],[Data]])</f>
        <v>2026</v>
      </c>
      <c r="C117" s="16">
        <f>MONTH(Tabela32[[#This Row],[Data]])</f>
        <v>8</v>
      </c>
      <c r="D117" s="4" t="s">
        <v>35</v>
      </c>
      <c r="E117" s="4">
        <v>1</v>
      </c>
      <c r="F117" s="4" t="str">
        <f>IFERROR(VLOOKUP(Tabela32[[#This Row],[Placa]],Planilha2!$A$1:$B$12,2,0),"")</f>
        <v>Osvaldo</v>
      </c>
      <c r="G117" s="10">
        <v>2289.52</v>
      </c>
      <c r="H117" s="10">
        <v>121897.1</v>
      </c>
      <c r="I117" s="4">
        <v>196</v>
      </c>
      <c r="J117" s="17">
        <f>IFERROR(Tabela32[[#This Row],[Valor Frete]]/Tabela32[[#This Row],[Valor Mercadoria]],"")</f>
        <v>1.8782399253140559E-2</v>
      </c>
      <c r="K117" s="11">
        <v>0.29166666666666669</v>
      </c>
      <c r="L117" s="15">
        <v>0.60972222222222228</v>
      </c>
      <c r="M117" s="15">
        <f>Tabela32[[#This Row],[Hr Chegada]]-Tabela32[[#This Row],[Hr Saida]]</f>
        <v>0.31805555555555559</v>
      </c>
      <c r="N117" s="4">
        <v>141658</v>
      </c>
      <c r="O117" s="4">
        <v>141687</v>
      </c>
      <c r="P117" s="4">
        <f>Tabela32[[#This Row],[Km Chegada]]-Tabela32[[#This Row],[Km Saída]]</f>
        <v>29</v>
      </c>
      <c r="Q117" s="4">
        <v>64</v>
      </c>
      <c r="R117" s="4">
        <v>2</v>
      </c>
      <c r="S117" s="4">
        <v>2</v>
      </c>
      <c r="T117" s="12">
        <f>Tabela32[[#This Row],[Entregas]]-Tabela32[[#This Row],[Realizadas]]</f>
        <v>0</v>
      </c>
      <c r="U117" s="18">
        <f>Tabela32[[#This Row],[Realizadas]]/Tabela32[[#This Row],[Entregas]]</f>
        <v>1</v>
      </c>
      <c r="V117" s="19" t="str">
        <f>IF(Tabela32[[#This Row],[% Entrega]]&gt;=96%,"Atendeu a Meta","Não Atendeu a Meta")</f>
        <v>Atendeu a Meta</v>
      </c>
      <c r="W117" s="4" t="s">
        <v>40</v>
      </c>
      <c r="X117" s="4">
        <v>0</v>
      </c>
      <c r="Y117" s="5">
        <v>0</v>
      </c>
    </row>
    <row r="118" spans="1:25" x14ac:dyDescent="0.25">
      <c r="A118" s="8">
        <v>46253</v>
      </c>
      <c r="B118" s="16">
        <f>YEAR(Tabela32[[#This Row],[Data]])</f>
        <v>2026</v>
      </c>
      <c r="C118" s="16">
        <f>MONTH(Tabela32[[#This Row],[Data]])</f>
        <v>8</v>
      </c>
      <c r="D118" s="4" t="s">
        <v>23</v>
      </c>
      <c r="E118" s="4">
        <v>5</v>
      </c>
      <c r="F118" s="4" t="str">
        <f>IFERROR(VLOOKUP(Tabela32[[#This Row],[Placa]],Planilha2!$A$1:$B$12,2,0),"")</f>
        <v>William</v>
      </c>
      <c r="G118" s="10">
        <v>5043.58</v>
      </c>
      <c r="H118" s="10">
        <v>73083.77</v>
      </c>
      <c r="I118" s="4">
        <v>579</v>
      </c>
      <c r="J118" s="17">
        <f>IFERROR(Tabela32[[#This Row],[Valor Frete]]/Tabela32[[#This Row],[Valor Mercadoria]],"")</f>
        <v>6.9010944564025636E-2</v>
      </c>
      <c r="K118" s="11">
        <v>0.29166666666666669</v>
      </c>
      <c r="L118" s="15">
        <v>0.69444444444444442</v>
      </c>
      <c r="M118" s="15">
        <f>Tabela32[[#This Row],[Hr Chegada]]-Tabela32[[#This Row],[Hr Saida]]</f>
        <v>0.40277777777777773</v>
      </c>
      <c r="N118" s="4">
        <v>124054</v>
      </c>
      <c r="O118" s="4">
        <v>124126</v>
      </c>
      <c r="P118" s="4">
        <f>Tabela32[[#This Row],[Km Chegada]]-Tabela32[[#This Row],[Km Saída]]</f>
        <v>72</v>
      </c>
      <c r="Q118" s="4">
        <v>84</v>
      </c>
      <c r="R118" s="4">
        <v>11</v>
      </c>
      <c r="S118" s="4">
        <v>11</v>
      </c>
      <c r="T118" s="12">
        <f>Tabela32[[#This Row],[Entregas]]-Tabela32[[#This Row],[Realizadas]]</f>
        <v>0</v>
      </c>
      <c r="U118" s="18">
        <f>Tabela32[[#This Row],[Realizadas]]/Tabela32[[#This Row],[Entregas]]</f>
        <v>1</v>
      </c>
      <c r="V118" s="19" t="str">
        <f>IF(Tabela32[[#This Row],[% Entrega]]&gt;=96%,"Atendeu a Meta","Não Atendeu a Meta")</f>
        <v>Atendeu a Meta</v>
      </c>
      <c r="W118" s="4" t="s">
        <v>63</v>
      </c>
      <c r="X118" s="4">
        <v>0</v>
      </c>
      <c r="Y118" s="5">
        <v>0</v>
      </c>
    </row>
    <row r="119" spans="1:25" x14ac:dyDescent="0.25">
      <c r="A119" s="8">
        <v>46253</v>
      </c>
      <c r="B119" s="16">
        <f>YEAR(Tabela32[[#This Row],[Data]])</f>
        <v>2026</v>
      </c>
      <c r="C119" s="16">
        <f>MONTH(Tabela32[[#This Row],[Data]])</f>
        <v>8</v>
      </c>
      <c r="D119" s="4" t="s">
        <v>25</v>
      </c>
      <c r="E119" s="4">
        <v>5</v>
      </c>
      <c r="F119" s="4" t="str">
        <f>IFERROR(VLOOKUP(Tabela32[[#This Row],[Placa]],Planilha2!$A$1:$B$12,2,0),"")</f>
        <v>Gilberto</v>
      </c>
      <c r="G119" s="10">
        <v>5680.05</v>
      </c>
      <c r="H119" s="10">
        <v>66309.429999999993</v>
      </c>
      <c r="I119" s="4">
        <v>612</v>
      </c>
      <c r="J119" s="17">
        <f>IFERROR(Tabela32[[#This Row],[Valor Frete]]/Tabela32[[#This Row],[Valor Mercadoria]],"")</f>
        <v>8.5659762118299024E-2</v>
      </c>
      <c r="K119" s="11">
        <v>0.29166666666666669</v>
      </c>
      <c r="L119" s="15">
        <v>0.70833333333333337</v>
      </c>
      <c r="M119" s="15">
        <f>Tabela32[[#This Row],[Hr Chegada]]-Tabela32[[#This Row],[Hr Saida]]</f>
        <v>0.41666666666666669</v>
      </c>
      <c r="N119" s="4">
        <v>118116</v>
      </c>
      <c r="O119" s="4">
        <v>118171</v>
      </c>
      <c r="P119" s="4">
        <f>Tabela32[[#This Row],[Km Chegada]]-Tabela32[[#This Row],[Km Saída]]</f>
        <v>55</v>
      </c>
      <c r="Q119" s="4">
        <v>97</v>
      </c>
      <c r="R119" s="4">
        <v>15</v>
      </c>
      <c r="S119" s="4">
        <v>15</v>
      </c>
      <c r="T119" s="12">
        <f>Tabela32[[#This Row],[Entregas]]-Tabela32[[#This Row],[Realizadas]]</f>
        <v>0</v>
      </c>
      <c r="U119" s="18">
        <f>Tabela32[[#This Row],[Realizadas]]/Tabela32[[#This Row],[Entregas]]</f>
        <v>1</v>
      </c>
      <c r="V119" s="19" t="str">
        <f>IF(Tabela32[[#This Row],[% Entrega]]&gt;=96%,"Atendeu a Meta","Não Atendeu a Meta")</f>
        <v>Atendeu a Meta</v>
      </c>
      <c r="W119" s="4" t="s">
        <v>39</v>
      </c>
      <c r="X119" s="4">
        <v>0</v>
      </c>
      <c r="Y119" s="5">
        <v>0</v>
      </c>
    </row>
    <row r="120" spans="1:25" x14ac:dyDescent="0.25">
      <c r="A120" s="8">
        <v>46253</v>
      </c>
      <c r="B120" s="16">
        <f>YEAR(Tabela32[[#This Row],[Data]])</f>
        <v>2026</v>
      </c>
      <c r="C120" s="16">
        <f>MONTH(Tabela32[[#This Row],[Data]])</f>
        <v>8</v>
      </c>
      <c r="D120" s="4" t="s">
        <v>29</v>
      </c>
      <c r="E120" s="4">
        <v>11</v>
      </c>
      <c r="F120" s="4" t="str">
        <f>IFERROR(VLOOKUP(Tabela32[[#This Row],[Placa]],Planilha2!$A$1:$B$12,2,0),"")</f>
        <v>Sandro</v>
      </c>
      <c r="G120" s="10">
        <v>5601.85</v>
      </c>
      <c r="H120" s="10">
        <v>85430.56</v>
      </c>
      <c r="I120" s="4">
        <v>429</v>
      </c>
      <c r="J120" s="17">
        <f>IFERROR(Tabela32[[#This Row],[Valor Frete]]/Tabela32[[#This Row],[Valor Mercadoria]],"")</f>
        <v>6.5571968625747046E-2</v>
      </c>
      <c r="K120" s="11">
        <v>0.27083333333333331</v>
      </c>
      <c r="L120" s="15">
        <v>0.72986111111111107</v>
      </c>
      <c r="M120" s="15">
        <f>Tabela32[[#This Row],[Hr Chegada]]-Tabela32[[#This Row],[Hr Saida]]</f>
        <v>0.45902777777777776</v>
      </c>
      <c r="N120" s="4">
        <v>274432</v>
      </c>
      <c r="O120" s="4">
        <v>274573</v>
      </c>
      <c r="P120" s="4">
        <f>Tabela32[[#This Row],[Km Chegada]]-Tabela32[[#This Row],[Km Saída]]</f>
        <v>141</v>
      </c>
      <c r="Q120" s="4">
        <v>179</v>
      </c>
      <c r="R120" s="4">
        <v>16</v>
      </c>
      <c r="S120" s="4">
        <v>16</v>
      </c>
      <c r="T120" s="12">
        <f>Tabela32[[#This Row],[Entregas]]-Tabela32[[#This Row],[Realizadas]]</f>
        <v>0</v>
      </c>
      <c r="U120" s="18">
        <f>Tabela32[[#This Row],[Realizadas]]/Tabela32[[#This Row],[Entregas]]</f>
        <v>1</v>
      </c>
      <c r="V120" s="19" t="str">
        <f>IF(Tabela32[[#This Row],[% Entrega]]&gt;=96%,"Atendeu a Meta","Não Atendeu a Meta")</f>
        <v>Atendeu a Meta</v>
      </c>
      <c r="W120" s="4" t="s">
        <v>41</v>
      </c>
      <c r="X120" s="4">
        <v>0</v>
      </c>
      <c r="Y120" s="5">
        <v>0</v>
      </c>
    </row>
    <row r="121" spans="1:25" x14ac:dyDescent="0.25">
      <c r="A121" s="8">
        <v>46253</v>
      </c>
      <c r="B121" s="16">
        <f>YEAR(Tabela32[[#This Row],[Data]])</f>
        <v>2026</v>
      </c>
      <c r="C121" s="16">
        <f>MONTH(Tabela32[[#This Row],[Data]])</f>
        <v>8</v>
      </c>
      <c r="D121" s="4" t="s">
        <v>28</v>
      </c>
      <c r="E121" s="4">
        <v>1</v>
      </c>
      <c r="F121" s="4" t="str">
        <f>IFERROR(VLOOKUP(Tabela32[[#This Row],[Placa]],Planilha2!$A$1:$B$12,2,0),"")</f>
        <v>Edilson</v>
      </c>
      <c r="G121" s="10">
        <v>34859.64</v>
      </c>
      <c r="H121" s="10">
        <v>798551.77</v>
      </c>
      <c r="I121" s="4">
        <v>7054</v>
      </c>
      <c r="J121" s="17">
        <f>IFERROR(Tabela32[[#This Row],[Valor Frete]]/Tabela32[[#This Row],[Valor Mercadoria]],"")</f>
        <v>4.3653575522097955E-2</v>
      </c>
      <c r="K121" s="11">
        <v>0.27083333333333331</v>
      </c>
      <c r="L121" s="15">
        <v>0.72152777777777777</v>
      </c>
      <c r="M121" s="15">
        <f>Tabela32[[#This Row],[Hr Chegada]]-Tabela32[[#This Row],[Hr Saida]]</f>
        <v>0.45069444444444445</v>
      </c>
      <c r="N121" s="4">
        <v>103696</v>
      </c>
      <c r="O121" s="4">
        <v>103825</v>
      </c>
      <c r="P121" s="4">
        <f>Tabela32[[#This Row],[Km Chegada]]-Tabela32[[#This Row],[Km Saída]]</f>
        <v>129</v>
      </c>
      <c r="Q121" s="4">
        <v>78</v>
      </c>
      <c r="R121" s="4">
        <v>8</v>
      </c>
      <c r="S121" s="4">
        <v>8</v>
      </c>
      <c r="T121" s="12">
        <f>Tabela32[[#This Row],[Entregas]]-Tabela32[[#This Row],[Realizadas]]</f>
        <v>0</v>
      </c>
      <c r="U121" s="18">
        <f>Tabela32[[#This Row],[Realizadas]]/Tabela32[[#This Row],[Entregas]]</f>
        <v>1</v>
      </c>
      <c r="V121" s="19" t="str">
        <f>IF(Tabela32[[#This Row],[% Entrega]]&gt;=96%,"Atendeu a Meta","Não Atendeu a Meta")</f>
        <v>Atendeu a Meta</v>
      </c>
      <c r="W121" s="4" t="s">
        <v>41</v>
      </c>
      <c r="X121" s="4">
        <v>0</v>
      </c>
      <c r="Y121" s="5">
        <v>0</v>
      </c>
    </row>
    <row r="122" spans="1:25" x14ac:dyDescent="0.25">
      <c r="A122" s="8">
        <v>46253</v>
      </c>
      <c r="B122" s="16">
        <f>YEAR(Tabela32[[#This Row],[Data]])</f>
        <v>2026</v>
      </c>
      <c r="C122" s="16">
        <f>MONTH(Tabela32[[#This Row],[Data]])</f>
        <v>8</v>
      </c>
      <c r="D122" s="4" t="s">
        <v>37</v>
      </c>
      <c r="E122" s="4">
        <v>1</v>
      </c>
      <c r="F122" s="4" t="str">
        <f>IFERROR(VLOOKUP(Tabela32[[#This Row],[Placa]],Planilha2!$A$1:$B$12,2,0),"")</f>
        <v>Manoel</v>
      </c>
      <c r="G122" s="10">
        <v>1490.48</v>
      </c>
      <c r="H122" s="10">
        <v>3647.1</v>
      </c>
      <c r="I122" s="4">
        <v>60</v>
      </c>
      <c r="J122" s="17">
        <f>IFERROR(Tabela32[[#This Row],[Valor Frete]]/Tabela32[[#This Row],[Valor Mercadoria]],"")</f>
        <v>0.40867538592306218</v>
      </c>
      <c r="K122" s="11">
        <v>0.35416666666666669</v>
      </c>
      <c r="L122" s="15">
        <v>0.77083333333333337</v>
      </c>
      <c r="M122" s="15">
        <f>Tabela32[[#This Row],[Hr Chegada]]-Tabela32[[#This Row],[Hr Saida]]</f>
        <v>0.41666666666666669</v>
      </c>
      <c r="N122" s="4">
        <v>1129</v>
      </c>
      <c r="O122" s="4">
        <v>1164</v>
      </c>
      <c r="P122" s="4">
        <f>Tabela32[[#This Row],[Km Chegada]]-Tabela32[[#This Row],[Km Saída]]</f>
        <v>35</v>
      </c>
      <c r="Q122" s="4">
        <v>46</v>
      </c>
      <c r="R122" s="4">
        <v>1</v>
      </c>
      <c r="S122" s="4">
        <v>1</v>
      </c>
      <c r="T122" s="12">
        <f>Tabela32[[#This Row],[Entregas]]-Tabela32[[#This Row],[Realizadas]]</f>
        <v>0</v>
      </c>
      <c r="U122" s="18">
        <f>Tabela32[[#This Row],[Realizadas]]/Tabela32[[#This Row],[Entregas]]</f>
        <v>1</v>
      </c>
      <c r="V122" s="19" t="str">
        <f>IF(Tabela32[[#This Row],[% Entrega]]&gt;=96%,"Atendeu a Meta","Não Atendeu a Meta")</f>
        <v>Atendeu a Meta</v>
      </c>
      <c r="W122" s="4" t="s">
        <v>40</v>
      </c>
      <c r="X122" s="4">
        <v>0</v>
      </c>
      <c r="Y122" s="5">
        <v>0</v>
      </c>
    </row>
    <row r="123" spans="1:25" x14ac:dyDescent="0.25">
      <c r="A123" s="8">
        <v>46253</v>
      </c>
      <c r="B123" s="16">
        <f>YEAR(Tabela32[[#This Row],[Data]])</f>
        <v>2026</v>
      </c>
      <c r="C123" s="16">
        <f>MONTH(Tabela32[[#This Row],[Data]])</f>
        <v>8</v>
      </c>
      <c r="D123" s="4" t="s">
        <v>36</v>
      </c>
      <c r="E123" s="4">
        <v>1</v>
      </c>
      <c r="F123" s="4" t="str">
        <f>IFERROR(VLOOKUP(Tabela32[[#This Row],[Placa]],Planilha2!$A$1:$B$12,2,0),"")</f>
        <v>Heremilton</v>
      </c>
      <c r="G123" s="10">
        <v>46053.04</v>
      </c>
      <c r="H123" s="10">
        <v>990964.92</v>
      </c>
      <c r="I123" s="4">
        <v>7519</v>
      </c>
      <c r="J123" s="17">
        <f>IFERROR(Tabela32[[#This Row],[Valor Frete]]/Tabela32[[#This Row],[Valor Mercadoria]],"")</f>
        <v>4.6472926609753246E-2</v>
      </c>
      <c r="K123" s="11">
        <v>0.33333333333333331</v>
      </c>
      <c r="L123" s="15">
        <v>0.75208333333333333</v>
      </c>
      <c r="M123" s="15">
        <f>Tabela32[[#This Row],[Hr Chegada]]-Tabela32[[#This Row],[Hr Saida]]</f>
        <v>0.41875000000000001</v>
      </c>
      <c r="N123" s="4">
        <v>364560</v>
      </c>
      <c r="O123" s="4">
        <v>364587</v>
      </c>
      <c r="P123" s="4">
        <f>Tabela32[[#This Row],[Km Chegada]]-Tabela32[[#This Row],[Km Saída]]</f>
        <v>27</v>
      </c>
      <c r="Q123" s="4">
        <v>815</v>
      </c>
      <c r="R123" s="4">
        <v>12</v>
      </c>
      <c r="S123" s="4">
        <v>12</v>
      </c>
      <c r="T123" s="12">
        <f>Tabela32[[#This Row],[Entregas]]-Tabela32[[#This Row],[Realizadas]]</f>
        <v>0</v>
      </c>
      <c r="U123" s="18">
        <f>Tabela32[[#This Row],[Realizadas]]/Tabela32[[#This Row],[Entregas]]</f>
        <v>1</v>
      </c>
      <c r="V123" s="19" t="str">
        <f>IF(Tabela32[[#This Row],[% Entrega]]&gt;=96%,"Atendeu a Meta","Não Atendeu a Meta")</f>
        <v>Atendeu a Meta</v>
      </c>
      <c r="W123" s="4" t="s">
        <v>39</v>
      </c>
      <c r="X123" s="4">
        <v>0</v>
      </c>
      <c r="Y123" s="5">
        <v>0</v>
      </c>
    </row>
    <row r="124" spans="1:25" x14ac:dyDescent="0.25">
      <c r="A124" s="8">
        <v>46253</v>
      </c>
      <c r="B124" s="16">
        <f>YEAR(Tabela32[[#This Row],[Data]])</f>
        <v>2026</v>
      </c>
      <c r="C124" s="16">
        <f>MONTH(Tabela32[[#This Row],[Data]])</f>
        <v>8</v>
      </c>
      <c r="D124" s="4" t="s">
        <v>27</v>
      </c>
      <c r="E124" s="4">
        <v>1</v>
      </c>
      <c r="F124" s="4" t="str">
        <f>IFERROR(VLOOKUP(Tabela32[[#This Row],[Placa]],Planilha2!$A$1:$B$12,2,0),"")</f>
        <v>Rosinaldo</v>
      </c>
      <c r="G124" s="10">
        <v>13745.64</v>
      </c>
      <c r="H124" s="10">
        <v>269560.2</v>
      </c>
      <c r="I124" s="4">
        <v>3145</v>
      </c>
      <c r="J124" s="17">
        <f>IFERROR(Tabela32[[#This Row],[Valor Frete]]/Tabela32[[#This Row],[Valor Mercadoria]],"")</f>
        <v>5.0992839447366482E-2</v>
      </c>
      <c r="K124" s="11">
        <v>0.29166666666666669</v>
      </c>
      <c r="L124" s="15">
        <v>0.77847222222222223</v>
      </c>
      <c r="M124" s="15">
        <f>Tabela32[[#This Row],[Hr Chegada]]-Tabela32[[#This Row],[Hr Saida]]</f>
        <v>0.48680555555555555</v>
      </c>
      <c r="N124" s="4">
        <v>290259</v>
      </c>
      <c r="O124" s="4">
        <v>290312</v>
      </c>
      <c r="P124" s="4">
        <f>Tabela32[[#This Row],[Km Chegada]]-Tabela32[[#This Row],[Km Saída]]</f>
        <v>53</v>
      </c>
      <c r="Q124" s="4">
        <v>6</v>
      </c>
      <c r="R124" s="4">
        <v>1</v>
      </c>
      <c r="S124" s="4">
        <v>1</v>
      </c>
      <c r="T124" s="12">
        <f>Tabela32[[#This Row],[Entregas]]-Tabela32[[#This Row],[Realizadas]]</f>
        <v>0</v>
      </c>
      <c r="U124" s="18">
        <f>Tabela32[[#This Row],[Realizadas]]/Tabela32[[#This Row],[Entregas]]</f>
        <v>1</v>
      </c>
      <c r="V124" s="19" t="str">
        <f>IF(Tabela32[[#This Row],[% Entrega]]&gt;=96%,"Atendeu a Meta","Não Atendeu a Meta")</f>
        <v>Atendeu a Meta</v>
      </c>
      <c r="W124" s="4" t="s">
        <v>40</v>
      </c>
      <c r="X124" s="4">
        <v>0</v>
      </c>
      <c r="Y124" s="5">
        <v>0</v>
      </c>
    </row>
    <row r="125" spans="1:25" x14ac:dyDescent="0.25">
      <c r="A125" s="8">
        <v>46253</v>
      </c>
      <c r="B125" s="16">
        <f>YEAR(Tabela32[[#This Row],[Data]])</f>
        <v>2026</v>
      </c>
      <c r="C125" s="16">
        <f>MONTH(Tabela32[[#This Row],[Data]])</f>
        <v>8</v>
      </c>
      <c r="D125" s="4" t="s">
        <v>35</v>
      </c>
      <c r="E125" s="4">
        <v>2</v>
      </c>
      <c r="F125" s="4" t="str">
        <f>IFERROR(VLOOKUP(Tabela32[[#This Row],[Placa]],Planilha2!$A$1:$B$12,2,0),"")</f>
        <v>Osvaldo</v>
      </c>
      <c r="G125" s="10">
        <v>1288.17</v>
      </c>
      <c r="H125" s="10">
        <v>30521.66</v>
      </c>
      <c r="I125" s="4">
        <v>225</v>
      </c>
      <c r="J125" s="17">
        <f>IFERROR(Tabela32[[#This Row],[Valor Frete]]/Tabela32[[#This Row],[Valor Mercadoria]],"")</f>
        <v>4.2205109420654058E-2</v>
      </c>
      <c r="K125" s="11">
        <v>0.64583333333333337</v>
      </c>
      <c r="L125" s="15">
        <v>0.82152777777777775</v>
      </c>
      <c r="M125" s="15">
        <f>Tabela32[[#This Row],[Hr Chegada]]-Tabela32[[#This Row],[Hr Saida]]</f>
        <v>0.17569444444444438</v>
      </c>
      <c r="N125" s="4">
        <v>141697</v>
      </c>
      <c r="O125" s="4">
        <v>141737</v>
      </c>
      <c r="P125" s="4">
        <f>Tabela32[[#This Row],[Km Chegada]]-Tabela32[[#This Row],[Km Saída]]</f>
        <v>40</v>
      </c>
      <c r="Q125" s="4">
        <v>52</v>
      </c>
      <c r="R125" s="4">
        <v>5</v>
      </c>
      <c r="S125" s="4">
        <v>5</v>
      </c>
      <c r="T125" s="12">
        <f>Tabela32[[#This Row],[Entregas]]-Tabela32[[#This Row],[Realizadas]]</f>
        <v>0</v>
      </c>
      <c r="U125" s="18">
        <f>Tabela32[[#This Row],[Realizadas]]/Tabela32[[#This Row],[Entregas]]</f>
        <v>1</v>
      </c>
      <c r="V125" s="19" t="str">
        <f>IF(Tabela32[[#This Row],[% Entrega]]&gt;=96%,"Atendeu a Meta","Não Atendeu a Meta")</f>
        <v>Atendeu a Meta</v>
      </c>
      <c r="W125" s="4" t="s">
        <v>43</v>
      </c>
      <c r="X125" s="4">
        <v>0</v>
      </c>
      <c r="Y125" s="5">
        <v>0</v>
      </c>
    </row>
    <row r="126" spans="1:25" x14ac:dyDescent="0.25">
      <c r="A126" s="8">
        <v>46253</v>
      </c>
      <c r="B126" s="16">
        <f>YEAR(Tabela32[[#This Row],[Data]])</f>
        <v>2026</v>
      </c>
      <c r="C126" s="16">
        <f>MONTH(Tabela32[[#This Row],[Data]])</f>
        <v>8</v>
      </c>
      <c r="D126" s="4" t="s">
        <v>53</v>
      </c>
      <c r="E126" s="4">
        <v>2</v>
      </c>
      <c r="F126" s="4" t="str">
        <f>IFERROR(VLOOKUP(Tabela32[[#This Row],[Placa]],Planilha2!$A$1:$B$12,2,0),"")</f>
        <v>Arnaldo</v>
      </c>
      <c r="G126" s="10">
        <v>5348.55</v>
      </c>
      <c r="H126" s="10">
        <v>100934.61</v>
      </c>
      <c r="I126" s="4">
        <v>1593</v>
      </c>
      <c r="J126" s="17">
        <f>IFERROR(Tabela32[[#This Row],[Valor Frete]]/Tabela32[[#This Row],[Valor Mercadoria]],"")</f>
        <v>5.2990247844619406E-2</v>
      </c>
      <c r="K126" s="11">
        <v>0.29166666666666669</v>
      </c>
      <c r="L126" s="15">
        <v>0.74097222222222225</v>
      </c>
      <c r="M126" s="15">
        <f>Tabela32[[#This Row],[Hr Chegada]]-Tabela32[[#This Row],[Hr Saida]]</f>
        <v>0.44930555555555557</v>
      </c>
      <c r="N126" s="4">
        <v>12350</v>
      </c>
      <c r="O126" s="4">
        <v>12400</v>
      </c>
      <c r="P126" s="4">
        <f>Tabela32[[#This Row],[Km Chegada]]-Tabela32[[#This Row],[Km Saída]]</f>
        <v>50</v>
      </c>
      <c r="Q126" s="4">
        <v>314</v>
      </c>
      <c r="R126" s="4">
        <v>13</v>
      </c>
      <c r="S126" s="4">
        <v>11</v>
      </c>
      <c r="T126" s="12">
        <f>Tabela32[[#This Row],[Entregas]]-Tabela32[[#This Row],[Realizadas]]</f>
        <v>2</v>
      </c>
      <c r="U126" s="18">
        <f>Tabela32[[#This Row],[Realizadas]]/Tabela32[[#This Row],[Entregas]]</f>
        <v>0.84615384615384615</v>
      </c>
      <c r="V126" s="19" t="str">
        <f>IF(Tabela32[[#This Row],[% Entrega]]&gt;=96%,"Atendeu a Meta","Não Atendeu a Meta")</f>
        <v>Não Atendeu a Meta</v>
      </c>
      <c r="W126" s="4" t="s">
        <v>39</v>
      </c>
      <c r="X126" s="4">
        <v>2</v>
      </c>
      <c r="Y126" s="5">
        <v>13</v>
      </c>
    </row>
    <row r="127" spans="1:25" x14ac:dyDescent="0.25">
      <c r="A127" s="8">
        <v>46253</v>
      </c>
      <c r="B127" s="16">
        <f>YEAR(Tabela32[[#This Row],[Data]])</f>
        <v>2026</v>
      </c>
      <c r="C127" s="16">
        <f>MONTH(Tabela32[[#This Row],[Data]])</f>
        <v>8</v>
      </c>
      <c r="D127" s="4" t="s">
        <v>33</v>
      </c>
      <c r="E127" s="4">
        <v>1</v>
      </c>
      <c r="F127" s="4" t="str">
        <f>IFERROR(VLOOKUP(Tabela32[[#This Row],[Placa]],Planilha2!$A$1:$B$12,2,0),"")</f>
        <v>Paulo</v>
      </c>
      <c r="G127" s="10">
        <v>1669.34</v>
      </c>
      <c r="H127" s="10">
        <v>38591.550000000003</v>
      </c>
      <c r="I127" s="4">
        <v>297</v>
      </c>
      <c r="J127" s="17">
        <f>IFERROR(Tabela32[[#This Row],[Valor Frete]]/Tabela32[[#This Row],[Valor Mercadoria]],"")</f>
        <v>4.3256619648601828E-2</v>
      </c>
      <c r="K127" s="11">
        <v>0.58333333333333337</v>
      </c>
      <c r="L127" s="15">
        <v>0.76041666666666663</v>
      </c>
      <c r="M127" s="15">
        <f>Tabela32[[#This Row],[Hr Chegada]]-Tabela32[[#This Row],[Hr Saida]]</f>
        <v>0.17708333333333326</v>
      </c>
      <c r="N127" s="4">
        <v>454122</v>
      </c>
      <c r="O127" s="4">
        <v>454209</v>
      </c>
      <c r="P127" s="4">
        <f>Tabela32[[#This Row],[Km Chegada]]-Tabela32[[#This Row],[Km Saída]]</f>
        <v>87</v>
      </c>
      <c r="Q127" s="4">
        <v>45</v>
      </c>
      <c r="R127" s="4">
        <v>1</v>
      </c>
      <c r="S127" s="4">
        <v>1</v>
      </c>
      <c r="T127" s="12">
        <f>Tabela32[[#This Row],[Entregas]]-Tabela32[[#This Row],[Realizadas]]</f>
        <v>0</v>
      </c>
      <c r="U127" s="18">
        <f>Tabela32[[#This Row],[Realizadas]]/Tabela32[[#This Row],[Entregas]]</f>
        <v>1</v>
      </c>
      <c r="V127" s="19" t="str">
        <f>IF(Tabela32[[#This Row],[% Entrega]]&gt;=96%,"Atendeu a Meta","Não Atendeu a Meta")</f>
        <v>Atendeu a Meta</v>
      </c>
      <c r="W127" s="4" t="s">
        <v>64</v>
      </c>
      <c r="X127" s="4">
        <v>0</v>
      </c>
      <c r="Y127" s="5">
        <v>0</v>
      </c>
    </row>
    <row r="128" spans="1:25" x14ac:dyDescent="0.25">
      <c r="A128" s="8">
        <v>46254</v>
      </c>
      <c r="B128" s="16">
        <f>YEAR(Tabela32[[#This Row],[Data]])</f>
        <v>2026</v>
      </c>
      <c r="C128" s="16">
        <f>MONTH(Tabela32[[#This Row],[Data]])</f>
        <v>8</v>
      </c>
      <c r="D128" s="4" t="s">
        <v>29</v>
      </c>
      <c r="E128" s="4">
        <v>1</v>
      </c>
      <c r="F128" s="4" t="str">
        <f>IFERROR(VLOOKUP(Tabela32[[#This Row],[Placa]],Planilha2!$A$1:$B$12,2,0),"")</f>
        <v>Sandro</v>
      </c>
      <c r="G128" s="10">
        <v>2199.7600000000002</v>
      </c>
      <c r="H128" s="10">
        <v>59957.51</v>
      </c>
      <c r="I128" s="4">
        <v>359</v>
      </c>
      <c r="J128" s="17">
        <f>IFERROR(Tabela32[[#This Row],[Valor Frete]]/Tabela32[[#This Row],[Valor Mercadoria]],"")</f>
        <v>3.6688648344469277E-2</v>
      </c>
      <c r="K128" s="11">
        <v>0.29166666666666669</v>
      </c>
      <c r="L128" s="15">
        <v>0.44444444444444442</v>
      </c>
      <c r="M128" s="15">
        <f>Tabela32[[#This Row],[Hr Chegada]]-Tabela32[[#This Row],[Hr Saida]]</f>
        <v>0.15277777777777773</v>
      </c>
      <c r="N128" s="4">
        <v>274573</v>
      </c>
      <c r="O128" s="4">
        <v>274603</v>
      </c>
      <c r="P128" s="4">
        <f>Tabela32[[#This Row],[Km Chegada]]-Tabela32[[#This Row],[Km Saída]]</f>
        <v>30</v>
      </c>
      <c r="Q128" s="4">
        <v>129</v>
      </c>
      <c r="R128" s="4">
        <v>3</v>
      </c>
      <c r="S128" s="4">
        <v>3</v>
      </c>
      <c r="T128" s="12">
        <f>Tabela32[[#This Row],[Entregas]]-Tabela32[[#This Row],[Realizadas]]</f>
        <v>0</v>
      </c>
      <c r="U128" s="18">
        <f>Tabela32[[#This Row],[Realizadas]]/Tabela32[[#This Row],[Entregas]]</f>
        <v>1</v>
      </c>
      <c r="V128" s="19" t="str">
        <f>IF(Tabela32[[#This Row],[% Entrega]]&gt;=96%,"Atendeu a Meta","Não Atendeu a Meta")</f>
        <v>Atendeu a Meta</v>
      </c>
      <c r="W128" s="4" t="s">
        <v>40</v>
      </c>
      <c r="X128" s="4">
        <v>0</v>
      </c>
      <c r="Y128" s="5">
        <v>0</v>
      </c>
    </row>
    <row r="129" spans="1:25" x14ac:dyDescent="0.25">
      <c r="A129" s="8">
        <v>46254</v>
      </c>
      <c r="B129" s="16">
        <f>YEAR(Tabela32[[#This Row],[Data]])</f>
        <v>2026</v>
      </c>
      <c r="C129" s="16">
        <f>MONTH(Tabela32[[#This Row],[Data]])</f>
        <v>8</v>
      </c>
      <c r="D129" s="4" t="s">
        <v>23</v>
      </c>
      <c r="E129" s="4">
        <v>1</v>
      </c>
      <c r="F129" s="4" t="str">
        <f>IFERROR(VLOOKUP(Tabela32[[#This Row],[Placa]],Planilha2!$A$1:$B$12,2,0),"")</f>
        <v>William</v>
      </c>
      <c r="G129" s="10">
        <v>8081.76</v>
      </c>
      <c r="H129" s="10">
        <v>383207.29</v>
      </c>
      <c r="I129" s="4">
        <v>979</v>
      </c>
      <c r="J129" s="17">
        <f>IFERROR(Tabela32[[#This Row],[Valor Frete]]/Tabela32[[#This Row],[Valor Mercadoria]],"")</f>
        <v>2.1089786679162604E-2</v>
      </c>
      <c r="K129" s="11">
        <v>0.29166666666666669</v>
      </c>
      <c r="L129" s="15">
        <v>0.66666666666666663</v>
      </c>
      <c r="M129" s="15">
        <f>Tabela32[[#This Row],[Hr Chegada]]-Tabela32[[#This Row],[Hr Saida]]</f>
        <v>0.37499999999999994</v>
      </c>
      <c r="N129" s="4">
        <v>124126</v>
      </c>
      <c r="O129" s="4">
        <v>124163</v>
      </c>
      <c r="P129" s="4">
        <f>Tabela32[[#This Row],[Km Chegada]]-Tabela32[[#This Row],[Km Saída]]</f>
        <v>37</v>
      </c>
      <c r="Q129" s="4">
        <v>220</v>
      </c>
      <c r="R129" s="4">
        <v>12</v>
      </c>
      <c r="S129" s="4">
        <v>12</v>
      </c>
      <c r="T129" s="12">
        <f>Tabela32[[#This Row],[Entregas]]-Tabela32[[#This Row],[Realizadas]]</f>
        <v>0</v>
      </c>
      <c r="U129" s="18">
        <f>Tabela32[[#This Row],[Realizadas]]/Tabela32[[#This Row],[Entregas]]</f>
        <v>1</v>
      </c>
      <c r="V129" s="19" t="str">
        <f>IF(Tabela32[[#This Row],[% Entrega]]&gt;=96%,"Atendeu a Meta","Não Atendeu a Meta")</f>
        <v>Atendeu a Meta</v>
      </c>
      <c r="W129" s="4" t="s">
        <v>39</v>
      </c>
      <c r="X129" s="4">
        <v>0</v>
      </c>
      <c r="Y129" s="5">
        <v>0</v>
      </c>
    </row>
    <row r="130" spans="1:25" x14ac:dyDescent="0.25">
      <c r="A130" s="8">
        <v>46254</v>
      </c>
      <c r="B130" s="16">
        <f>YEAR(Tabela32[[#This Row],[Data]])</f>
        <v>2026</v>
      </c>
      <c r="C130" s="16">
        <f>MONTH(Tabela32[[#This Row],[Data]])</f>
        <v>8</v>
      </c>
      <c r="D130" s="4" t="s">
        <v>22</v>
      </c>
      <c r="E130" s="4">
        <v>3</v>
      </c>
      <c r="F130" s="4" t="str">
        <f>IFERROR(VLOOKUP(Tabela32[[#This Row],[Placa]],Planilha2!$A$1:$B$12,2,0),"")</f>
        <v>Wesley</v>
      </c>
      <c r="G130" s="10">
        <v>6967.71</v>
      </c>
      <c r="H130" s="10">
        <v>158751.57</v>
      </c>
      <c r="I130" s="4">
        <v>905</v>
      </c>
      <c r="J130" s="17">
        <f>IFERROR(Tabela32[[#This Row],[Valor Frete]]/Tabela32[[#This Row],[Valor Mercadoria]],"")</f>
        <v>4.3890652545987417E-2</v>
      </c>
      <c r="K130" s="11">
        <v>0.29166666666666669</v>
      </c>
      <c r="L130" s="15">
        <v>0.71666666666666667</v>
      </c>
      <c r="M130" s="15">
        <f>Tabela32[[#This Row],[Hr Chegada]]-Tabela32[[#This Row],[Hr Saida]]</f>
        <v>0.42499999999999999</v>
      </c>
      <c r="N130" s="4">
        <v>303230</v>
      </c>
      <c r="O130" s="4">
        <v>303285</v>
      </c>
      <c r="P130" s="4">
        <f>Tabela32[[#This Row],[Km Chegada]]-Tabela32[[#This Row],[Km Saída]]</f>
        <v>55</v>
      </c>
      <c r="Q130" s="4">
        <v>218</v>
      </c>
      <c r="R130" s="4">
        <v>18</v>
      </c>
      <c r="S130" s="4">
        <v>18</v>
      </c>
      <c r="T130" s="12">
        <f>Tabela32[[#This Row],[Entregas]]-Tabela32[[#This Row],[Realizadas]]</f>
        <v>0</v>
      </c>
      <c r="U130" s="18">
        <f>Tabela32[[#This Row],[Realizadas]]/Tabela32[[#This Row],[Entregas]]</f>
        <v>1</v>
      </c>
      <c r="V130" s="19" t="str">
        <f>IF(Tabela32[[#This Row],[% Entrega]]&gt;=96%,"Atendeu a Meta","Não Atendeu a Meta")</f>
        <v>Atendeu a Meta</v>
      </c>
      <c r="W130" s="4" t="s">
        <v>39</v>
      </c>
      <c r="X130" s="4">
        <v>0</v>
      </c>
      <c r="Y130" s="5">
        <v>0</v>
      </c>
    </row>
    <row r="131" spans="1:25" x14ac:dyDescent="0.25">
      <c r="A131" s="8">
        <v>46254</v>
      </c>
      <c r="B131" s="16">
        <f>YEAR(Tabela32[[#This Row],[Data]])</f>
        <v>2026</v>
      </c>
      <c r="C131" s="16">
        <f>MONTH(Tabela32[[#This Row],[Data]])</f>
        <v>8</v>
      </c>
      <c r="D131" s="4" t="s">
        <v>28</v>
      </c>
      <c r="E131" s="4">
        <v>11</v>
      </c>
      <c r="F131" s="4" t="str">
        <f>IFERROR(VLOOKUP(Tabela32[[#This Row],[Placa]],Planilha2!$A$1:$B$12,2,0),"")</f>
        <v>Edilson</v>
      </c>
      <c r="G131" s="10">
        <v>7544.35</v>
      </c>
      <c r="H131" s="10">
        <v>136955.37</v>
      </c>
      <c r="I131" s="4">
        <v>823</v>
      </c>
      <c r="J131" s="17">
        <f>IFERROR(Tabela32[[#This Row],[Valor Frete]]/Tabela32[[#This Row],[Valor Mercadoria]],"")</f>
        <v>5.5086193407385201E-2</v>
      </c>
      <c r="K131" s="11">
        <v>0.27083333333333331</v>
      </c>
      <c r="L131" s="15">
        <v>0.70833333333333337</v>
      </c>
      <c r="M131" s="15">
        <f>Tabela32[[#This Row],[Hr Chegada]]-Tabela32[[#This Row],[Hr Saida]]</f>
        <v>0.43750000000000006</v>
      </c>
      <c r="N131" s="4">
        <v>103835</v>
      </c>
      <c r="O131" s="4">
        <v>103967</v>
      </c>
      <c r="P131" s="4">
        <f>Tabela32[[#This Row],[Km Chegada]]-Tabela32[[#This Row],[Km Saída]]</f>
        <v>132</v>
      </c>
      <c r="Q131" s="4">
        <v>194</v>
      </c>
      <c r="R131" s="4">
        <v>28</v>
      </c>
      <c r="S131" s="4">
        <v>28</v>
      </c>
      <c r="T131" s="12">
        <f>Tabela32[[#This Row],[Entregas]]-Tabela32[[#This Row],[Realizadas]]</f>
        <v>0</v>
      </c>
      <c r="U131" s="18">
        <f>Tabela32[[#This Row],[Realizadas]]/Tabela32[[#This Row],[Entregas]]</f>
        <v>1</v>
      </c>
      <c r="V131" s="19" t="str">
        <f>IF(Tabela32[[#This Row],[% Entrega]]&gt;=96%,"Atendeu a Meta","Não Atendeu a Meta")</f>
        <v>Atendeu a Meta</v>
      </c>
      <c r="W131" s="4" t="s">
        <v>41</v>
      </c>
      <c r="X131" s="4">
        <v>0</v>
      </c>
      <c r="Y131" s="5">
        <v>0</v>
      </c>
    </row>
    <row r="132" spans="1:25" x14ac:dyDescent="0.25">
      <c r="A132" s="8">
        <v>46254</v>
      </c>
      <c r="B132" s="16">
        <f>YEAR(Tabela32[[#This Row],[Data]])</f>
        <v>2026</v>
      </c>
      <c r="C132" s="16">
        <f>MONTH(Tabela32[[#This Row],[Data]])</f>
        <v>8</v>
      </c>
      <c r="D132" s="4" t="s">
        <v>35</v>
      </c>
      <c r="E132" s="4">
        <v>2</v>
      </c>
      <c r="F132" s="4" t="str">
        <f>IFERROR(VLOOKUP(Tabela32[[#This Row],[Placa]],Planilha2!$A$1:$B$12,2,0),"")</f>
        <v>Osvaldo</v>
      </c>
      <c r="G132" s="10">
        <v>6276.2</v>
      </c>
      <c r="H132" s="10">
        <v>154985.65</v>
      </c>
      <c r="I132" s="4">
        <v>735</v>
      </c>
      <c r="J132" s="17">
        <f>IFERROR(Tabela32[[#This Row],[Valor Frete]]/Tabela32[[#This Row],[Valor Mercadoria]],"")</f>
        <v>4.0495361989964875E-2</v>
      </c>
      <c r="K132" s="11">
        <v>0.29166666666666669</v>
      </c>
      <c r="L132" s="15">
        <v>0.74652777777777779</v>
      </c>
      <c r="M132" s="15">
        <f>Tabela32[[#This Row],[Hr Chegada]]-Tabela32[[#This Row],[Hr Saida]]</f>
        <v>0.4548611111111111</v>
      </c>
      <c r="N132" s="4">
        <v>141738</v>
      </c>
      <c r="O132" s="4">
        <v>141799</v>
      </c>
      <c r="P132" s="4">
        <f>Tabela32[[#This Row],[Km Chegada]]-Tabela32[[#This Row],[Km Saída]]</f>
        <v>61</v>
      </c>
      <c r="Q132" s="4">
        <v>263</v>
      </c>
      <c r="R132" s="4">
        <v>24</v>
      </c>
      <c r="S132" s="4">
        <v>24</v>
      </c>
      <c r="T132" s="12">
        <f>Tabela32[[#This Row],[Entregas]]-Tabela32[[#This Row],[Realizadas]]</f>
        <v>0</v>
      </c>
      <c r="U132" s="18">
        <f>Tabela32[[#This Row],[Realizadas]]/Tabela32[[#This Row],[Entregas]]</f>
        <v>1</v>
      </c>
      <c r="V132" s="19" t="str">
        <f>IF(Tabela32[[#This Row],[% Entrega]]&gt;=96%,"Atendeu a Meta","Não Atendeu a Meta")</f>
        <v>Atendeu a Meta</v>
      </c>
      <c r="W132" s="4" t="s">
        <v>39</v>
      </c>
      <c r="X132" s="4">
        <v>0</v>
      </c>
      <c r="Y132" s="5">
        <v>0</v>
      </c>
    </row>
    <row r="133" spans="1:25" x14ac:dyDescent="0.25">
      <c r="A133" s="8">
        <v>46254</v>
      </c>
      <c r="B133" s="16">
        <f>YEAR(Tabela32[[#This Row],[Data]])</f>
        <v>2026</v>
      </c>
      <c r="C133" s="16">
        <f>MONTH(Tabela32[[#This Row],[Data]])</f>
        <v>8</v>
      </c>
      <c r="D133" s="4" t="s">
        <v>33</v>
      </c>
      <c r="E133" s="4">
        <v>1</v>
      </c>
      <c r="F133" s="4" t="str">
        <f>IFERROR(VLOOKUP(Tabela32[[#This Row],[Placa]],Planilha2!$A$1:$B$12,2,0),"")</f>
        <v>Paulo</v>
      </c>
      <c r="G133" s="10">
        <v>4199.3599999999997</v>
      </c>
      <c r="H133" s="10">
        <v>56016.05</v>
      </c>
      <c r="I133" s="4">
        <v>583</v>
      </c>
      <c r="J133" s="17">
        <f>IFERROR(Tabela32[[#This Row],[Valor Frete]]/Tabela32[[#This Row],[Valor Mercadoria]],"")</f>
        <v>7.4967085326437685E-2</v>
      </c>
      <c r="K133" s="11">
        <v>0.29166666666666669</v>
      </c>
      <c r="L133" s="15">
        <v>0.77500000000000002</v>
      </c>
      <c r="M133" s="15">
        <f>Tabela32[[#This Row],[Hr Chegada]]-Tabela32[[#This Row],[Hr Saida]]</f>
        <v>0.48333333333333334</v>
      </c>
      <c r="N133" s="4">
        <v>154209</v>
      </c>
      <c r="O133" s="4">
        <v>154259</v>
      </c>
      <c r="P133" s="4">
        <f>Tabela32[[#This Row],[Km Chegada]]-Tabela32[[#This Row],[Km Saída]]</f>
        <v>50</v>
      </c>
      <c r="Q133" s="4">
        <v>100</v>
      </c>
      <c r="R133" s="4">
        <v>16</v>
      </c>
      <c r="S133" s="4">
        <v>16</v>
      </c>
      <c r="T133" s="12">
        <f>Tabela32[[#This Row],[Entregas]]-Tabela32[[#This Row],[Realizadas]]</f>
        <v>0</v>
      </c>
      <c r="U133" s="18">
        <f>Tabela32[[#This Row],[Realizadas]]/Tabela32[[#This Row],[Entregas]]</f>
        <v>1</v>
      </c>
      <c r="V133" s="19" t="str">
        <f>IF(Tabela32[[#This Row],[% Entrega]]&gt;=96%,"Atendeu a Meta","Não Atendeu a Meta")</f>
        <v>Atendeu a Meta</v>
      </c>
      <c r="W133" s="4" t="s">
        <v>43</v>
      </c>
      <c r="X133" s="4">
        <v>2</v>
      </c>
      <c r="Y133" s="5">
        <v>42</v>
      </c>
    </row>
    <row r="134" spans="1:25" x14ac:dyDescent="0.25">
      <c r="A134" s="8">
        <v>46254</v>
      </c>
      <c r="B134" s="16">
        <f>YEAR(Tabela32[[#This Row],[Data]])</f>
        <v>2026</v>
      </c>
      <c r="C134" s="16">
        <f>MONTH(Tabela32[[#This Row],[Data]])</f>
        <v>8</v>
      </c>
      <c r="D134" s="4" t="s">
        <v>27</v>
      </c>
      <c r="E134" s="4">
        <v>1</v>
      </c>
      <c r="F134" s="4" t="str">
        <f>IFERROR(VLOOKUP(Tabela32[[#This Row],[Placa]],Planilha2!$A$1:$B$12,2,0),"")</f>
        <v>Rosinaldo</v>
      </c>
      <c r="G134" s="10">
        <v>9400.0400000000009</v>
      </c>
      <c r="H134" s="10">
        <v>133865.57</v>
      </c>
      <c r="I134" s="4">
        <v>1514</v>
      </c>
      <c r="J134" s="17">
        <f>IFERROR(Tabela32[[#This Row],[Valor Frete]]/Tabela32[[#This Row],[Valor Mercadoria]],"")</f>
        <v>7.0219997569203191E-2</v>
      </c>
      <c r="K134" s="11">
        <v>0.29166666666666669</v>
      </c>
      <c r="L134" s="15">
        <v>0.81319444444444444</v>
      </c>
      <c r="M134" s="15">
        <f>Tabela32[[#This Row],[Hr Chegada]]-Tabela32[[#This Row],[Hr Saida]]</f>
        <v>0.52152777777777781</v>
      </c>
      <c r="N134" s="4">
        <v>290312</v>
      </c>
      <c r="O134" s="4">
        <v>290462</v>
      </c>
      <c r="P134" s="4">
        <f>Tabela32[[#This Row],[Km Chegada]]-Tabela32[[#This Row],[Km Saída]]</f>
        <v>150</v>
      </c>
      <c r="Q134" s="4">
        <v>166</v>
      </c>
      <c r="R134" s="4">
        <v>19</v>
      </c>
      <c r="S134" s="4">
        <v>14</v>
      </c>
      <c r="T134" s="12">
        <f>Tabela32[[#This Row],[Entregas]]-Tabela32[[#This Row],[Realizadas]]</f>
        <v>5</v>
      </c>
      <c r="U134" s="18">
        <f>Tabela32[[#This Row],[Realizadas]]/Tabela32[[#This Row],[Entregas]]</f>
        <v>0.73684210526315785</v>
      </c>
      <c r="V134" s="19" t="str">
        <f>IF(Tabela32[[#This Row],[% Entrega]]&gt;=96%,"Atendeu a Meta","Não Atendeu a Meta")</f>
        <v>Não Atendeu a Meta</v>
      </c>
      <c r="W134" s="4" t="s">
        <v>43</v>
      </c>
      <c r="X134" s="4">
        <v>7</v>
      </c>
      <c r="Y134" s="5" t="s">
        <v>68</v>
      </c>
    </row>
    <row r="135" spans="1:25" x14ac:dyDescent="0.25">
      <c r="A135" s="8">
        <v>46254</v>
      </c>
      <c r="B135" s="16">
        <f>YEAR(Tabela32[[#This Row],[Data]])</f>
        <v>2026</v>
      </c>
      <c r="C135" s="16">
        <f>MONTH(Tabela32[[#This Row],[Data]])</f>
        <v>8</v>
      </c>
      <c r="D135" s="4" t="s">
        <v>25</v>
      </c>
      <c r="E135" s="4">
        <v>5</v>
      </c>
      <c r="F135" s="4" t="str">
        <f>IFERROR(VLOOKUP(Tabela32[[#This Row],[Placa]],Planilha2!$A$1:$B$12,2,0),"")</f>
        <v>Gilberto</v>
      </c>
      <c r="G135" s="10">
        <v>7997.22</v>
      </c>
      <c r="H135" s="10">
        <v>164530.65</v>
      </c>
      <c r="I135" s="4">
        <v>1132</v>
      </c>
      <c r="J135" s="17">
        <f>IFERROR(Tabela32[[#This Row],[Valor Frete]]/Tabela32[[#This Row],[Valor Mercadoria]],"")</f>
        <v>4.8606262723693124E-2</v>
      </c>
      <c r="K135" s="11">
        <v>0.29166666666666669</v>
      </c>
      <c r="L135" s="15">
        <v>0.75</v>
      </c>
      <c r="M135" s="15">
        <f>Tabela32[[#This Row],[Hr Chegada]]-Tabela32[[#This Row],[Hr Saida]]</f>
        <v>0.45833333333333331</v>
      </c>
      <c r="N135" s="4">
        <v>118171</v>
      </c>
      <c r="O135" s="4">
        <v>118237</v>
      </c>
      <c r="P135" s="4">
        <f>Tabela32[[#This Row],[Km Chegada]]-Tabela32[[#This Row],[Km Saída]]</f>
        <v>66</v>
      </c>
      <c r="Q135" s="4">
        <v>97</v>
      </c>
      <c r="R135" s="4">
        <v>17</v>
      </c>
      <c r="S135" s="4">
        <v>14</v>
      </c>
      <c r="T135" s="12">
        <f>Tabela32[[#This Row],[Entregas]]-Tabela32[[#This Row],[Realizadas]]</f>
        <v>3</v>
      </c>
      <c r="U135" s="18">
        <f>Tabela32[[#This Row],[Realizadas]]/Tabela32[[#This Row],[Entregas]]</f>
        <v>0.82352941176470584</v>
      </c>
      <c r="V135" s="19" t="str">
        <f>IF(Tabela32[[#This Row],[% Entrega]]&gt;=96%,"Atendeu a Meta","Não Atendeu a Meta")</f>
        <v>Não Atendeu a Meta</v>
      </c>
      <c r="W135" s="4" t="s">
        <v>39</v>
      </c>
      <c r="X135" s="4">
        <v>3</v>
      </c>
      <c r="Y135" s="5" t="s">
        <v>69</v>
      </c>
    </row>
    <row r="136" spans="1:25" x14ac:dyDescent="0.25">
      <c r="A136" s="8">
        <v>46254</v>
      </c>
      <c r="B136" s="16">
        <f>YEAR(Tabela32[[#This Row],[Data]])</f>
        <v>2026</v>
      </c>
      <c r="C136" s="16">
        <f>MONTH(Tabela32[[#This Row],[Data]])</f>
        <v>8</v>
      </c>
      <c r="D136" s="4" t="s">
        <v>53</v>
      </c>
      <c r="E136" s="4">
        <v>2</v>
      </c>
      <c r="F136" s="4" t="str">
        <f>IFERROR(VLOOKUP(Tabela32[[#This Row],[Placa]],Planilha2!$A$1:$B$12,2,0),"")</f>
        <v>Arnaldo</v>
      </c>
      <c r="G136" s="10">
        <v>7069.92</v>
      </c>
      <c r="H136" s="10">
        <v>137083.25</v>
      </c>
      <c r="I136" s="4">
        <v>1045</v>
      </c>
      <c r="J136" s="17">
        <f>IFERROR(Tabela32[[#This Row],[Valor Frete]]/Tabela32[[#This Row],[Valor Mercadoria]],"")</f>
        <v>5.1573915850404772E-2</v>
      </c>
      <c r="K136" s="11">
        <v>0.29166666666666669</v>
      </c>
      <c r="L136" s="15">
        <v>0.76180555555555551</v>
      </c>
      <c r="M136" s="15">
        <f>Tabela32[[#This Row],[Hr Chegada]]-Tabela32[[#This Row],[Hr Saida]]</f>
        <v>0.47013888888888883</v>
      </c>
      <c r="N136" s="4">
        <v>12400</v>
      </c>
      <c r="O136" s="4">
        <v>12456</v>
      </c>
      <c r="P136" s="4">
        <f>Tabela32[[#This Row],[Km Chegada]]-Tabela32[[#This Row],[Km Saída]]</f>
        <v>56</v>
      </c>
      <c r="Q136" s="4">
        <v>217</v>
      </c>
      <c r="R136" s="4">
        <v>29</v>
      </c>
      <c r="S136" s="4">
        <v>29</v>
      </c>
      <c r="T136" s="12">
        <f>Tabela32[[#This Row],[Entregas]]-Tabela32[[#This Row],[Realizadas]]</f>
        <v>0</v>
      </c>
      <c r="U136" s="18">
        <f>Tabela32[[#This Row],[Realizadas]]/Tabela32[[#This Row],[Entregas]]</f>
        <v>1</v>
      </c>
      <c r="V136" s="19" t="str">
        <f>IF(Tabela32[[#This Row],[% Entrega]]&gt;=96%,"Atendeu a Meta","Não Atendeu a Meta")</f>
        <v>Atendeu a Meta</v>
      </c>
      <c r="W136" s="4" t="s">
        <v>39</v>
      </c>
      <c r="X136" s="4">
        <v>3</v>
      </c>
      <c r="Y136" s="5">
        <v>38</v>
      </c>
    </row>
    <row r="137" spans="1:25" x14ac:dyDescent="0.25">
      <c r="A137" s="8">
        <v>46254</v>
      </c>
      <c r="B137" s="16">
        <f>YEAR(Tabela32[[#This Row],[Data]])</f>
        <v>2026</v>
      </c>
      <c r="C137" s="16">
        <f>MONTH(Tabela32[[#This Row],[Data]])</f>
        <v>8</v>
      </c>
      <c r="D137" s="4" t="s">
        <v>29</v>
      </c>
      <c r="E137" s="4">
        <v>2</v>
      </c>
      <c r="F137" s="4" t="str">
        <f>IFERROR(VLOOKUP(Tabela32[[#This Row],[Placa]],Planilha2!$A$1:$B$12,2,0),"")</f>
        <v>Sandro</v>
      </c>
      <c r="G137" s="10">
        <v>2627.47</v>
      </c>
      <c r="H137" s="10">
        <v>57743.38</v>
      </c>
      <c r="I137" s="4">
        <v>446</v>
      </c>
      <c r="J137" s="17">
        <f>IFERROR(Tabela32[[#This Row],[Valor Frete]]/Tabela32[[#This Row],[Valor Mercadoria]],"")</f>
        <v>4.5502532065147552E-2</v>
      </c>
      <c r="K137" s="11">
        <v>0.5</v>
      </c>
      <c r="L137" s="15">
        <v>0.69374999999999998</v>
      </c>
      <c r="M137" s="15">
        <f>Tabela32[[#This Row],[Hr Chegada]]-Tabela32[[#This Row],[Hr Saida]]</f>
        <v>0.19374999999999998</v>
      </c>
      <c r="N137" s="4">
        <v>274600</v>
      </c>
      <c r="O137" s="4">
        <v>274652</v>
      </c>
      <c r="P137" s="4">
        <f>Tabela32[[#This Row],[Km Chegada]]-Tabela32[[#This Row],[Km Saída]]</f>
        <v>52</v>
      </c>
      <c r="Q137" s="4">
        <v>128</v>
      </c>
      <c r="R137" s="4">
        <v>11</v>
      </c>
      <c r="S137" s="4">
        <v>11</v>
      </c>
      <c r="T137" s="12">
        <f>Tabela32[[#This Row],[Entregas]]-Tabela32[[#This Row],[Realizadas]]</f>
        <v>0</v>
      </c>
      <c r="U137" s="18">
        <f>Tabela32[[#This Row],[Realizadas]]/Tabela32[[#This Row],[Entregas]]</f>
        <v>1</v>
      </c>
      <c r="V137" s="19" t="str">
        <f>IF(Tabela32[[#This Row],[% Entrega]]&gt;=96%,"Atendeu a Meta","Não Atendeu a Meta")</f>
        <v>Atendeu a Meta</v>
      </c>
      <c r="W137" s="4" t="s">
        <v>39</v>
      </c>
      <c r="X137" s="4">
        <v>0</v>
      </c>
      <c r="Y137" s="5">
        <v>0</v>
      </c>
    </row>
    <row r="138" spans="1:25" x14ac:dyDescent="0.25">
      <c r="A138" s="8">
        <v>46255</v>
      </c>
      <c r="B138" s="16">
        <f>YEAR(Tabela32[[#This Row],[Data]])</f>
        <v>2026</v>
      </c>
      <c r="C138" s="16">
        <f>MONTH(Tabela32[[#This Row],[Data]])</f>
        <v>8</v>
      </c>
      <c r="D138" s="4" t="s">
        <v>28</v>
      </c>
      <c r="E138" s="4">
        <v>1</v>
      </c>
      <c r="F138" s="4" t="str">
        <f>IFERROR(VLOOKUP(Tabela32[[#This Row],[Placa]],Planilha2!$A$1:$B$12,2,0),"")</f>
        <v>Edilson</v>
      </c>
      <c r="G138" s="10">
        <v>30511.18</v>
      </c>
      <c r="H138" s="10">
        <v>631200.38</v>
      </c>
      <c r="I138" s="4">
        <v>4591</v>
      </c>
      <c r="J138" s="17">
        <f>IFERROR(Tabela32[[#This Row],[Valor Frete]]/Tabela32[[#This Row],[Valor Mercadoria]],"")</f>
        <v>4.8338342255117149E-2</v>
      </c>
      <c r="K138" s="11">
        <v>0.27083333333333331</v>
      </c>
      <c r="L138" s="15">
        <v>0.77916666666666667</v>
      </c>
      <c r="M138" s="15">
        <f>Tabela32[[#This Row],[Hr Chegada]]-Tabela32[[#This Row],[Hr Saida]]</f>
        <v>0.5083333333333333</v>
      </c>
      <c r="N138" s="4">
        <v>103967</v>
      </c>
      <c r="O138" s="4">
        <v>104102</v>
      </c>
      <c r="P138" s="4">
        <f>Tabela32[[#This Row],[Km Chegada]]-Tabela32[[#This Row],[Km Saída]]</f>
        <v>135</v>
      </c>
      <c r="Q138" s="4">
        <v>110</v>
      </c>
      <c r="R138" s="4">
        <v>24</v>
      </c>
      <c r="S138" s="4">
        <v>24</v>
      </c>
      <c r="T138" s="12">
        <f>Tabela32[[#This Row],[Entregas]]-Tabela32[[#This Row],[Realizadas]]</f>
        <v>0</v>
      </c>
      <c r="U138" s="18">
        <f>Tabela32[[#This Row],[Realizadas]]/Tabela32[[#This Row],[Entregas]]</f>
        <v>1</v>
      </c>
      <c r="V138" s="19" t="str">
        <f>IF(Tabela32[[#This Row],[% Entrega]]&gt;=96%,"Atendeu a Meta","Não Atendeu a Meta")</f>
        <v>Atendeu a Meta</v>
      </c>
      <c r="W138" s="4" t="s">
        <v>41</v>
      </c>
      <c r="X138" s="4">
        <v>0</v>
      </c>
      <c r="Y138" s="5">
        <v>0</v>
      </c>
    </row>
    <row r="139" spans="1:25" x14ac:dyDescent="0.25">
      <c r="A139" s="8">
        <v>46255</v>
      </c>
      <c r="B139" s="16">
        <f>YEAR(Tabela32[[#This Row],[Data]])</f>
        <v>2026</v>
      </c>
      <c r="C139" s="16">
        <f>MONTH(Tabela32[[#This Row],[Data]])</f>
        <v>8</v>
      </c>
      <c r="D139" s="4" t="s">
        <v>53</v>
      </c>
      <c r="E139" s="4">
        <v>4</v>
      </c>
      <c r="F139" s="4" t="str">
        <f>IFERROR(VLOOKUP(Tabela32[[#This Row],[Placa]],Planilha2!$A$1:$B$12,2,0),"")</f>
        <v>Arnaldo</v>
      </c>
      <c r="G139" s="10">
        <v>3043.17</v>
      </c>
      <c r="H139" s="10">
        <v>63774.15</v>
      </c>
      <c r="I139" s="4">
        <v>323</v>
      </c>
      <c r="J139" s="17">
        <f>IFERROR(Tabela32[[#This Row],[Valor Frete]]/Tabela32[[#This Row],[Valor Mercadoria]],"")</f>
        <v>4.7717923327868735E-2</v>
      </c>
      <c r="K139" s="11">
        <v>0.29166666666666669</v>
      </c>
      <c r="L139" s="15">
        <v>0.66180555555555554</v>
      </c>
      <c r="M139" s="15">
        <f>Tabela32[[#This Row],[Hr Chegada]]-Tabela32[[#This Row],[Hr Saida]]</f>
        <v>0.37013888888888885</v>
      </c>
      <c r="N139" s="4">
        <v>12456</v>
      </c>
      <c r="O139" s="4">
        <v>12522</v>
      </c>
      <c r="P139" s="4">
        <f>Tabela32[[#This Row],[Km Chegada]]-Tabela32[[#This Row],[Km Saída]]</f>
        <v>66</v>
      </c>
      <c r="Q139" s="4">
        <v>66</v>
      </c>
      <c r="R139" s="4">
        <v>12</v>
      </c>
      <c r="S139" s="4">
        <v>12</v>
      </c>
      <c r="T139" s="12">
        <f>Tabela32[[#This Row],[Entregas]]-Tabela32[[#This Row],[Realizadas]]</f>
        <v>0</v>
      </c>
      <c r="U139" s="18">
        <f>Tabela32[[#This Row],[Realizadas]]/Tabela32[[#This Row],[Entregas]]</f>
        <v>1</v>
      </c>
      <c r="V139" s="19" t="str">
        <f>IF(Tabela32[[#This Row],[% Entrega]]&gt;=96%,"Atendeu a Meta","Não Atendeu a Meta")</f>
        <v>Atendeu a Meta</v>
      </c>
      <c r="W139" s="4" t="s">
        <v>39</v>
      </c>
      <c r="X139" s="4">
        <v>2</v>
      </c>
      <c r="Y139" s="5">
        <v>38</v>
      </c>
    </row>
    <row r="140" spans="1:25" x14ac:dyDescent="0.25">
      <c r="A140" s="8">
        <v>46255</v>
      </c>
      <c r="B140" s="16">
        <f>YEAR(Tabela32[[#This Row],[Data]])</f>
        <v>2026</v>
      </c>
      <c r="C140" s="16">
        <f>MONTH(Tabela32[[#This Row],[Data]])</f>
        <v>8</v>
      </c>
      <c r="D140" s="4" t="s">
        <v>29</v>
      </c>
      <c r="E140" s="4">
        <v>1</v>
      </c>
      <c r="F140" s="4" t="str">
        <f>IFERROR(VLOOKUP(Tabela32[[#This Row],[Placa]],Planilha2!$A$1:$B$12,2,0),"")</f>
        <v>Sandro</v>
      </c>
      <c r="G140" s="10">
        <v>1644.73</v>
      </c>
      <c r="H140" s="10">
        <v>61111.38</v>
      </c>
      <c r="I140" s="4">
        <v>276</v>
      </c>
      <c r="J140" s="17">
        <f>IFERROR(Tabela32[[#This Row],[Valor Frete]]/Tabela32[[#This Row],[Valor Mercadoria]],"")</f>
        <v>2.6913645216324687E-2</v>
      </c>
      <c r="K140" s="11">
        <v>0.29166666666666669</v>
      </c>
      <c r="L140" s="15">
        <v>0.625</v>
      </c>
      <c r="M140" s="15">
        <f>Tabela32[[#This Row],[Hr Chegada]]-Tabela32[[#This Row],[Hr Saida]]</f>
        <v>0.33333333333333331</v>
      </c>
      <c r="N140" s="4">
        <v>274652</v>
      </c>
      <c r="O140" s="4">
        <v>274700</v>
      </c>
      <c r="P140" s="4">
        <f>Tabela32[[#This Row],[Km Chegada]]-Tabela32[[#This Row],[Km Saída]]</f>
        <v>48</v>
      </c>
      <c r="Q140" s="4">
        <v>56</v>
      </c>
      <c r="R140" s="4">
        <v>3</v>
      </c>
      <c r="S140" s="4">
        <v>3</v>
      </c>
      <c r="T140" s="12">
        <f>Tabela32[[#This Row],[Entregas]]-Tabela32[[#This Row],[Realizadas]]</f>
        <v>0</v>
      </c>
      <c r="U140" s="18">
        <f>Tabela32[[#This Row],[Realizadas]]/Tabela32[[#This Row],[Entregas]]</f>
        <v>1</v>
      </c>
      <c r="V140" s="19" t="str">
        <f>IF(Tabela32[[#This Row],[% Entrega]]&gt;=96%,"Atendeu a Meta","Não Atendeu a Meta")</f>
        <v>Atendeu a Meta</v>
      </c>
      <c r="W140" s="4" t="s">
        <v>40</v>
      </c>
      <c r="X140" s="4">
        <v>0</v>
      </c>
      <c r="Y140" s="5">
        <v>0</v>
      </c>
    </row>
    <row r="141" spans="1:25" x14ac:dyDescent="0.25">
      <c r="A141" s="8">
        <v>46255</v>
      </c>
      <c r="B141" s="16">
        <f>YEAR(Tabela32[[#This Row],[Data]])</f>
        <v>2026</v>
      </c>
      <c r="C141" s="16">
        <f>MONTH(Tabela32[[#This Row],[Data]])</f>
        <v>8</v>
      </c>
      <c r="D141" s="4" t="s">
        <v>25</v>
      </c>
      <c r="E141" s="4">
        <v>5</v>
      </c>
      <c r="F141" s="4" t="str">
        <f>IFERROR(VLOOKUP(Tabela32[[#This Row],[Placa]],Planilha2!$A$1:$B$12,2,0),"")</f>
        <v>Gilberto</v>
      </c>
      <c r="G141" s="10">
        <v>5634.34</v>
      </c>
      <c r="H141" s="10">
        <v>145684.98000000001</v>
      </c>
      <c r="I141" s="4">
        <v>1005</v>
      </c>
      <c r="J141" s="17">
        <f>IFERROR(Tabela32[[#This Row],[Valor Frete]]/Tabela32[[#This Row],[Valor Mercadoria]],"")</f>
        <v>3.8674817403962988E-2</v>
      </c>
      <c r="K141" s="11">
        <v>0.29166666666666669</v>
      </c>
      <c r="L141" s="15">
        <v>0.71250000000000002</v>
      </c>
      <c r="M141" s="15">
        <f>Tabela32[[#This Row],[Hr Chegada]]-Tabela32[[#This Row],[Hr Saida]]</f>
        <v>0.42083333333333334</v>
      </c>
      <c r="N141" s="4">
        <v>118237</v>
      </c>
      <c r="O141" s="4">
        <v>118332</v>
      </c>
      <c r="P141" s="4">
        <f>Tabela32[[#This Row],[Km Chegada]]-Tabela32[[#This Row],[Km Saída]]</f>
        <v>95</v>
      </c>
      <c r="Q141" s="4">
        <v>221</v>
      </c>
      <c r="R141" s="4">
        <v>27</v>
      </c>
      <c r="S141" s="4">
        <v>27</v>
      </c>
      <c r="T141" s="12">
        <f>Tabela32[[#This Row],[Entregas]]-Tabela32[[#This Row],[Realizadas]]</f>
        <v>0</v>
      </c>
      <c r="U141" s="18">
        <f>Tabela32[[#This Row],[Realizadas]]/Tabela32[[#This Row],[Entregas]]</f>
        <v>1</v>
      </c>
      <c r="V141" s="19" t="str">
        <f>IF(Tabela32[[#This Row],[% Entrega]]&gt;=96%,"Atendeu a Meta","Não Atendeu a Meta")</f>
        <v>Atendeu a Meta</v>
      </c>
      <c r="W141" s="4" t="s">
        <v>39</v>
      </c>
      <c r="X141" s="4">
        <v>0</v>
      </c>
      <c r="Y141" s="5">
        <v>0</v>
      </c>
    </row>
    <row r="142" spans="1:25" x14ac:dyDescent="0.25">
      <c r="A142" s="8">
        <v>46255</v>
      </c>
      <c r="B142" s="16">
        <f>YEAR(Tabela32[[#This Row],[Data]])</f>
        <v>2026</v>
      </c>
      <c r="C142" s="16">
        <f>MONTH(Tabela32[[#This Row],[Data]])</f>
        <v>8</v>
      </c>
      <c r="D142" s="4" t="s">
        <v>35</v>
      </c>
      <c r="E142" s="4">
        <v>1</v>
      </c>
      <c r="F142" s="4" t="str">
        <f>IFERROR(VLOOKUP(Tabela32[[#This Row],[Placa]],Planilha2!$A$1:$B$12,2,0),"")</f>
        <v>Osvaldo</v>
      </c>
      <c r="G142" s="10">
        <v>18367.5</v>
      </c>
      <c r="H142" s="10">
        <v>285918.33</v>
      </c>
      <c r="I142" s="4">
        <v>4968</v>
      </c>
      <c r="J142" s="17">
        <f>IFERROR(Tabela32[[#This Row],[Valor Frete]]/Tabela32[[#This Row],[Valor Mercadoria]],"")</f>
        <v>6.4240372416836652E-2</v>
      </c>
      <c r="K142" s="11">
        <v>0.29166666666666669</v>
      </c>
      <c r="L142" s="15">
        <v>0.81944444444444442</v>
      </c>
      <c r="M142" s="15">
        <f>Tabela32[[#This Row],[Hr Chegada]]-Tabela32[[#This Row],[Hr Saida]]</f>
        <v>0.52777777777777768</v>
      </c>
      <c r="N142" s="4">
        <v>141799</v>
      </c>
      <c r="O142" s="4">
        <v>141859</v>
      </c>
      <c r="P142" s="4">
        <f>Tabela32[[#This Row],[Km Chegada]]-Tabela32[[#This Row],[Km Saída]]</f>
        <v>60</v>
      </c>
      <c r="Q142" s="4">
        <v>773</v>
      </c>
      <c r="R142" s="4">
        <v>30</v>
      </c>
      <c r="S142" s="4">
        <v>25</v>
      </c>
      <c r="T142" s="12">
        <f>Tabela32[[#This Row],[Entregas]]-Tabela32[[#This Row],[Realizadas]]</f>
        <v>5</v>
      </c>
      <c r="U142" s="18">
        <f>Tabela32[[#This Row],[Realizadas]]/Tabela32[[#This Row],[Entregas]]</f>
        <v>0.83333333333333337</v>
      </c>
      <c r="V142" s="19" t="str">
        <f>IF(Tabela32[[#This Row],[% Entrega]]&gt;=96%,"Atendeu a Meta","Não Atendeu a Meta")</f>
        <v>Não Atendeu a Meta</v>
      </c>
      <c r="W142" s="4" t="s">
        <v>43</v>
      </c>
      <c r="X142" s="4">
        <v>5</v>
      </c>
      <c r="Y142" s="5" t="s">
        <v>68</v>
      </c>
    </row>
    <row r="143" spans="1:25" x14ac:dyDescent="0.25">
      <c r="A143" s="8">
        <v>46255</v>
      </c>
      <c r="B143" s="16">
        <f>YEAR(Tabela32[[#This Row],[Data]])</f>
        <v>2026</v>
      </c>
      <c r="C143" s="16">
        <f>MONTH(Tabela32[[#This Row],[Data]])</f>
        <v>8</v>
      </c>
      <c r="D143" s="4" t="s">
        <v>31</v>
      </c>
      <c r="E143" s="4">
        <v>1</v>
      </c>
      <c r="F143" s="4" t="str">
        <f>IFERROR(VLOOKUP(Tabela32[[#This Row],[Placa]],Planilha2!$A$1:$B$12,2,0),"")</f>
        <v>Jerson</v>
      </c>
      <c r="G143" s="10">
        <v>3355.34</v>
      </c>
      <c r="H143" s="10">
        <v>45519.69</v>
      </c>
      <c r="I143" s="4">
        <v>401</v>
      </c>
      <c r="J143" s="17">
        <f>IFERROR(Tabela32[[#This Row],[Valor Frete]]/Tabela32[[#This Row],[Valor Mercadoria]],"")</f>
        <v>7.3711837668490279E-2</v>
      </c>
      <c r="K143" s="11">
        <v>0.29166666666666669</v>
      </c>
      <c r="L143" s="15">
        <v>0.70138888888888884</v>
      </c>
      <c r="M143" s="15">
        <f>Tabela32[[#This Row],[Hr Chegada]]-Tabela32[[#This Row],[Hr Saida]]</f>
        <v>0.40972222222222215</v>
      </c>
      <c r="N143" s="4">
        <v>279486</v>
      </c>
      <c r="O143" s="4">
        <v>279543</v>
      </c>
      <c r="P143" s="4">
        <f>Tabela32[[#This Row],[Km Chegada]]-Tabela32[[#This Row],[Km Saída]]</f>
        <v>57</v>
      </c>
      <c r="Q143" s="4">
        <v>73</v>
      </c>
      <c r="R143" s="4">
        <v>8</v>
      </c>
      <c r="S143" s="4">
        <v>8</v>
      </c>
      <c r="T143" s="12">
        <f>Tabela32[[#This Row],[Entregas]]-Tabela32[[#This Row],[Realizadas]]</f>
        <v>0</v>
      </c>
      <c r="U143" s="18">
        <f>Tabela32[[#This Row],[Realizadas]]/Tabela32[[#This Row],[Entregas]]</f>
        <v>1</v>
      </c>
      <c r="V143" s="19" t="str">
        <f>IF(Tabela32[[#This Row],[% Entrega]]&gt;=96%,"Atendeu a Meta","Não Atendeu a Meta")</f>
        <v>Atendeu a Meta</v>
      </c>
      <c r="W143" s="4" t="s">
        <v>39</v>
      </c>
      <c r="X143" s="4">
        <v>1</v>
      </c>
      <c r="Y143" s="5">
        <v>38</v>
      </c>
    </row>
    <row r="144" spans="1:25" x14ac:dyDescent="0.25">
      <c r="A144" s="8">
        <v>46255</v>
      </c>
      <c r="B144" s="16">
        <f>YEAR(Tabela32[[#This Row],[Data]])</f>
        <v>2026</v>
      </c>
      <c r="C144" s="16">
        <f>MONTH(Tabela32[[#This Row],[Data]])</f>
        <v>8</v>
      </c>
      <c r="D144" s="4" t="s">
        <v>22</v>
      </c>
      <c r="E144" s="4">
        <v>3</v>
      </c>
      <c r="F144" s="4" t="str">
        <f>IFERROR(VLOOKUP(Tabela32[[#This Row],[Placa]],Planilha2!$A$1:$B$12,2,0),"")</f>
        <v>Wesley</v>
      </c>
      <c r="G144" s="10">
        <v>12213.47</v>
      </c>
      <c r="H144" s="10">
        <v>219930.64</v>
      </c>
      <c r="I144" s="4">
        <v>3470</v>
      </c>
      <c r="J144" s="17">
        <f>IFERROR(Tabela32[[#This Row],[Valor Frete]]/Tabela32[[#This Row],[Valor Mercadoria]],"")</f>
        <v>5.553328085618265E-2</v>
      </c>
      <c r="K144" s="11">
        <v>0.29166666666666669</v>
      </c>
      <c r="L144" s="15">
        <v>0.75069444444444444</v>
      </c>
      <c r="M144" s="15">
        <f>Tabela32[[#This Row],[Hr Chegada]]-Tabela32[[#This Row],[Hr Saida]]</f>
        <v>0.45902777777777776</v>
      </c>
      <c r="N144" s="4">
        <v>303285</v>
      </c>
      <c r="O144" s="4">
        <v>303335</v>
      </c>
      <c r="P144" s="4">
        <f>Tabela32[[#This Row],[Km Chegada]]-Tabela32[[#This Row],[Km Saída]]</f>
        <v>50</v>
      </c>
      <c r="Q144" s="4">
        <v>285</v>
      </c>
      <c r="R144" s="4">
        <v>12</v>
      </c>
      <c r="S144" s="4">
        <v>12</v>
      </c>
      <c r="T144" s="12">
        <f>Tabela32[[#This Row],[Entregas]]-Tabela32[[#This Row],[Realizadas]]</f>
        <v>0</v>
      </c>
      <c r="U144" s="18">
        <f>Tabela32[[#This Row],[Realizadas]]/Tabela32[[#This Row],[Entregas]]</f>
        <v>1</v>
      </c>
      <c r="V144" s="19" t="str">
        <f>IF(Tabela32[[#This Row],[% Entrega]]&gt;=96%,"Atendeu a Meta","Não Atendeu a Meta")</f>
        <v>Atendeu a Meta</v>
      </c>
      <c r="W144" s="10" t="s">
        <v>39</v>
      </c>
      <c r="X144" s="4">
        <v>0</v>
      </c>
      <c r="Y144" s="5">
        <v>0</v>
      </c>
    </row>
    <row r="145" spans="1:25" x14ac:dyDescent="0.25">
      <c r="A145" s="8">
        <v>46255</v>
      </c>
      <c r="B145" s="16">
        <f>YEAR(Tabela32[[#This Row],[Data]])</f>
        <v>2026</v>
      </c>
      <c r="C145" s="16">
        <f>MONTH(Tabela32[[#This Row],[Data]])</f>
        <v>8</v>
      </c>
      <c r="D145" s="4" t="s">
        <v>33</v>
      </c>
      <c r="E145" s="4">
        <v>1</v>
      </c>
      <c r="F145" s="4" t="str">
        <f>IFERROR(VLOOKUP(Tabela32[[#This Row],[Placa]],Planilha2!$A$1:$B$12,2,0),"")</f>
        <v>Paulo</v>
      </c>
      <c r="G145" s="10">
        <v>1386.09</v>
      </c>
      <c r="H145" s="10">
        <v>40934.400000000001</v>
      </c>
      <c r="I145" s="4">
        <v>61</v>
      </c>
      <c r="J145" s="17">
        <f>IFERROR(Tabela32[[#This Row],[Valor Frete]]/Tabela32[[#This Row],[Valor Mercadoria]],"")</f>
        <v>3.3861251172607874E-2</v>
      </c>
      <c r="K145" s="11">
        <v>0.29166666666666669</v>
      </c>
      <c r="L145" s="15">
        <v>0.79722222222222228</v>
      </c>
      <c r="M145" s="15">
        <f>Tabela32[[#This Row],[Hr Chegada]]-Tabela32[[#This Row],[Hr Saida]]</f>
        <v>0.50555555555555554</v>
      </c>
      <c r="N145" s="4">
        <v>154259</v>
      </c>
      <c r="O145" s="4">
        <v>154300</v>
      </c>
      <c r="P145" s="4">
        <f>Tabela32[[#This Row],[Km Chegada]]-Tabela32[[#This Row],[Km Saída]]</f>
        <v>41</v>
      </c>
      <c r="Q145" s="4">
        <v>64</v>
      </c>
      <c r="R145" s="4">
        <v>2</v>
      </c>
      <c r="S145" s="4">
        <v>2</v>
      </c>
      <c r="T145" s="12">
        <f>Tabela32[[#This Row],[Entregas]]-Tabela32[[#This Row],[Realizadas]]</f>
        <v>0</v>
      </c>
      <c r="U145" s="18">
        <f>Tabela32[[#This Row],[Realizadas]]/Tabela32[[#This Row],[Entregas]]</f>
        <v>1</v>
      </c>
      <c r="V145" s="19" t="str">
        <f>IF(Tabela32[[#This Row],[% Entrega]]&gt;=96%,"Atendeu a Meta","Não Atendeu a Meta")</f>
        <v>Atendeu a Meta</v>
      </c>
      <c r="W145" s="4" t="s">
        <v>40</v>
      </c>
      <c r="X145" s="4">
        <v>0</v>
      </c>
      <c r="Y145" s="5">
        <v>0</v>
      </c>
    </row>
    <row r="146" spans="1:25" x14ac:dyDescent="0.25">
      <c r="A146" s="8">
        <v>46255</v>
      </c>
      <c r="B146" s="16">
        <f>YEAR(Tabela32[[#This Row],[Data]])</f>
        <v>2026</v>
      </c>
      <c r="C146" s="16">
        <f>MONTH(Tabela32[[#This Row],[Data]])</f>
        <v>8</v>
      </c>
      <c r="D146" s="4" t="s">
        <v>23</v>
      </c>
      <c r="E146" s="4">
        <v>1</v>
      </c>
      <c r="F146" s="4" t="str">
        <f>IFERROR(VLOOKUP(Tabela32[[#This Row],[Placa]],Planilha2!$A$1:$B$12,2,0),"")</f>
        <v>William</v>
      </c>
      <c r="G146" s="10">
        <v>11238.27</v>
      </c>
      <c r="H146" s="10">
        <v>184739.8</v>
      </c>
      <c r="I146" s="4">
        <v>2061</v>
      </c>
      <c r="J146" s="17">
        <f>IFERROR(Tabela32[[#This Row],[Valor Frete]]/Tabela32[[#This Row],[Valor Mercadoria]],"")</f>
        <v>6.0832966150228596E-2</v>
      </c>
      <c r="K146" s="11">
        <v>0.29166666666666669</v>
      </c>
      <c r="L146" s="15">
        <v>0.76875000000000004</v>
      </c>
      <c r="M146" s="15">
        <f>Tabela32[[#This Row],[Hr Chegada]]-Tabela32[[#This Row],[Hr Saida]]</f>
        <v>0.47708333333333336</v>
      </c>
      <c r="N146" s="4">
        <v>124163</v>
      </c>
      <c r="O146" s="4">
        <v>124246</v>
      </c>
      <c r="P146" s="4">
        <f>Tabela32[[#This Row],[Km Chegada]]-Tabela32[[#This Row],[Km Saída]]</f>
        <v>83</v>
      </c>
      <c r="Q146" s="4">
        <v>266</v>
      </c>
      <c r="R146" s="4">
        <v>31</v>
      </c>
      <c r="S146" s="4">
        <v>30</v>
      </c>
      <c r="T146" s="12">
        <f>Tabela32[[#This Row],[Entregas]]-Tabela32[[#This Row],[Realizadas]]</f>
        <v>1</v>
      </c>
      <c r="U146" s="18">
        <f>Tabela32[[#This Row],[Realizadas]]/Tabela32[[#This Row],[Entregas]]</f>
        <v>0.967741935483871</v>
      </c>
      <c r="V146" s="19" t="str">
        <f>IF(Tabela32[[#This Row],[% Entrega]]&gt;=96%,"Atendeu a Meta","Não Atendeu a Meta")</f>
        <v>Atendeu a Meta</v>
      </c>
      <c r="W146" s="4" t="s">
        <v>43</v>
      </c>
      <c r="X146" s="4">
        <v>3</v>
      </c>
      <c r="Y146" s="5" t="s">
        <v>67</v>
      </c>
    </row>
    <row r="147" spans="1:25" x14ac:dyDescent="0.25">
      <c r="A147" s="8">
        <v>46255</v>
      </c>
      <c r="B147" s="16">
        <f>YEAR(Tabela32[[#This Row],[Data]])</f>
        <v>2026</v>
      </c>
      <c r="C147" s="16">
        <f>MONTH(Tabela32[[#This Row],[Data]])</f>
        <v>8</v>
      </c>
      <c r="D147" s="4" t="s">
        <v>29</v>
      </c>
      <c r="E147" s="4">
        <v>2</v>
      </c>
      <c r="F147" s="4" t="str">
        <f>IFERROR(VLOOKUP(Tabela32[[#This Row],[Placa]],Planilha2!$A$1:$B$12,2,0),"")</f>
        <v>Sandro</v>
      </c>
      <c r="G147" s="10">
        <v>1528.87</v>
      </c>
      <c r="H147" s="10">
        <v>13798.57</v>
      </c>
      <c r="I147" s="4">
        <v>310</v>
      </c>
      <c r="J147" s="17">
        <f>IFERROR(Tabela32[[#This Row],[Valor Frete]]/Tabela32[[#This Row],[Valor Mercadoria]],"")</f>
        <v>0.11079916252191349</v>
      </c>
      <c r="K147" s="11">
        <v>0.29166666666666669</v>
      </c>
      <c r="L147" s="15">
        <v>0.73263888888888884</v>
      </c>
      <c r="M147" s="15">
        <f>Tabela32[[#This Row],[Hr Chegada]]-Tabela32[[#This Row],[Hr Saida]]</f>
        <v>0.44097222222222215</v>
      </c>
      <c r="N147" s="4">
        <v>274652</v>
      </c>
      <c r="O147" s="4">
        <v>274736</v>
      </c>
      <c r="P147" s="4">
        <f>Tabela32[[#This Row],[Km Chegada]]-Tabela32[[#This Row],[Km Saída]]</f>
        <v>84</v>
      </c>
      <c r="Q147" s="4">
        <v>50</v>
      </c>
      <c r="R147" s="4">
        <v>2</v>
      </c>
      <c r="S147" s="4">
        <v>2</v>
      </c>
      <c r="T147" s="12">
        <f>Tabela32[[#This Row],[Entregas]]-Tabela32[[#This Row],[Realizadas]]</f>
        <v>0</v>
      </c>
      <c r="U147" s="18">
        <f>Tabela32[[#This Row],[Realizadas]]/Tabela32[[#This Row],[Entregas]]</f>
        <v>1</v>
      </c>
      <c r="V147" s="19" t="str">
        <f>IF(Tabela32[[#This Row],[% Entrega]]&gt;=96%,"Atendeu a Meta","Não Atendeu a Meta")</f>
        <v>Atendeu a Meta</v>
      </c>
      <c r="W147" s="10" t="s">
        <v>39</v>
      </c>
      <c r="X147" s="4">
        <v>0</v>
      </c>
      <c r="Y147" s="5">
        <v>0</v>
      </c>
    </row>
    <row r="148" spans="1:25" x14ac:dyDescent="0.25">
      <c r="A148" s="8">
        <v>46256</v>
      </c>
      <c r="B148" s="16">
        <f>YEAR(Tabela32[[#This Row],[Data]])</f>
        <v>2026</v>
      </c>
      <c r="C148" s="16">
        <f>MONTH(Tabela32[[#This Row],[Data]])</f>
        <v>8</v>
      </c>
      <c r="D148" s="4" t="s">
        <v>29</v>
      </c>
      <c r="E148" s="4">
        <v>1</v>
      </c>
      <c r="F148" s="4" t="str">
        <f>IFERROR(VLOOKUP(Tabela32[[#This Row],[Placa]],Planilha2!$A$1:$B$12,2,0),"")</f>
        <v>Sandro</v>
      </c>
      <c r="G148" s="10">
        <v>8121.49</v>
      </c>
      <c r="H148" s="10">
        <v>159899.17000000001</v>
      </c>
      <c r="I148" s="4">
        <v>1284</v>
      </c>
      <c r="J148" s="17">
        <f>IFERROR(Tabela32[[#This Row],[Valor Frete]]/Tabela32[[#This Row],[Valor Mercadoria]],"")</f>
        <v>5.0791320555322449E-2</v>
      </c>
      <c r="K148" s="11">
        <v>0.29166666666666669</v>
      </c>
      <c r="L148" s="15">
        <v>0.59375</v>
      </c>
      <c r="M148" s="15">
        <f>Tabela32[[#This Row],[Hr Chegada]]-Tabela32[[#This Row],[Hr Saida]]</f>
        <v>0.30208333333333331</v>
      </c>
      <c r="N148" s="4">
        <v>274736</v>
      </c>
      <c r="O148" s="4">
        <v>274865</v>
      </c>
      <c r="P148" s="4">
        <f>Tabela32[[#This Row],[Km Chegada]]-Tabela32[[#This Row],[Km Saída]]</f>
        <v>129</v>
      </c>
      <c r="Q148" s="4">
        <v>178</v>
      </c>
      <c r="R148" s="4">
        <v>20</v>
      </c>
      <c r="S148" s="4">
        <v>20</v>
      </c>
      <c r="T148" s="12">
        <f>Tabela32[[#This Row],[Entregas]]-Tabela32[[#This Row],[Realizadas]]</f>
        <v>0</v>
      </c>
      <c r="U148" s="18">
        <f>Tabela32[[#This Row],[Realizadas]]/Tabela32[[#This Row],[Entregas]]</f>
        <v>1</v>
      </c>
      <c r="V148" s="19" t="str">
        <f>IF(Tabela32[[#This Row],[% Entrega]]&gt;=96%,"Atendeu a Meta","Não Atendeu a Meta")</f>
        <v>Atendeu a Meta</v>
      </c>
      <c r="W148" s="4" t="s">
        <v>41</v>
      </c>
      <c r="X148" s="4">
        <v>0</v>
      </c>
      <c r="Y148" s="5">
        <v>0</v>
      </c>
    </row>
    <row r="149" spans="1:25" x14ac:dyDescent="0.25">
      <c r="A149" s="8">
        <v>46258</v>
      </c>
      <c r="B149" s="16">
        <f>YEAR(Tabela32[[#This Row],[Data]])</f>
        <v>2026</v>
      </c>
      <c r="C149" s="16">
        <f>MONTH(Tabela32[[#This Row],[Data]])</f>
        <v>8</v>
      </c>
      <c r="D149" s="4" t="s">
        <v>29</v>
      </c>
      <c r="E149" s="4">
        <v>1</v>
      </c>
      <c r="F149" s="4" t="str">
        <f>IFERROR(VLOOKUP(Tabela32[[#This Row],[Placa]],Planilha2!$A$1:$B$12,2,0),"")</f>
        <v>Sandro</v>
      </c>
      <c r="G149" s="10">
        <v>1417.19</v>
      </c>
      <c r="H149" s="10">
        <v>68719.899999999994</v>
      </c>
      <c r="I149" s="4">
        <v>94</v>
      </c>
      <c r="J149" s="17">
        <f>IFERROR(Tabela32[[#This Row],[Valor Frete]]/Tabela32[[#This Row],[Valor Mercadoria]],"")</f>
        <v>2.0622701721044415E-2</v>
      </c>
      <c r="K149" s="11">
        <v>0.29166666666666669</v>
      </c>
      <c r="L149" s="15">
        <v>0.63749999999999996</v>
      </c>
      <c r="M149" s="15">
        <f>Tabela32[[#This Row],[Hr Chegada]]-Tabela32[[#This Row],[Hr Saida]]</f>
        <v>0.34583333333333327</v>
      </c>
      <c r="N149" s="4">
        <v>274865</v>
      </c>
      <c r="O149" s="4">
        <v>274901</v>
      </c>
      <c r="P149" s="4">
        <f>Tabela32[[#This Row],[Km Chegada]]-Tabela32[[#This Row],[Km Saída]]</f>
        <v>36</v>
      </c>
      <c r="Q149" s="4">
        <v>2</v>
      </c>
      <c r="R149" s="4">
        <v>2</v>
      </c>
      <c r="S149" s="4">
        <v>2</v>
      </c>
      <c r="T149" s="12">
        <f>Tabela32[[#This Row],[Entregas]]-Tabela32[[#This Row],[Realizadas]]</f>
        <v>0</v>
      </c>
      <c r="U149" s="18">
        <f>Tabela32[[#This Row],[Realizadas]]/Tabela32[[#This Row],[Entregas]]</f>
        <v>1</v>
      </c>
      <c r="V149" s="19" t="str">
        <f>IF(Tabela32[[#This Row],[% Entrega]]&gt;=96%,"Atendeu a Meta","Não Atendeu a Meta")</f>
        <v>Atendeu a Meta</v>
      </c>
      <c r="W149" s="4" t="s">
        <v>40</v>
      </c>
      <c r="X149" s="4">
        <v>0</v>
      </c>
      <c r="Y149" s="5">
        <v>0</v>
      </c>
    </row>
    <row r="150" spans="1:25" x14ac:dyDescent="0.25">
      <c r="A150" s="8">
        <v>46258</v>
      </c>
      <c r="B150" s="16">
        <f>YEAR(Tabela32[[#This Row],[Data]])</f>
        <v>2026</v>
      </c>
      <c r="C150" s="16">
        <f>MONTH(Tabela32[[#This Row],[Data]])</f>
        <v>8</v>
      </c>
      <c r="D150" s="4" t="s">
        <v>31</v>
      </c>
      <c r="E150" s="4">
        <v>2</v>
      </c>
      <c r="F150" s="4" t="str">
        <f>IFERROR(VLOOKUP(Tabela32[[#This Row],[Placa]],Planilha2!$A$1:$B$12,2,0),"")</f>
        <v>Jerson</v>
      </c>
      <c r="G150" s="10">
        <v>13874.37</v>
      </c>
      <c r="H150" s="10">
        <v>302315.42</v>
      </c>
      <c r="I150" s="4">
        <v>2846</v>
      </c>
      <c r="J150" s="17">
        <f>IFERROR(Tabela32[[#This Row],[Valor Frete]]/Tabela32[[#This Row],[Valor Mercadoria]],"")</f>
        <v>4.5893689445282021E-2</v>
      </c>
      <c r="K150" s="11">
        <v>0.29166666666666669</v>
      </c>
      <c r="L150" s="15">
        <v>0.7993055555555556</v>
      </c>
      <c r="M150" s="15">
        <f>Tabela32[[#This Row],[Hr Chegada]]-Tabela32[[#This Row],[Hr Saida]]</f>
        <v>0.50763888888888897</v>
      </c>
      <c r="N150" s="4">
        <v>279544</v>
      </c>
      <c r="O150" s="4">
        <v>279628</v>
      </c>
      <c r="P150" s="4">
        <f>Tabela32[[#This Row],[Km Chegada]]-Tabela32[[#This Row],[Km Saída]]</f>
        <v>84</v>
      </c>
      <c r="Q150" s="4">
        <v>441</v>
      </c>
      <c r="R150" s="4">
        <v>49</v>
      </c>
      <c r="S150" s="4">
        <v>49</v>
      </c>
      <c r="T150" s="12">
        <f>Tabela32[[#This Row],[Entregas]]-Tabela32[[#This Row],[Realizadas]]</f>
        <v>0</v>
      </c>
      <c r="U150" s="18">
        <f>Tabela32[[#This Row],[Realizadas]]/Tabela32[[#This Row],[Entregas]]</f>
        <v>1</v>
      </c>
      <c r="V150" s="19" t="str">
        <f>IF(Tabela32[[#This Row],[% Entrega]]&gt;=96%,"Atendeu a Meta","Não Atendeu a Meta")</f>
        <v>Atendeu a Meta</v>
      </c>
      <c r="W150" s="4" t="s">
        <v>39</v>
      </c>
      <c r="X150" s="4">
        <v>0</v>
      </c>
      <c r="Y150" s="5">
        <v>0</v>
      </c>
    </row>
    <row r="151" spans="1:25" x14ac:dyDescent="0.25">
      <c r="A151" s="8">
        <v>46258</v>
      </c>
      <c r="B151" s="16">
        <f>YEAR(Tabela32[[#This Row],[Data]])</f>
        <v>2026</v>
      </c>
      <c r="C151" s="16">
        <f>MONTH(Tabela32[[#This Row],[Data]])</f>
        <v>8</v>
      </c>
      <c r="D151" s="4" t="s">
        <v>25</v>
      </c>
      <c r="E151" s="4">
        <v>11</v>
      </c>
      <c r="F151" s="4" t="str">
        <f>IFERROR(VLOOKUP(Tabela32[[#This Row],[Placa]],Planilha2!$A$1:$B$12,2,0),"")</f>
        <v>Gilberto</v>
      </c>
      <c r="G151" s="10">
        <v>12498.44</v>
      </c>
      <c r="H151" s="10">
        <v>198626.17</v>
      </c>
      <c r="I151" s="4">
        <v>2011</v>
      </c>
      <c r="J151" s="17">
        <f>IFERROR(Tabela32[[#This Row],[Valor Frete]]/Tabela32[[#This Row],[Valor Mercadoria]],"")</f>
        <v>6.2924437399160441E-2</v>
      </c>
      <c r="K151" s="11">
        <v>0.27083333333333331</v>
      </c>
      <c r="L151" s="15">
        <v>0.74652777777777779</v>
      </c>
      <c r="M151" s="15">
        <f>Tabela32[[#This Row],[Hr Chegada]]-Tabela32[[#This Row],[Hr Saida]]</f>
        <v>0.47569444444444448</v>
      </c>
      <c r="N151" s="4">
        <v>118332</v>
      </c>
      <c r="O151" s="4">
        <v>118496</v>
      </c>
      <c r="P151" s="4">
        <f>Tabela32[[#This Row],[Km Chegada]]-Tabela32[[#This Row],[Km Saída]]</f>
        <v>164</v>
      </c>
      <c r="Q151" s="4">
        <v>265</v>
      </c>
      <c r="R151" s="4">
        <v>26</v>
      </c>
      <c r="S151" s="4">
        <v>26</v>
      </c>
      <c r="T151" s="12">
        <f>Tabela32[[#This Row],[Entregas]]-Tabela32[[#This Row],[Realizadas]]</f>
        <v>0</v>
      </c>
      <c r="U151" s="18">
        <f>Tabela32[[#This Row],[Realizadas]]/Tabela32[[#This Row],[Entregas]]</f>
        <v>1</v>
      </c>
      <c r="V151" s="19" t="str">
        <f>IF(Tabela32[[#This Row],[% Entrega]]&gt;=96%,"Atendeu a Meta","Não Atendeu a Meta")</f>
        <v>Atendeu a Meta</v>
      </c>
      <c r="W151" s="4" t="s">
        <v>41</v>
      </c>
      <c r="X151" s="4">
        <v>0</v>
      </c>
      <c r="Y151" s="5">
        <v>0</v>
      </c>
    </row>
    <row r="152" spans="1:25" x14ac:dyDescent="0.25">
      <c r="A152" s="8">
        <v>46258</v>
      </c>
      <c r="B152" s="16">
        <f>YEAR(Tabela32[[#This Row],[Data]])</f>
        <v>2026</v>
      </c>
      <c r="C152" s="16">
        <f>MONTH(Tabela32[[#This Row],[Data]])</f>
        <v>8</v>
      </c>
      <c r="D152" s="4" t="s">
        <v>35</v>
      </c>
      <c r="E152" s="4">
        <v>1</v>
      </c>
      <c r="F152" s="4" t="str">
        <f>IFERROR(VLOOKUP(Tabela32[[#This Row],[Placa]],Planilha2!$A$1:$B$12,2,0),"")</f>
        <v>Osvaldo</v>
      </c>
      <c r="G152" s="10">
        <v>7333</v>
      </c>
      <c r="H152" s="10">
        <v>75924.73</v>
      </c>
      <c r="I152" s="4">
        <v>657</v>
      </c>
      <c r="J152" s="17">
        <f>IFERROR(Tabela32[[#This Row],[Valor Frete]]/Tabela32[[#This Row],[Valor Mercadoria]],"")</f>
        <v>9.6582496901865836E-2</v>
      </c>
      <c r="K152" s="11">
        <v>0.29166666666666669</v>
      </c>
      <c r="L152" s="15">
        <v>0.78333333333333333</v>
      </c>
      <c r="M152" s="15">
        <f>Tabela32[[#This Row],[Hr Chegada]]-Tabela32[[#This Row],[Hr Saida]]</f>
        <v>0.49166666666666664</v>
      </c>
      <c r="N152" s="4">
        <v>141865</v>
      </c>
      <c r="O152" s="4">
        <v>141946</v>
      </c>
      <c r="P152" s="4">
        <f>Tabela32[[#This Row],[Km Chegada]]-Tabela32[[#This Row],[Km Saída]]</f>
        <v>81</v>
      </c>
      <c r="Q152" s="4">
        <v>163</v>
      </c>
      <c r="R152" s="4">
        <v>21</v>
      </c>
      <c r="S152" s="4">
        <v>21</v>
      </c>
      <c r="T152" s="12">
        <f>Tabela32[[#This Row],[Entregas]]-Tabela32[[#This Row],[Realizadas]]</f>
        <v>0</v>
      </c>
      <c r="U152" s="18">
        <f>Tabela32[[#This Row],[Realizadas]]/Tabela32[[#This Row],[Entregas]]</f>
        <v>1</v>
      </c>
      <c r="V152" s="19" t="str">
        <f>IF(Tabela32[[#This Row],[% Entrega]]&gt;=96%,"Atendeu a Meta","Não Atendeu a Meta")</f>
        <v>Atendeu a Meta</v>
      </c>
      <c r="W152" s="4" t="s">
        <v>63</v>
      </c>
      <c r="X152" s="4">
        <v>0</v>
      </c>
      <c r="Y152" s="5">
        <v>0</v>
      </c>
    </row>
    <row r="153" spans="1:25" x14ac:dyDescent="0.25">
      <c r="A153" s="8">
        <v>46258</v>
      </c>
      <c r="B153" s="16">
        <f>YEAR(Tabela32[[#This Row],[Data]])</f>
        <v>2026</v>
      </c>
      <c r="C153" s="16">
        <f>MONTH(Tabela32[[#This Row],[Data]])</f>
        <v>8</v>
      </c>
      <c r="D153" s="4" t="s">
        <v>33</v>
      </c>
      <c r="E153" s="4">
        <v>1</v>
      </c>
      <c r="F153" s="4" t="str">
        <f>IFERROR(VLOOKUP(Tabela32[[#This Row],[Placa]],Planilha2!$A$1:$B$12,2,0),"")</f>
        <v>Paulo</v>
      </c>
      <c r="G153" s="10">
        <v>1107.99</v>
      </c>
      <c r="H153" s="10">
        <v>18684.599999999999</v>
      </c>
      <c r="I153" s="4">
        <v>92</v>
      </c>
      <c r="J153" s="17">
        <f>IFERROR(Tabela32[[#This Row],[Valor Frete]]/Tabela32[[#This Row],[Valor Mercadoria]],"")</f>
        <v>5.9299637134324526E-2</v>
      </c>
      <c r="K153" s="11">
        <v>0.29166666666666669</v>
      </c>
      <c r="L153" s="15">
        <v>0.73541666666666672</v>
      </c>
      <c r="M153" s="15">
        <f>Tabela32[[#This Row],[Hr Chegada]]-Tabela32[[#This Row],[Hr Saida]]</f>
        <v>0.44375000000000003</v>
      </c>
      <c r="N153" s="4">
        <v>154300</v>
      </c>
      <c r="O153" s="4">
        <v>154398</v>
      </c>
      <c r="P153" s="4">
        <f>Tabela32[[#This Row],[Km Chegada]]-Tabela32[[#This Row],[Km Saída]]</f>
        <v>98</v>
      </c>
      <c r="Q153" s="4">
        <v>13</v>
      </c>
      <c r="R153" s="4">
        <v>2</v>
      </c>
      <c r="S153" s="4">
        <v>2</v>
      </c>
      <c r="T153" s="12">
        <f>Tabela32[[#This Row],[Entregas]]-Tabela32[[#This Row],[Realizadas]]</f>
        <v>0</v>
      </c>
      <c r="U153" s="18">
        <f>Tabela32[[#This Row],[Realizadas]]/Tabela32[[#This Row],[Entregas]]</f>
        <v>1</v>
      </c>
      <c r="V153" s="19" t="str">
        <f>IF(Tabela32[[#This Row],[% Entrega]]&gt;=96%,"Atendeu a Meta","Não Atendeu a Meta")</f>
        <v>Atendeu a Meta</v>
      </c>
      <c r="W153" s="4" t="s">
        <v>40</v>
      </c>
      <c r="X153" s="4">
        <v>0</v>
      </c>
      <c r="Y153" s="5">
        <v>0</v>
      </c>
    </row>
    <row r="154" spans="1:25" x14ac:dyDescent="0.25">
      <c r="A154" s="8">
        <v>46258</v>
      </c>
      <c r="B154" s="16">
        <f>YEAR(Tabela32[[#This Row],[Data]])</f>
        <v>2026</v>
      </c>
      <c r="C154" s="16">
        <f>MONTH(Tabela32[[#This Row],[Data]])</f>
        <v>8</v>
      </c>
      <c r="D154" s="4" t="s">
        <v>28</v>
      </c>
      <c r="E154" s="4">
        <v>1</v>
      </c>
      <c r="F154" s="4" t="str">
        <f>IFERROR(VLOOKUP(Tabela32[[#This Row],[Placa]],Planilha2!$A$1:$B$12,2,0),"")</f>
        <v>Edilson</v>
      </c>
      <c r="G154" s="10">
        <v>12805.43</v>
      </c>
      <c r="H154" s="10">
        <v>336673.7</v>
      </c>
      <c r="I154" s="4">
        <v>2326</v>
      </c>
      <c r="J154" s="17">
        <f>IFERROR(Tabela32[[#This Row],[Valor Frete]]/Tabela32[[#This Row],[Valor Mercadoria]],"")</f>
        <v>3.8035136097651821E-2</v>
      </c>
      <c r="K154" s="11">
        <v>0.29166666666666669</v>
      </c>
      <c r="L154" s="15">
        <v>0.79166666666666663</v>
      </c>
      <c r="M154" s="15">
        <f>Tabela32[[#This Row],[Hr Chegada]]-Tabela32[[#This Row],[Hr Saida]]</f>
        <v>0.49999999999999994</v>
      </c>
      <c r="N154" s="4">
        <v>104102</v>
      </c>
      <c r="O154" s="4">
        <v>104135</v>
      </c>
      <c r="P154" s="4">
        <f>Tabela32[[#This Row],[Km Chegada]]-Tabela32[[#This Row],[Km Saída]]</f>
        <v>33</v>
      </c>
      <c r="Q154" s="4">
        <v>395</v>
      </c>
      <c r="R154" s="4">
        <v>8</v>
      </c>
      <c r="S154" s="4">
        <v>8</v>
      </c>
      <c r="T154" s="12">
        <f>Tabela32[[#This Row],[Entregas]]-Tabela32[[#This Row],[Realizadas]]</f>
        <v>0</v>
      </c>
      <c r="U154" s="18">
        <f>Tabela32[[#This Row],[Realizadas]]/Tabela32[[#This Row],[Entregas]]</f>
        <v>1</v>
      </c>
      <c r="V154" s="19" t="str">
        <f>IF(Tabela32[[#This Row],[% Entrega]]&gt;=96%,"Atendeu a Meta","Não Atendeu a Meta")</f>
        <v>Atendeu a Meta</v>
      </c>
      <c r="W154" s="4" t="s">
        <v>39</v>
      </c>
      <c r="X154" s="4">
        <v>0</v>
      </c>
      <c r="Y154" s="5">
        <v>0</v>
      </c>
    </row>
    <row r="155" spans="1:25" x14ac:dyDescent="0.25">
      <c r="A155" s="8">
        <v>46258</v>
      </c>
      <c r="B155" s="16">
        <f>YEAR(Tabela32[[#This Row],[Data]])</f>
        <v>2026</v>
      </c>
      <c r="C155" s="16">
        <f>MONTH(Tabela32[[#This Row],[Data]])</f>
        <v>8</v>
      </c>
      <c r="D155" s="4" t="s">
        <v>53</v>
      </c>
      <c r="E155" s="4">
        <v>3</v>
      </c>
      <c r="F155" s="4" t="str">
        <f>IFERROR(VLOOKUP(Tabela32[[#This Row],[Placa]],Planilha2!$A$1:$B$12,2,0),"")</f>
        <v>Arnaldo</v>
      </c>
      <c r="G155" s="10">
        <v>6572.41</v>
      </c>
      <c r="H155" s="10">
        <v>145386.14000000001</v>
      </c>
      <c r="I155" s="4">
        <v>1089</v>
      </c>
      <c r="J155" s="17">
        <f>IFERROR(Tabela32[[#This Row],[Valor Frete]]/Tabela32[[#This Row],[Valor Mercadoria]],"")</f>
        <v>4.5206578838945716E-2</v>
      </c>
      <c r="K155" s="11">
        <v>0.29166666666666669</v>
      </c>
      <c r="L155" s="15">
        <v>0.75555555555555554</v>
      </c>
      <c r="M155" s="15">
        <f>Tabela32[[#This Row],[Hr Chegada]]-Tabela32[[#This Row],[Hr Saida]]</f>
        <v>0.46388888888888885</v>
      </c>
      <c r="N155" s="4">
        <v>12523</v>
      </c>
      <c r="O155" s="4">
        <v>12589</v>
      </c>
      <c r="P155" s="4">
        <f>Tabela32[[#This Row],[Km Chegada]]-Tabela32[[#This Row],[Km Saída]]</f>
        <v>66</v>
      </c>
      <c r="Q155" s="4">
        <v>199</v>
      </c>
      <c r="R155" s="4">
        <v>20</v>
      </c>
      <c r="S155" s="4">
        <v>20</v>
      </c>
      <c r="T155" s="12">
        <f>Tabela32[[#This Row],[Entregas]]-Tabela32[[#This Row],[Realizadas]]</f>
        <v>0</v>
      </c>
      <c r="U155" s="18">
        <f>Tabela32[[#This Row],[Realizadas]]/Tabela32[[#This Row],[Entregas]]</f>
        <v>1</v>
      </c>
      <c r="V155" s="19" t="str">
        <f>IF(Tabela32[[#This Row],[% Entrega]]&gt;=96%,"Atendeu a Meta","Não Atendeu a Meta")</f>
        <v>Atendeu a Meta</v>
      </c>
      <c r="W155" s="4" t="s">
        <v>39</v>
      </c>
      <c r="X155" s="4">
        <v>1</v>
      </c>
      <c r="Y155" s="5">
        <v>38</v>
      </c>
    </row>
    <row r="156" spans="1:25" x14ac:dyDescent="0.25">
      <c r="A156" s="8">
        <v>46258</v>
      </c>
      <c r="B156" s="16">
        <f>YEAR(Tabela32[[#This Row],[Data]])</f>
        <v>2026</v>
      </c>
      <c r="C156" s="16">
        <f>MONTH(Tabela32[[#This Row],[Data]])</f>
        <v>8</v>
      </c>
      <c r="D156" s="4" t="s">
        <v>22</v>
      </c>
      <c r="E156" s="4">
        <v>5</v>
      </c>
      <c r="F156" s="4" t="str">
        <f>IFERROR(VLOOKUP(Tabela32[[#This Row],[Placa]],Planilha2!$A$1:$B$12,2,0),"")</f>
        <v>Wesley</v>
      </c>
      <c r="G156" s="10">
        <v>4996.9399999999996</v>
      </c>
      <c r="H156" s="10">
        <v>93418.03</v>
      </c>
      <c r="I156" s="4">
        <v>1473</v>
      </c>
      <c r="J156" s="17">
        <f>IFERROR(Tabela32[[#This Row],[Valor Frete]]/Tabela32[[#This Row],[Valor Mercadoria]],"")</f>
        <v>5.3490102499485374E-2</v>
      </c>
      <c r="K156" s="11">
        <v>0.29166666666666669</v>
      </c>
      <c r="L156" s="15">
        <v>0.74097222222222225</v>
      </c>
      <c r="M156" s="15">
        <f>Tabela32[[#This Row],[Hr Chegada]]-Tabela32[[#This Row],[Hr Saida]]</f>
        <v>0.44930555555555557</v>
      </c>
      <c r="N156" s="4">
        <v>303335</v>
      </c>
      <c r="O156" s="4">
        <v>303436</v>
      </c>
      <c r="P156" s="4">
        <f>Tabela32[[#This Row],[Km Chegada]]-Tabela32[[#This Row],[Km Saída]]</f>
        <v>101</v>
      </c>
      <c r="Q156" s="4">
        <v>116</v>
      </c>
      <c r="R156" s="4">
        <v>15</v>
      </c>
      <c r="S156" s="4">
        <v>15</v>
      </c>
      <c r="T156" s="12">
        <f>Tabela32[[#This Row],[Entregas]]-Tabela32[[#This Row],[Realizadas]]</f>
        <v>0</v>
      </c>
      <c r="U156" s="18">
        <f>Tabela32[[#This Row],[Realizadas]]/Tabela32[[#This Row],[Entregas]]</f>
        <v>1</v>
      </c>
      <c r="V156" s="19" t="str">
        <f>IF(Tabela32[[#This Row],[% Entrega]]&gt;=96%,"Atendeu a Meta","Não Atendeu a Meta")</f>
        <v>Atendeu a Meta</v>
      </c>
      <c r="W156" s="4" t="s">
        <v>39</v>
      </c>
      <c r="X156" s="4">
        <v>0</v>
      </c>
      <c r="Y156" s="5">
        <v>0</v>
      </c>
    </row>
    <row r="157" spans="1:25" x14ac:dyDescent="0.25">
      <c r="A157" s="8">
        <v>46258</v>
      </c>
      <c r="B157" s="16">
        <f>YEAR(Tabela32[[#This Row],[Data]])</f>
        <v>2026</v>
      </c>
      <c r="C157" s="16">
        <f>MONTH(Tabela32[[#This Row],[Data]])</f>
        <v>8</v>
      </c>
      <c r="D157" s="4" t="s">
        <v>27</v>
      </c>
      <c r="E157" s="4">
        <v>3</v>
      </c>
      <c r="F157" s="4" t="str">
        <f>IFERROR(VLOOKUP(Tabela32[[#This Row],[Placa]],Planilha2!$A$1:$B$12,2,0),"")</f>
        <v>Rosinaldo</v>
      </c>
      <c r="G157" s="10">
        <v>7675.58</v>
      </c>
      <c r="H157" s="10">
        <v>100507.22</v>
      </c>
      <c r="I157" s="4">
        <v>1567</v>
      </c>
      <c r="J157" s="17">
        <f>IFERROR(Tabela32[[#This Row],[Valor Frete]]/Tabela32[[#This Row],[Valor Mercadoria]],"")</f>
        <v>7.6368443978452494E-2</v>
      </c>
      <c r="K157" s="11">
        <v>0.29166666666666669</v>
      </c>
      <c r="L157" s="15">
        <v>0.73611111111111116</v>
      </c>
      <c r="M157" s="15">
        <f>Tabela32[[#This Row],[Hr Chegada]]-Tabela32[[#This Row],[Hr Saida]]</f>
        <v>0.44444444444444448</v>
      </c>
      <c r="N157" s="4">
        <v>290485</v>
      </c>
      <c r="O157" s="4">
        <v>290557</v>
      </c>
      <c r="P157" s="4">
        <f>Tabela32[[#This Row],[Km Chegada]]-Tabela32[[#This Row],[Km Saída]]</f>
        <v>72</v>
      </c>
      <c r="Q157" s="4">
        <v>69</v>
      </c>
      <c r="R157" s="4">
        <v>5</v>
      </c>
      <c r="S157" s="4">
        <v>5</v>
      </c>
      <c r="T157" s="12">
        <f>Tabela32[[#This Row],[Entregas]]-Tabela32[[#This Row],[Realizadas]]</f>
        <v>0</v>
      </c>
      <c r="U157" s="18">
        <f>Tabela32[[#This Row],[Realizadas]]/Tabela32[[#This Row],[Entregas]]</f>
        <v>1</v>
      </c>
      <c r="V157" s="19" t="str">
        <f>IF(Tabela32[[#This Row],[% Entrega]]&gt;=96%,"Atendeu a Meta","Não Atendeu a Meta")</f>
        <v>Atendeu a Meta</v>
      </c>
      <c r="W157" s="4" t="s">
        <v>43</v>
      </c>
      <c r="X157" s="4">
        <v>0</v>
      </c>
      <c r="Y157" s="5">
        <v>0</v>
      </c>
    </row>
    <row r="158" spans="1:25" x14ac:dyDescent="0.25">
      <c r="A158" s="8">
        <v>46258</v>
      </c>
      <c r="B158" s="16">
        <f>YEAR(Tabela32[[#This Row],[Data]])</f>
        <v>2026</v>
      </c>
      <c r="C158" s="16">
        <f>MONTH(Tabela32[[#This Row],[Data]])</f>
        <v>8</v>
      </c>
      <c r="D158" s="4" t="s">
        <v>23</v>
      </c>
      <c r="E158" s="4">
        <v>1</v>
      </c>
      <c r="F158" s="4" t="str">
        <f>IFERROR(VLOOKUP(Tabela32[[#This Row],[Placa]],Planilha2!$A$1:$B$12,2,0),"")</f>
        <v>William</v>
      </c>
      <c r="G158" s="10">
        <v>6915.91</v>
      </c>
      <c r="H158" s="10">
        <v>215754.15</v>
      </c>
      <c r="I158" s="4">
        <v>1161</v>
      </c>
      <c r="J158" s="17">
        <f>IFERROR(Tabela32[[#This Row],[Valor Frete]]/Tabela32[[#This Row],[Valor Mercadoria]],"")</f>
        <v>3.2054586203787969E-2</v>
      </c>
      <c r="K158" s="11">
        <v>0.29166666666666669</v>
      </c>
      <c r="L158" s="15">
        <v>0.68055555555555558</v>
      </c>
      <c r="M158" s="15">
        <f>Tabela32[[#This Row],[Hr Chegada]]-Tabela32[[#This Row],[Hr Saida]]</f>
        <v>0.3888888888888889</v>
      </c>
      <c r="N158" s="4">
        <v>124251</v>
      </c>
      <c r="O158" s="4">
        <v>124299</v>
      </c>
      <c r="P158" s="4">
        <f>Tabela32[[#This Row],[Km Chegada]]-Tabela32[[#This Row],[Km Saída]]</f>
        <v>48</v>
      </c>
      <c r="Q158" s="4">
        <v>200</v>
      </c>
      <c r="R158" s="4">
        <v>15</v>
      </c>
      <c r="S158" s="4">
        <v>15</v>
      </c>
      <c r="T158" s="12">
        <f>Tabela32[[#This Row],[Entregas]]-Tabela32[[#This Row],[Realizadas]]</f>
        <v>0</v>
      </c>
      <c r="U158" s="18">
        <f>Tabela32[[#This Row],[Realizadas]]/Tabela32[[#This Row],[Entregas]]</f>
        <v>1</v>
      </c>
      <c r="V158" s="19" t="str">
        <f>IF(Tabela32[[#This Row],[% Entrega]]&gt;=96%,"Atendeu a Meta","Não Atendeu a Meta")</f>
        <v>Atendeu a Meta</v>
      </c>
      <c r="W158" s="4" t="s">
        <v>43</v>
      </c>
      <c r="X158" s="4">
        <v>0</v>
      </c>
      <c r="Y158" s="5">
        <v>0</v>
      </c>
    </row>
    <row r="159" spans="1:25" x14ac:dyDescent="0.25">
      <c r="A159" s="8">
        <v>46259</v>
      </c>
      <c r="B159" s="16">
        <f>YEAR(Tabela32[[#This Row],[Data]])</f>
        <v>2026</v>
      </c>
      <c r="C159" s="16">
        <f>MONTH(Tabela32[[#This Row],[Data]])</f>
        <v>8</v>
      </c>
      <c r="D159" s="4" t="s">
        <v>25</v>
      </c>
      <c r="E159" s="4">
        <v>11</v>
      </c>
      <c r="F159" s="4" t="str">
        <f>IFERROR(VLOOKUP(Tabela32[[#This Row],[Placa]],Planilha2!$A$1:$B$12,2,0),"")</f>
        <v>Gilberto</v>
      </c>
      <c r="G159" s="10">
        <v>14687.19</v>
      </c>
      <c r="H159" s="10">
        <v>313360.65000000002</v>
      </c>
      <c r="I159" s="4">
        <v>2095</v>
      </c>
      <c r="J159" s="17">
        <f>IFERROR(Tabela32[[#This Row],[Valor Frete]]/Tabela32[[#This Row],[Valor Mercadoria]],"")</f>
        <v>4.6869924478392548E-2</v>
      </c>
      <c r="K159" s="11">
        <v>0.29166666666666669</v>
      </c>
      <c r="L159" s="15">
        <v>0.70833333333333337</v>
      </c>
      <c r="M159" s="15">
        <f>Tabela32[[#This Row],[Hr Chegada]]-Tabela32[[#This Row],[Hr Saida]]</f>
        <v>0.41666666666666669</v>
      </c>
      <c r="N159" s="4">
        <v>118496</v>
      </c>
      <c r="O159" s="4">
        <v>118661</v>
      </c>
      <c r="P159" s="4">
        <f>Tabela32[[#This Row],[Km Chegada]]-Tabela32[[#This Row],[Km Saída]]</f>
        <v>165</v>
      </c>
      <c r="Q159" s="4">
        <v>311</v>
      </c>
      <c r="R159" s="4">
        <v>37</v>
      </c>
      <c r="S159" s="4">
        <v>37</v>
      </c>
      <c r="T159" s="12">
        <f>Tabela32[[#This Row],[Entregas]]-Tabela32[[#This Row],[Realizadas]]</f>
        <v>0</v>
      </c>
      <c r="U159" s="18">
        <f>Tabela32[[#This Row],[Realizadas]]/Tabela32[[#This Row],[Entregas]]</f>
        <v>1</v>
      </c>
      <c r="V159" s="19" t="str">
        <f>IF(Tabela32[[#This Row],[% Entrega]]&gt;=96%,"Atendeu a Meta","Não Atendeu a Meta")</f>
        <v>Atendeu a Meta</v>
      </c>
      <c r="W159" s="4" t="s">
        <v>41</v>
      </c>
      <c r="X159" s="4">
        <v>0</v>
      </c>
      <c r="Y159" s="5">
        <v>0</v>
      </c>
    </row>
    <row r="160" spans="1:25" x14ac:dyDescent="0.25">
      <c r="A160" s="8">
        <v>46259</v>
      </c>
      <c r="B160" s="16">
        <f>YEAR(Tabela32[[#This Row],[Data]])</f>
        <v>2026</v>
      </c>
      <c r="C160" s="16">
        <f>MONTH(Tabela32[[#This Row],[Data]])</f>
        <v>8</v>
      </c>
      <c r="D160" s="4" t="s">
        <v>22</v>
      </c>
      <c r="E160" s="4">
        <v>5</v>
      </c>
      <c r="F160" s="4" t="str">
        <f>IFERROR(VLOOKUP(Tabela32[[#This Row],[Placa]],Planilha2!$A$1:$B$12,2,0),"")</f>
        <v>Wesley</v>
      </c>
      <c r="G160" s="10">
        <v>4179.62</v>
      </c>
      <c r="H160" s="10">
        <v>71532.98</v>
      </c>
      <c r="I160" s="4">
        <v>519</v>
      </c>
      <c r="J160" s="17">
        <f>IFERROR(Tabela32[[#This Row],[Valor Frete]]/Tabela32[[#This Row],[Valor Mercadoria]],"")</f>
        <v>5.8429272763416258E-2</v>
      </c>
      <c r="K160" s="11">
        <v>0.29166666666666669</v>
      </c>
      <c r="L160" s="15">
        <v>0.7583333333333333</v>
      </c>
      <c r="M160" s="15">
        <f>Tabela32[[#This Row],[Hr Chegada]]-Tabela32[[#This Row],[Hr Saida]]</f>
        <v>0.46666666666666662</v>
      </c>
      <c r="N160" s="4">
        <v>303436</v>
      </c>
      <c r="O160" s="4">
        <v>303490</v>
      </c>
      <c r="P160" s="4">
        <f>Tabela32[[#This Row],[Km Chegada]]-Tabela32[[#This Row],[Km Saída]]</f>
        <v>54</v>
      </c>
      <c r="Q160" s="4">
        <v>66</v>
      </c>
      <c r="R160" s="4">
        <v>20</v>
      </c>
      <c r="S160" s="4">
        <v>20</v>
      </c>
      <c r="T160" s="12">
        <f>Tabela32[[#This Row],[Entregas]]-Tabela32[[#This Row],[Realizadas]]</f>
        <v>0</v>
      </c>
      <c r="U160" s="18">
        <f>Tabela32[[#This Row],[Realizadas]]/Tabela32[[#This Row],[Entregas]]</f>
        <v>1</v>
      </c>
      <c r="V160" s="19" t="str">
        <f>IF(Tabela32[[#This Row],[% Entrega]]&gt;=96%,"Atendeu a Meta","Não Atendeu a Meta")</f>
        <v>Atendeu a Meta</v>
      </c>
      <c r="W160" s="4" t="s">
        <v>39</v>
      </c>
      <c r="X160" s="4">
        <v>0</v>
      </c>
      <c r="Y160" s="5">
        <v>0</v>
      </c>
    </row>
    <row r="161" spans="1:25" x14ac:dyDescent="0.25">
      <c r="A161" s="8">
        <v>46259</v>
      </c>
      <c r="B161" s="16">
        <f>YEAR(Tabela32[[#This Row],[Data]])</f>
        <v>2026</v>
      </c>
      <c r="C161" s="16">
        <f>MONTH(Tabela32[[#This Row],[Data]])</f>
        <v>8</v>
      </c>
      <c r="D161" s="4" t="s">
        <v>53</v>
      </c>
      <c r="E161" s="4">
        <v>3</v>
      </c>
      <c r="F161" s="4" t="str">
        <f>IFERROR(VLOOKUP(Tabela32[[#This Row],[Placa]],Planilha2!$A$1:$B$12,2,0),"")</f>
        <v>Arnaldo</v>
      </c>
      <c r="G161" s="10">
        <v>9947.27</v>
      </c>
      <c r="H161" s="10">
        <v>188381.87</v>
      </c>
      <c r="I161" s="4">
        <v>2322</v>
      </c>
      <c r="J161" s="17">
        <f>IFERROR(Tabela32[[#This Row],[Valor Frete]]/Tabela32[[#This Row],[Valor Mercadoria]],"")</f>
        <v>5.2803754416494542E-2</v>
      </c>
      <c r="K161" s="11">
        <v>0.27083333333333331</v>
      </c>
      <c r="L161" s="15">
        <v>0.77083333333333337</v>
      </c>
      <c r="M161" s="15">
        <f>Tabela32[[#This Row],[Hr Chegada]]-Tabela32[[#This Row],[Hr Saida]]</f>
        <v>0.5</v>
      </c>
      <c r="N161" s="4">
        <v>12589</v>
      </c>
      <c r="O161" s="4">
        <v>12644</v>
      </c>
      <c r="P161" s="4">
        <f>Tabela32[[#This Row],[Km Chegada]]-Tabela32[[#This Row],[Km Saída]]</f>
        <v>55</v>
      </c>
      <c r="Q161" s="4">
        <v>165</v>
      </c>
      <c r="R161" s="4">
        <v>20</v>
      </c>
      <c r="S161" s="4">
        <v>17</v>
      </c>
      <c r="T161" s="12">
        <f>Tabela32[[#This Row],[Entregas]]-Tabela32[[#This Row],[Realizadas]]</f>
        <v>3</v>
      </c>
      <c r="U161" s="18">
        <f>Tabela32[[#This Row],[Realizadas]]/Tabela32[[#This Row],[Entregas]]</f>
        <v>0.85</v>
      </c>
      <c r="V161" s="19" t="str">
        <f>IF(Tabela32[[#This Row],[% Entrega]]&gt;=96%,"Atendeu a Meta","Não Atendeu a Meta")</f>
        <v>Não Atendeu a Meta</v>
      </c>
      <c r="W161" s="4" t="s">
        <v>39</v>
      </c>
      <c r="X161" s="4">
        <v>3</v>
      </c>
      <c r="Y161" s="5" t="s">
        <v>70</v>
      </c>
    </row>
    <row r="162" spans="1:25" x14ac:dyDescent="0.25">
      <c r="A162" s="8">
        <v>46259</v>
      </c>
      <c r="B162" s="16">
        <f>YEAR(Tabela32[[#This Row],[Data]])</f>
        <v>2026</v>
      </c>
      <c r="C162" s="16">
        <f>MONTH(Tabela32[[#This Row],[Data]])</f>
        <v>8</v>
      </c>
      <c r="D162" s="4" t="s">
        <v>31</v>
      </c>
      <c r="E162" s="4">
        <v>2</v>
      </c>
      <c r="F162" s="4" t="str">
        <f>IFERROR(VLOOKUP(Tabela32[[#This Row],[Placa]],Planilha2!$A$1:$B$12,2,0),"")</f>
        <v>Jerson</v>
      </c>
      <c r="G162" s="10">
        <v>10500.14</v>
      </c>
      <c r="H162" s="10">
        <v>171291.32</v>
      </c>
      <c r="I162" s="4">
        <v>1911</v>
      </c>
      <c r="J162" s="17">
        <f>IFERROR(Tabela32[[#This Row],[Valor Frete]]/Tabela32[[#This Row],[Valor Mercadoria]],"")</f>
        <v>6.1299895406258756E-2</v>
      </c>
      <c r="K162" s="11">
        <v>0.29166666666666669</v>
      </c>
      <c r="L162" s="15">
        <v>0.69444444444444442</v>
      </c>
      <c r="M162" s="15">
        <f>Tabela32[[#This Row],[Hr Chegada]]-Tabela32[[#This Row],[Hr Saida]]</f>
        <v>0.40277777777777773</v>
      </c>
      <c r="N162" s="4">
        <v>279628</v>
      </c>
      <c r="O162" s="4">
        <v>279682</v>
      </c>
      <c r="P162" s="4">
        <f>Tabela32[[#This Row],[Km Chegada]]-Tabela32[[#This Row],[Km Saída]]</f>
        <v>54</v>
      </c>
      <c r="Q162" s="4">
        <v>218</v>
      </c>
      <c r="R162" s="4">
        <v>36</v>
      </c>
      <c r="S162" s="4">
        <v>36</v>
      </c>
      <c r="T162" s="12">
        <f>Tabela32[[#This Row],[Entregas]]-Tabela32[[#This Row],[Realizadas]]</f>
        <v>0</v>
      </c>
      <c r="U162" s="18">
        <f>Tabela32[[#This Row],[Realizadas]]/Tabela32[[#This Row],[Entregas]]</f>
        <v>1</v>
      </c>
      <c r="V162" s="19" t="str">
        <f>IF(Tabela32[[#This Row],[% Entrega]]&gt;=96%,"Atendeu a Meta","Não Atendeu a Meta")</f>
        <v>Atendeu a Meta</v>
      </c>
      <c r="W162" s="4" t="s">
        <v>39</v>
      </c>
      <c r="X162" s="4">
        <v>0</v>
      </c>
      <c r="Y162" s="5">
        <v>0</v>
      </c>
    </row>
    <row r="163" spans="1:25" x14ac:dyDescent="0.25">
      <c r="A163" s="8">
        <v>46259</v>
      </c>
      <c r="B163" s="16">
        <f>YEAR(Tabela32[[#This Row],[Data]])</f>
        <v>2026</v>
      </c>
      <c r="C163" s="16">
        <f>MONTH(Tabela32[[#This Row],[Data]])</f>
        <v>8</v>
      </c>
      <c r="D163" s="4" t="s">
        <v>23</v>
      </c>
      <c r="E163" s="4">
        <v>4</v>
      </c>
      <c r="F163" s="4" t="str">
        <f>IFERROR(VLOOKUP(Tabela32[[#This Row],[Placa]],Planilha2!$A$1:$B$12,2,0),"")</f>
        <v>William</v>
      </c>
      <c r="G163" s="10">
        <v>3983.6</v>
      </c>
      <c r="H163" s="10">
        <v>71972.31</v>
      </c>
      <c r="I163" s="4">
        <v>412</v>
      </c>
      <c r="J163" s="17">
        <f>IFERROR(Tabela32[[#This Row],[Valor Frete]]/Tabela32[[#This Row],[Valor Mercadoria]],"")</f>
        <v>5.5349064105348296E-2</v>
      </c>
      <c r="K163" s="11">
        <v>0.29166666666666669</v>
      </c>
      <c r="L163" s="15">
        <v>0.71875</v>
      </c>
      <c r="M163" s="15">
        <f>Tabela32[[#This Row],[Hr Chegada]]-Tabela32[[#This Row],[Hr Saida]]</f>
        <v>0.42708333333333331</v>
      </c>
      <c r="N163" s="4">
        <v>124299</v>
      </c>
      <c r="O163" s="4">
        <v>124372</v>
      </c>
      <c r="P163" s="4">
        <f>Tabela32[[#This Row],[Km Chegada]]-Tabela32[[#This Row],[Km Saída]]</f>
        <v>73</v>
      </c>
      <c r="Q163" s="4">
        <v>91</v>
      </c>
      <c r="R163" s="4">
        <v>17</v>
      </c>
      <c r="S163" s="4">
        <v>17</v>
      </c>
      <c r="T163" s="12">
        <f>Tabela32[[#This Row],[Entregas]]-Tabela32[[#This Row],[Realizadas]]</f>
        <v>0</v>
      </c>
      <c r="U163" s="18">
        <f>Tabela32[[#This Row],[Realizadas]]/Tabela32[[#This Row],[Entregas]]</f>
        <v>1</v>
      </c>
      <c r="V163" s="19" t="str">
        <f>IF(Tabela32[[#This Row],[% Entrega]]&gt;=96%,"Atendeu a Meta","Não Atendeu a Meta")</f>
        <v>Atendeu a Meta</v>
      </c>
      <c r="W163" s="4" t="s">
        <v>39</v>
      </c>
      <c r="X163" s="4">
        <v>0</v>
      </c>
      <c r="Y163" s="5">
        <v>0</v>
      </c>
    </row>
    <row r="164" spans="1:25" x14ac:dyDescent="0.25">
      <c r="A164" s="8">
        <v>46259</v>
      </c>
      <c r="B164" s="16">
        <f>YEAR(Tabela32[[#This Row],[Data]])</f>
        <v>2026</v>
      </c>
      <c r="C164" s="16">
        <f>MONTH(Tabela32[[#This Row],[Data]])</f>
        <v>8</v>
      </c>
      <c r="D164" s="4" t="s">
        <v>33</v>
      </c>
      <c r="E164" s="4">
        <v>1</v>
      </c>
      <c r="F164" s="4" t="str">
        <f>IFERROR(VLOOKUP(Tabela32[[#This Row],[Placa]],Planilha2!$A$1:$B$12,2,0),"")</f>
        <v>Paulo</v>
      </c>
      <c r="G164" s="10">
        <v>1181</v>
      </c>
      <c r="H164" s="10">
        <v>11744.12</v>
      </c>
      <c r="I164" s="4">
        <v>103</v>
      </c>
      <c r="J164" s="17">
        <f>IFERROR(Tabela32[[#This Row],[Valor Frete]]/Tabela32[[#This Row],[Valor Mercadoria]],"")</f>
        <v>0.10056096157055615</v>
      </c>
      <c r="K164" s="11">
        <v>0.29166666666666669</v>
      </c>
      <c r="L164" s="15">
        <v>0.74861111111111112</v>
      </c>
      <c r="M164" s="15">
        <f>Tabela32[[#This Row],[Hr Chegada]]-Tabela32[[#This Row],[Hr Saida]]</f>
        <v>0.45694444444444443</v>
      </c>
      <c r="N164" s="4">
        <v>154398</v>
      </c>
      <c r="O164" s="4">
        <v>154444</v>
      </c>
      <c r="P164" s="4">
        <f>Tabela32[[#This Row],[Km Chegada]]-Tabela32[[#This Row],[Km Saída]]</f>
        <v>46</v>
      </c>
      <c r="Q164" s="4">
        <v>20</v>
      </c>
      <c r="R164" s="4">
        <v>2</v>
      </c>
      <c r="S164" s="4">
        <v>2</v>
      </c>
      <c r="T164" s="12">
        <f>Tabela32[[#This Row],[Entregas]]-Tabela32[[#This Row],[Realizadas]]</f>
        <v>0</v>
      </c>
      <c r="U164" s="18">
        <f>Tabela32[[#This Row],[Realizadas]]/Tabela32[[#This Row],[Entregas]]</f>
        <v>1</v>
      </c>
      <c r="V164" s="19" t="str">
        <f>IF(Tabela32[[#This Row],[% Entrega]]&gt;=96%,"Atendeu a Meta","Não Atendeu a Meta")</f>
        <v>Atendeu a Meta</v>
      </c>
      <c r="W164" s="4" t="s">
        <v>40</v>
      </c>
      <c r="X164" s="4">
        <v>0</v>
      </c>
      <c r="Y164" s="5">
        <v>0</v>
      </c>
    </row>
    <row r="165" spans="1:25" x14ac:dyDescent="0.25">
      <c r="A165" s="8">
        <v>46259</v>
      </c>
      <c r="B165" s="16">
        <f>YEAR(Tabela32[[#This Row],[Data]])</f>
        <v>2026</v>
      </c>
      <c r="C165" s="16">
        <f>MONTH(Tabela32[[#This Row],[Data]])</f>
        <v>8</v>
      </c>
      <c r="D165" s="4" t="s">
        <v>35</v>
      </c>
      <c r="E165" s="4">
        <v>1</v>
      </c>
      <c r="F165" s="4" t="str">
        <f>IFERROR(VLOOKUP(Tabela32[[#This Row],[Placa]],Planilha2!$A$1:$B$12,2,0),"")</f>
        <v>Osvaldo</v>
      </c>
      <c r="G165" s="10">
        <v>15587.3</v>
      </c>
      <c r="H165" s="10">
        <v>254038.19</v>
      </c>
      <c r="I165" s="4">
        <v>3476</v>
      </c>
      <c r="J165" s="17">
        <f>IFERROR(Tabela32[[#This Row],[Valor Frete]]/Tabela32[[#This Row],[Valor Mercadoria]],"")</f>
        <v>6.1358097378980694E-2</v>
      </c>
      <c r="K165" s="11">
        <v>0.29166666666666669</v>
      </c>
      <c r="L165" s="15">
        <v>0.73611111111111116</v>
      </c>
      <c r="M165" s="15">
        <f>Tabela32[[#This Row],[Hr Chegada]]-Tabela32[[#This Row],[Hr Saida]]</f>
        <v>0.44444444444444448</v>
      </c>
      <c r="N165" s="4">
        <v>141946</v>
      </c>
      <c r="O165" s="4">
        <v>142125</v>
      </c>
      <c r="P165" s="4">
        <f>Tabela32[[#This Row],[Km Chegada]]-Tabela32[[#This Row],[Km Saída]]</f>
        <v>179</v>
      </c>
      <c r="Q165" s="4">
        <v>286</v>
      </c>
      <c r="R165" s="4">
        <v>18</v>
      </c>
      <c r="S165" s="4">
        <v>18</v>
      </c>
      <c r="T165" s="12">
        <f>Tabela32[[#This Row],[Entregas]]-Tabela32[[#This Row],[Realizadas]]</f>
        <v>0</v>
      </c>
      <c r="U165" s="18">
        <f>Tabela32[[#This Row],[Realizadas]]/Tabela32[[#This Row],[Entregas]]</f>
        <v>1</v>
      </c>
      <c r="V165" s="19" t="str">
        <f>IF(Tabela32[[#This Row],[% Entrega]]&gt;=96%,"Atendeu a Meta","Não Atendeu a Meta")</f>
        <v>Atendeu a Meta</v>
      </c>
      <c r="W165" s="4" t="s">
        <v>43</v>
      </c>
      <c r="X165" s="4">
        <v>0</v>
      </c>
      <c r="Y165" s="5">
        <v>0</v>
      </c>
    </row>
    <row r="166" spans="1:25" x14ac:dyDescent="0.25">
      <c r="A166" s="8">
        <v>46259</v>
      </c>
      <c r="B166" s="16">
        <f>YEAR(Tabela32[[#This Row],[Data]])</f>
        <v>2026</v>
      </c>
      <c r="C166" s="16">
        <f>MONTH(Tabela32[[#This Row],[Data]])</f>
        <v>8</v>
      </c>
      <c r="D166" s="4" t="s">
        <v>28</v>
      </c>
      <c r="E166" s="4">
        <v>11</v>
      </c>
      <c r="F166" s="4" t="str">
        <f>IFERROR(VLOOKUP(Tabela32[[#This Row],[Placa]],Planilha2!$A$1:$B$12,2,0),"")</f>
        <v>Edilson</v>
      </c>
      <c r="G166" s="10">
        <v>26282.29</v>
      </c>
      <c r="H166" s="10">
        <v>449177.83</v>
      </c>
      <c r="I166" s="4">
        <v>4351</v>
      </c>
      <c r="J166" s="17">
        <f>IFERROR(Tabela32[[#This Row],[Valor Frete]]/Tabela32[[#This Row],[Valor Mercadoria]],"")</f>
        <v>5.8511992900451032E-2</v>
      </c>
      <c r="K166" s="11">
        <v>0.27083333333333331</v>
      </c>
      <c r="L166" s="15">
        <v>0.74652777777777779</v>
      </c>
      <c r="M166" s="15">
        <f>Tabela32[[#This Row],[Hr Chegada]]-Tabela32[[#This Row],[Hr Saida]]</f>
        <v>0.47569444444444448</v>
      </c>
      <c r="N166" s="4">
        <v>104135</v>
      </c>
      <c r="O166" s="4">
        <v>104265</v>
      </c>
      <c r="P166" s="4">
        <f>Tabela32[[#This Row],[Km Chegada]]-Tabela32[[#This Row],[Km Saída]]</f>
        <v>130</v>
      </c>
      <c r="Q166" s="4">
        <v>683</v>
      </c>
      <c r="R166" s="4">
        <v>44</v>
      </c>
      <c r="S166" s="4">
        <v>44</v>
      </c>
      <c r="T166" s="12">
        <f>Tabela32[[#This Row],[Entregas]]-Tabela32[[#This Row],[Realizadas]]</f>
        <v>0</v>
      </c>
      <c r="U166" s="18">
        <f>Tabela32[[#This Row],[Realizadas]]/Tabela32[[#This Row],[Entregas]]</f>
        <v>1</v>
      </c>
      <c r="V166" s="19" t="str">
        <f>IF(Tabela32[[#This Row],[% Entrega]]&gt;=96%,"Atendeu a Meta","Não Atendeu a Meta")</f>
        <v>Atendeu a Meta</v>
      </c>
      <c r="W166" s="4" t="s">
        <v>41</v>
      </c>
      <c r="X166" s="4">
        <v>0</v>
      </c>
      <c r="Y166" s="5">
        <v>38.380000000000003</v>
      </c>
    </row>
    <row r="167" spans="1:25" x14ac:dyDescent="0.25">
      <c r="A167" s="8">
        <v>46259</v>
      </c>
      <c r="B167" s="16">
        <f>YEAR(Tabela32[[#This Row],[Data]])</f>
        <v>2026</v>
      </c>
      <c r="C167" s="16">
        <f>MONTH(Tabela32[[#This Row],[Data]])</f>
        <v>8</v>
      </c>
      <c r="D167" s="4" t="s">
        <v>27</v>
      </c>
      <c r="E167" s="4">
        <v>1</v>
      </c>
      <c r="F167" s="4" t="str">
        <f>IFERROR(VLOOKUP(Tabela32[[#This Row],[Placa]],Planilha2!$A$1:$B$12,2,0),"")</f>
        <v>Rosinaldo</v>
      </c>
      <c r="G167" s="10">
        <v>5299.47</v>
      </c>
      <c r="H167" s="10">
        <v>135367.03</v>
      </c>
      <c r="I167" s="4">
        <v>540</v>
      </c>
      <c r="J167" s="17">
        <f>IFERROR(Tabela32[[#This Row],[Valor Frete]]/Tabela32[[#This Row],[Valor Mercadoria]],"")</f>
        <v>3.9148897630390506E-2</v>
      </c>
      <c r="K167" s="11">
        <v>0.29166666666666669</v>
      </c>
      <c r="L167" s="15">
        <v>0.73611111111111116</v>
      </c>
      <c r="M167" s="15">
        <f>Tabela32[[#This Row],[Hr Chegada]]-Tabela32[[#This Row],[Hr Saida]]</f>
        <v>0.44444444444444448</v>
      </c>
      <c r="N167" s="4">
        <v>290557</v>
      </c>
      <c r="O167" s="4">
        <v>290615</v>
      </c>
      <c r="P167" s="4">
        <f>Tabela32[[#This Row],[Km Chegada]]-Tabela32[[#This Row],[Km Saída]]</f>
        <v>58</v>
      </c>
      <c r="Q167" s="4">
        <v>105</v>
      </c>
      <c r="R167" s="4">
        <v>7</v>
      </c>
      <c r="S167" s="4">
        <v>7</v>
      </c>
      <c r="T167" s="12">
        <f>Tabela32[[#This Row],[Entregas]]-Tabela32[[#This Row],[Realizadas]]</f>
        <v>0</v>
      </c>
      <c r="U167" s="18">
        <f>Tabela32[[#This Row],[Realizadas]]/Tabela32[[#This Row],[Entregas]]</f>
        <v>1</v>
      </c>
      <c r="V167" s="19" t="str">
        <f>IF(Tabela32[[#This Row],[% Entrega]]&gt;=96%,"Atendeu a Meta","Não Atendeu a Meta")</f>
        <v>Atendeu a Meta</v>
      </c>
      <c r="W167" s="4" t="s">
        <v>43</v>
      </c>
      <c r="X167" s="4">
        <v>0</v>
      </c>
      <c r="Y167" s="5">
        <v>38.380000000000003</v>
      </c>
    </row>
    <row r="168" spans="1:25" x14ac:dyDescent="0.25">
      <c r="A168" s="8">
        <v>46259</v>
      </c>
      <c r="B168" s="16">
        <f>YEAR(Tabela32[[#This Row],[Data]])</f>
        <v>2026</v>
      </c>
      <c r="C168" s="16">
        <f>MONTH(Tabela32[[#This Row],[Data]])</f>
        <v>8</v>
      </c>
      <c r="D168" s="4" t="s">
        <v>29</v>
      </c>
      <c r="E168" s="4">
        <v>1</v>
      </c>
      <c r="F168" s="4" t="str">
        <f>IFERROR(VLOOKUP(Tabela32[[#This Row],[Placa]],Planilha2!$A$1:$B$12,2,0),"")</f>
        <v>Sandro</v>
      </c>
      <c r="G168" s="10">
        <v>4376.83</v>
      </c>
      <c r="H168" s="10">
        <v>105895.2</v>
      </c>
      <c r="I168" s="4">
        <v>391</v>
      </c>
      <c r="J168" s="17">
        <f>IFERROR(Tabela32[[#This Row],[Valor Frete]]/Tabela32[[#This Row],[Valor Mercadoria]],"")</f>
        <v>4.1331712863283701E-2</v>
      </c>
      <c r="K168" s="11">
        <v>0.27083333333333331</v>
      </c>
      <c r="L168" s="15">
        <v>0.74861111111111112</v>
      </c>
      <c r="M168" s="15">
        <f>Tabela32[[#This Row],[Hr Chegada]]-Tabela32[[#This Row],[Hr Saida]]</f>
        <v>0.4777777777777778</v>
      </c>
      <c r="N168" s="4">
        <v>274901</v>
      </c>
      <c r="O168" s="4">
        <v>274963</v>
      </c>
      <c r="P168" s="4">
        <f>Tabela32[[#This Row],[Km Chegada]]-Tabela32[[#This Row],[Km Saída]]</f>
        <v>62</v>
      </c>
      <c r="Q168" s="4">
        <v>114</v>
      </c>
      <c r="R168" s="4">
        <v>5</v>
      </c>
      <c r="S168" s="4">
        <v>5</v>
      </c>
      <c r="T168" s="12">
        <f>Tabela32[[#This Row],[Entregas]]-Tabela32[[#This Row],[Realizadas]]</f>
        <v>0</v>
      </c>
      <c r="U168" s="18">
        <f>Tabela32[[#This Row],[Realizadas]]/Tabela32[[#This Row],[Entregas]]</f>
        <v>1</v>
      </c>
      <c r="V168" s="19" t="str">
        <f>IF(Tabela32[[#This Row],[% Entrega]]&gt;=96%,"Atendeu a Meta","Não Atendeu a Meta")</f>
        <v>Atendeu a Meta</v>
      </c>
      <c r="W168" s="4" t="s">
        <v>40</v>
      </c>
      <c r="X168" s="4">
        <v>0</v>
      </c>
      <c r="Y168" s="5">
        <v>0</v>
      </c>
    </row>
    <row r="169" spans="1:25" x14ac:dyDescent="0.25">
      <c r="A169" s="8">
        <v>46260</v>
      </c>
      <c r="B169" s="16">
        <f>YEAR(Tabela32[[#This Row],[Data]])</f>
        <v>2026</v>
      </c>
      <c r="C169" s="16">
        <f>MONTH(Tabela32[[#This Row],[Data]])</f>
        <v>8</v>
      </c>
      <c r="D169" s="4" t="s">
        <v>29</v>
      </c>
      <c r="E169" s="4">
        <v>1</v>
      </c>
      <c r="F169" s="4" t="str">
        <f>IFERROR(VLOOKUP(Tabela32[[#This Row],[Placa]],Planilha2!$A$1:$B$12,2,0),"")</f>
        <v>Sandro</v>
      </c>
      <c r="G169" s="10">
        <v>12218.41</v>
      </c>
      <c r="H169" s="10">
        <v>181548.94</v>
      </c>
      <c r="I169" s="4">
        <v>2195</v>
      </c>
      <c r="J169" s="17">
        <f>IFERROR(Tabela32[[#This Row],[Valor Frete]]/Tabela32[[#This Row],[Valor Mercadoria]],"")</f>
        <v>6.7300916215759787E-2</v>
      </c>
      <c r="K169" s="11">
        <v>0.29166666666666669</v>
      </c>
      <c r="L169" s="15">
        <v>0.77083333333333337</v>
      </c>
      <c r="M169" s="15">
        <f>Tabela32[[#This Row],[Hr Chegada]]-Tabela32[[#This Row],[Hr Saida]]</f>
        <v>0.47916666666666669</v>
      </c>
      <c r="N169" s="4">
        <v>274963</v>
      </c>
      <c r="O169" s="4">
        <v>275086</v>
      </c>
      <c r="P169" s="4">
        <f>Tabela32[[#This Row],[Km Chegada]]-Tabela32[[#This Row],[Km Saída]]</f>
        <v>123</v>
      </c>
      <c r="Q169" s="4">
        <v>245</v>
      </c>
      <c r="R169" s="4">
        <v>27</v>
      </c>
      <c r="S169" s="4">
        <v>27</v>
      </c>
      <c r="T169" s="12">
        <f>Tabela32[[#This Row],[Entregas]]-Tabela32[[#This Row],[Realizadas]]</f>
        <v>0</v>
      </c>
      <c r="U169" s="18">
        <f>Tabela32[[#This Row],[Realizadas]]/Tabela32[[#This Row],[Entregas]]</f>
        <v>1</v>
      </c>
      <c r="V169" s="19" t="str">
        <f>IF(Tabela32[[#This Row],[% Entrega]]&gt;=96%,"Atendeu a Meta","Não Atendeu a Meta")</f>
        <v>Atendeu a Meta</v>
      </c>
      <c r="W169" s="4" t="s">
        <v>43</v>
      </c>
      <c r="X169" s="4">
        <v>0</v>
      </c>
      <c r="Y169" s="5">
        <v>0</v>
      </c>
    </row>
    <row r="170" spans="1:25" x14ac:dyDescent="0.25">
      <c r="A170" s="8">
        <v>46260</v>
      </c>
      <c r="B170" s="16">
        <f>YEAR(Tabela32[[#This Row],[Data]])</f>
        <v>2026</v>
      </c>
      <c r="C170" s="16">
        <f>MONTH(Tabela32[[#This Row],[Data]])</f>
        <v>8</v>
      </c>
      <c r="D170" s="4" t="s">
        <v>53</v>
      </c>
      <c r="E170" s="4">
        <v>3</v>
      </c>
      <c r="F170" s="4" t="str">
        <f>IFERROR(VLOOKUP(Tabela32[[#This Row],[Placa]],Planilha2!$A$1:$B$12,2,0),"")</f>
        <v>Arnaldo</v>
      </c>
      <c r="G170" s="10">
        <v>13755.4</v>
      </c>
      <c r="H170" s="10">
        <v>327486.59999999998</v>
      </c>
      <c r="I170" s="4">
        <v>3734</v>
      </c>
      <c r="J170" s="17">
        <f>IFERROR(Tabela32[[#This Row],[Valor Frete]]/Tabela32[[#This Row],[Valor Mercadoria]],"")</f>
        <v>4.200293996762005E-2</v>
      </c>
      <c r="K170" s="11">
        <v>0.29166666666666669</v>
      </c>
      <c r="L170" s="15">
        <v>0.77083333333333337</v>
      </c>
      <c r="M170" s="15">
        <f>Tabela32[[#This Row],[Hr Chegada]]-Tabela32[[#This Row],[Hr Saida]]</f>
        <v>0.47916666666666669</v>
      </c>
      <c r="N170" s="4">
        <v>12649</v>
      </c>
      <c r="O170" s="4">
        <v>12703</v>
      </c>
      <c r="P170" s="4">
        <f>Tabela32[[#This Row],[Km Chegada]]-Tabela32[[#This Row],[Km Saída]]</f>
        <v>54</v>
      </c>
      <c r="Q170" s="4">
        <v>232</v>
      </c>
      <c r="R170" s="4">
        <v>15</v>
      </c>
      <c r="S170" s="4">
        <v>11</v>
      </c>
      <c r="T170" s="12">
        <f>Tabela32[[#This Row],[Entregas]]-Tabela32[[#This Row],[Realizadas]]</f>
        <v>4</v>
      </c>
      <c r="U170" s="18">
        <f>Tabela32[[#This Row],[Realizadas]]/Tabela32[[#This Row],[Entregas]]</f>
        <v>0.73333333333333328</v>
      </c>
      <c r="V170" s="19" t="str">
        <f>IF(Tabela32[[#This Row],[% Entrega]]&gt;=96%,"Atendeu a Meta","Não Atendeu a Meta")</f>
        <v>Não Atendeu a Meta</v>
      </c>
      <c r="W170" s="4" t="s">
        <v>39</v>
      </c>
      <c r="X170" s="4">
        <v>4</v>
      </c>
      <c r="Y170" s="5" t="s">
        <v>71</v>
      </c>
    </row>
    <row r="171" spans="1:25" x14ac:dyDescent="0.25">
      <c r="A171" s="8">
        <v>46260</v>
      </c>
      <c r="B171" s="16">
        <f>YEAR(Tabela32[[#This Row],[Data]])</f>
        <v>2026</v>
      </c>
      <c r="C171" s="16">
        <f>MONTH(Tabela32[[#This Row],[Data]])</f>
        <v>8</v>
      </c>
      <c r="D171" s="4" t="s">
        <v>27</v>
      </c>
      <c r="E171" s="4">
        <v>5</v>
      </c>
      <c r="F171" s="4" t="str">
        <f>IFERROR(VLOOKUP(Tabela32[[#This Row],[Placa]],Planilha2!$A$1:$B$12,2,0),"")</f>
        <v>Rosinaldo</v>
      </c>
      <c r="G171" s="10">
        <v>5154.3100000000004</v>
      </c>
      <c r="H171" s="10">
        <v>162580.38</v>
      </c>
      <c r="I171" s="4">
        <v>1284</v>
      </c>
      <c r="J171" s="17">
        <f>IFERROR(Tabela32[[#This Row],[Valor Frete]]/Tabela32[[#This Row],[Valor Mercadoria]],"")</f>
        <v>3.1703148928548454E-2</v>
      </c>
      <c r="K171" s="11">
        <v>0.29166666666666669</v>
      </c>
      <c r="L171" s="15">
        <v>0.77083333333333337</v>
      </c>
      <c r="M171" s="15">
        <f>Tabela32[[#This Row],[Hr Chegada]]-Tabela32[[#This Row],[Hr Saida]]</f>
        <v>0.47916666666666669</v>
      </c>
      <c r="N171" s="4">
        <v>290615</v>
      </c>
      <c r="O171" s="4">
        <v>290711</v>
      </c>
      <c r="P171" s="4">
        <f>Tabela32[[#This Row],[Km Chegada]]-Tabela32[[#This Row],[Km Saída]]</f>
        <v>96</v>
      </c>
      <c r="Q171" s="4">
        <v>599</v>
      </c>
      <c r="R171" s="4">
        <v>19</v>
      </c>
      <c r="S171" s="4">
        <v>18</v>
      </c>
      <c r="T171" s="12">
        <f>Tabela32[[#This Row],[Entregas]]-Tabela32[[#This Row],[Realizadas]]</f>
        <v>1</v>
      </c>
      <c r="U171" s="18">
        <f>Tabela32[[#This Row],[Realizadas]]/Tabela32[[#This Row],[Entregas]]</f>
        <v>0.94736842105263153</v>
      </c>
      <c r="V171" s="19" t="str">
        <f>IF(Tabela32[[#This Row],[% Entrega]]&gt;=96%,"Atendeu a Meta","Não Atendeu a Meta")</f>
        <v>Não Atendeu a Meta</v>
      </c>
      <c r="W171" s="4" t="s">
        <v>39</v>
      </c>
      <c r="X171" s="4">
        <v>1</v>
      </c>
      <c r="Y171" s="5">
        <v>13</v>
      </c>
    </row>
    <row r="172" spans="1:25" x14ac:dyDescent="0.25">
      <c r="A172" s="8">
        <v>46260</v>
      </c>
      <c r="B172" s="16">
        <f>YEAR(Tabela32[[#This Row],[Data]])</f>
        <v>2026</v>
      </c>
      <c r="C172" s="16">
        <f>MONTH(Tabela32[[#This Row],[Data]])</f>
        <v>8</v>
      </c>
      <c r="D172" s="4" t="s">
        <v>25</v>
      </c>
      <c r="E172" s="4">
        <v>11</v>
      </c>
      <c r="F172" s="4" t="str">
        <f>IFERROR(VLOOKUP(Tabela32[[#This Row],[Placa]],Planilha2!$A$1:$B$12,2,0),"")</f>
        <v>Gilberto</v>
      </c>
      <c r="G172" s="10">
        <v>13592.33</v>
      </c>
      <c r="H172" s="10">
        <v>467084.96</v>
      </c>
      <c r="I172" s="4">
        <v>1915</v>
      </c>
      <c r="J172" s="17">
        <f>IFERROR(Tabela32[[#This Row],[Valor Frete]]/Tabela32[[#This Row],[Valor Mercadoria]],"")</f>
        <v>2.9100337548869051E-2</v>
      </c>
      <c r="K172" s="11">
        <v>0.27083333333333331</v>
      </c>
      <c r="L172" s="15">
        <v>0.70138888888888884</v>
      </c>
      <c r="M172" s="15">
        <f>Tabela32[[#This Row],[Hr Chegada]]-Tabela32[[#This Row],[Hr Saida]]</f>
        <v>0.43055555555555552</v>
      </c>
      <c r="N172" s="4">
        <v>118662</v>
      </c>
      <c r="O172" s="4">
        <v>118807</v>
      </c>
      <c r="P172" s="4">
        <f>Tabela32[[#This Row],[Km Chegada]]-Tabela32[[#This Row],[Km Saída]]</f>
        <v>145</v>
      </c>
      <c r="Q172" s="4">
        <v>103</v>
      </c>
      <c r="R172" s="4">
        <v>27</v>
      </c>
      <c r="S172" s="4">
        <v>27</v>
      </c>
      <c r="T172" s="12">
        <f>Tabela32[[#This Row],[Entregas]]-Tabela32[[#This Row],[Realizadas]]</f>
        <v>0</v>
      </c>
      <c r="U172" s="18">
        <f>Tabela32[[#This Row],[Realizadas]]/Tabela32[[#This Row],[Entregas]]</f>
        <v>1</v>
      </c>
      <c r="V172" s="19" t="str">
        <f>IF(Tabela32[[#This Row],[% Entrega]]&gt;=96%,"Atendeu a Meta","Não Atendeu a Meta")</f>
        <v>Atendeu a Meta</v>
      </c>
      <c r="W172" s="4" t="s">
        <v>41</v>
      </c>
      <c r="X172" s="4">
        <v>1</v>
      </c>
      <c r="Y172" s="5">
        <v>10</v>
      </c>
    </row>
    <row r="173" spans="1:25" x14ac:dyDescent="0.25">
      <c r="A173" s="8">
        <v>46260</v>
      </c>
      <c r="B173" s="16">
        <f>YEAR(Tabela32[[#This Row],[Data]])</f>
        <v>2026</v>
      </c>
      <c r="C173" s="16">
        <f>MONTH(Tabela32[[#This Row],[Data]])</f>
        <v>8</v>
      </c>
      <c r="D173" s="4" t="s">
        <v>23</v>
      </c>
      <c r="E173" s="4">
        <v>2</v>
      </c>
      <c r="F173" s="4" t="str">
        <f>IFERROR(VLOOKUP(Tabela32[[#This Row],[Placa]],Planilha2!$A$1:$B$12,2,0),"")</f>
        <v>William</v>
      </c>
      <c r="G173" s="10">
        <v>11164.34</v>
      </c>
      <c r="H173" s="10">
        <v>223093.9</v>
      </c>
      <c r="I173" s="4">
        <v>2536</v>
      </c>
      <c r="J173" s="17">
        <f>IFERROR(Tabela32[[#This Row],[Valor Frete]]/Tabela32[[#This Row],[Valor Mercadoria]],"")</f>
        <v>5.004323291672251E-2</v>
      </c>
      <c r="K173" s="11">
        <v>0.29166666666666669</v>
      </c>
      <c r="L173" s="15">
        <v>0.79861111111111116</v>
      </c>
      <c r="M173" s="15">
        <f>Tabela32[[#This Row],[Hr Chegada]]-Tabela32[[#This Row],[Hr Saida]]</f>
        <v>0.50694444444444442</v>
      </c>
      <c r="N173" s="4">
        <v>124372</v>
      </c>
      <c r="O173" s="4">
        <v>124456</v>
      </c>
      <c r="P173" s="4">
        <f>Tabela32[[#This Row],[Km Chegada]]-Tabela32[[#This Row],[Km Saída]]</f>
        <v>84</v>
      </c>
      <c r="Q173" s="4">
        <v>397</v>
      </c>
      <c r="R173" s="4">
        <v>38</v>
      </c>
      <c r="S173" s="4">
        <v>38</v>
      </c>
      <c r="T173" s="12">
        <f>Tabela32[[#This Row],[Entregas]]-Tabela32[[#This Row],[Realizadas]]</f>
        <v>0</v>
      </c>
      <c r="U173" s="18">
        <f>Tabela32[[#This Row],[Realizadas]]/Tabela32[[#This Row],[Entregas]]</f>
        <v>1</v>
      </c>
      <c r="V173" s="19" t="str">
        <f>IF(Tabela32[[#This Row],[% Entrega]]&gt;=96%,"Atendeu a Meta","Não Atendeu a Meta")</f>
        <v>Atendeu a Meta</v>
      </c>
      <c r="W173" s="4" t="s">
        <v>39</v>
      </c>
      <c r="X173" s="4">
        <v>0</v>
      </c>
      <c r="Y173" s="5">
        <v>0</v>
      </c>
    </row>
    <row r="174" spans="1:25" x14ac:dyDescent="0.25">
      <c r="A174" s="8">
        <v>46260</v>
      </c>
      <c r="B174" s="16">
        <f>YEAR(Tabela32[[#This Row],[Data]])</f>
        <v>2026</v>
      </c>
      <c r="C174" s="16">
        <f>MONTH(Tabela32[[#This Row],[Data]])</f>
        <v>8</v>
      </c>
      <c r="D174" s="4" t="s">
        <v>22</v>
      </c>
      <c r="E174" s="4">
        <v>2</v>
      </c>
      <c r="F174" s="4" t="str">
        <f>IFERROR(VLOOKUP(Tabela32[[#This Row],[Placa]],Planilha2!$A$1:$B$12,2,0),"")</f>
        <v>Wesley</v>
      </c>
      <c r="G174" s="10">
        <v>5030.4399999999996</v>
      </c>
      <c r="H174" s="10">
        <v>68379.62</v>
      </c>
      <c r="I174" s="4">
        <v>903</v>
      </c>
      <c r="J174" s="17">
        <f>IFERROR(Tabela32[[#This Row],[Valor Frete]]/Tabela32[[#This Row],[Valor Mercadoria]],"")</f>
        <v>7.3566363779149407E-2</v>
      </c>
      <c r="K174" s="11">
        <v>0.29166666666666669</v>
      </c>
      <c r="L174" s="15">
        <v>0.68958333333333333</v>
      </c>
      <c r="M174" s="15">
        <f>Tabela32[[#This Row],[Hr Chegada]]-Tabela32[[#This Row],[Hr Saida]]</f>
        <v>0.39791666666666664</v>
      </c>
      <c r="N174" s="4">
        <v>303490</v>
      </c>
      <c r="O174" s="4">
        <v>303549</v>
      </c>
      <c r="P174" s="4">
        <f>Tabela32[[#This Row],[Km Chegada]]-Tabela32[[#This Row],[Km Saída]]</f>
        <v>59</v>
      </c>
      <c r="Q174" s="4">
        <v>167</v>
      </c>
      <c r="R174" s="4">
        <v>25</v>
      </c>
      <c r="S174" s="4">
        <v>25</v>
      </c>
      <c r="T174" s="12">
        <f>Tabela32[[#This Row],[Entregas]]-Tabela32[[#This Row],[Realizadas]]</f>
        <v>0</v>
      </c>
      <c r="U174" s="18">
        <f>Tabela32[[#This Row],[Realizadas]]/Tabela32[[#This Row],[Entregas]]</f>
        <v>1</v>
      </c>
      <c r="V174" s="19" t="str">
        <f>IF(Tabela32[[#This Row],[% Entrega]]&gt;=96%,"Atendeu a Meta","Não Atendeu a Meta")</f>
        <v>Atendeu a Meta</v>
      </c>
      <c r="W174" s="4" t="s">
        <v>39</v>
      </c>
      <c r="X174" s="4">
        <v>0</v>
      </c>
      <c r="Y174" s="5">
        <v>0</v>
      </c>
    </row>
    <row r="175" spans="1:25" x14ac:dyDescent="0.25">
      <c r="A175" s="8">
        <v>46260</v>
      </c>
      <c r="B175" s="16">
        <f>YEAR(Tabela32[[#This Row],[Data]])</f>
        <v>2026</v>
      </c>
      <c r="C175" s="16">
        <f>MONTH(Tabela32[[#This Row],[Data]])</f>
        <v>8</v>
      </c>
      <c r="D175" s="4" t="s">
        <v>28</v>
      </c>
      <c r="E175" s="4">
        <v>1</v>
      </c>
      <c r="F175" s="4" t="str">
        <f>IFERROR(VLOOKUP(Tabela32[[#This Row],[Placa]],Planilha2!$A$1:$B$12,2,0),"")</f>
        <v>Edilson</v>
      </c>
      <c r="G175" s="10">
        <v>19932</v>
      </c>
      <c r="H175" s="10">
        <v>485572.38</v>
      </c>
      <c r="I175" s="4">
        <v>3236</v>
      </c>
      <c r="J175" s="17">
        <f>IFERROR(Tabela32[[#This Row],[Valor Frete]]/Tabela32[[#This Row],[Valor Mercadoria]],"")</f>
        <v>4.1048463258968722E-2</v>
      </c>
      <c r="K175" s="11">
        <v>0.29166666666666669</v>
      </c>
      <c r="L175" s="15">
        <v>0.68055555555555558</v>
      </c>
      <c r="M175" s="15">
        <f>Tabela32[[#This Row],[Hr Chegada]]-Tabela32[[#This Row],[Hr Saida]]</f>
        <v>0.3888888888888889</v>
      </c>
      <c r="N175" s="4">
        <v>104265</v>
      </c>
      <c r="O175" s="4">
        <v>104296</v>
      </c>
      <c r="P175" s="4">
        <f>Tabela32[[#This Row],[Km Chegada]]-Tabela32[[#This Row],[Km Saída]]</f>
        <v>31</v>
      </c>
      <c r="Q175" s="4">
        <v>380</v>
      </c>
      <c r="R175" s="4">
        <v>9</v>
      </c>
      <c r="S175" s="4">
        <v>9</v>
      </c>
      <c r="T175" s="12">
        <f>Tabela32[[#This Row],[Entregas]]-Tabela32[[#This Row],[Realizadas]]</f>
        <v>0</v>
      </c>
      <c r="U175" s="18">
        <f>Tabela32[[#This Row],[Realizadas]]/Tabela32[[#This Row],[Entregas]]</f>
        <v>1</v>
      </c>
      <c r="V175" s="19" t="str">
        <f>IF(Tabela32[[#This Row],[% Entrega]]&gt;=96%,"Atendeu a Meta","Não Atendeu a Meta")</f>
        <v>Atendeu a Meta</v>
      </c>
      <c r="W175" s="4" t="s">
        <v>39</v>
      </c>
      <c r="X175" s="4">
        <v>0</v>
      </c>
      <c r="Y175" s="5">
        <v>0</v>
      </c>
    </row>
    <row r="176" spans="1:25" x14ac:dyDescent="0.25">
      <c r="A176" s="8">
        <v>46260</v>
      </c>
      <c r="B176" s="16">
        <f>YEAR(Tabela32[[#This Row],[Data]])</f>
        <v>2026</v>
      </c>
      <c r="C176" s="16">
        <f>MONTH(Tabela32[[#This Row],[Data]])</f>
        <v>8</v>
      </c>
      <c r="D176" s="4" t="s">
        <v>31</v>
      </c>
      <c r="E176" s="4">
        <v>2</v>
      </c>
      <c r="F176" s="4" t="str">
        <f>IFERROR(VLOOKUP(Tabela32[[#This Row],[Placa]],Planilha2!$A$1:$B$12,2,0),"")</f>
        <v>Jerson</v>
      </c>
      <c r="G176" s="10">
        <v>6734.86</v>
      </c>
      <c r="H176" s="10">
        <v>128238.08</v>
      </c>
      <c r="I176" s="4">
        <v>1226</v>
      </c>
      <c r="J176" s="17">
        <f>IFERROR(Tabela32[[#This Row],[Valor Frete]]/Tabela32[[#This Row],[Valor Mercadoria]],"")</f>
        <v>5.2518409508314531E-2</v>
      </c>
      <c r="K176" s="11">
        <v>0.29166666666666669</v>
      </c>
      <c r="L176" s="15">
        <v>0.66736111111111107</v>
      </c>
      <c r="M176" s="15">
        <f>Tabela32[[#This Row],[Hr Chegada]]-Tabela32[[#This Row],[Hr Saida]]</f>
        <v>0.37569444444444439</v>
      </c>
      <c r="N176" s="4">
        <v>279682</v>
      </c>
      <c r="O176" s="4">
        <v>279735</v>
      </c>
      <c r="P176" s="4">
        <f>Tabela32[[#This Row],[Km Chegada]]-Tabela32[[#This Row],[Km Saída]]</f>
        <v>53</v>
      </c>
      <c r="Q176" s="4">
        <v>156</v>
      </c>
      <c r="R176" s="4">
        <v>26</v>
      </c>
      <c r="S176" s="4">
        <v>26</v>
      </c>
      <c r="T176" s="12">
        <f>Tabela32[[#This Row],[Entregas]]-Tabela32[[#This Row],[Realizadas]]</f>
        <v>0</v>
      </c>
      <c r="U176" s="18">
        <f>Tabela32[[#This Row],[Realizadas]]/Tabela32[[#This Row],[Entregas]]</f>
        <v>1</v>
      </c>
      <c r="V176" s="19" t="str">
        <f>IF(Tabela32[[#This Row],[% Entrega]]&gt;=96%,"Atendeu a Meta","Não Atendeu a Meta")</f>
        <v>Atendeu a Meta</v>
      </c>
      <c r="W176" s="4" t="s">
        <v>39</v>
      </c>
      <c r="X176" s="4">
        <v>0</v>
      </c>
      <c r="Y176" s="5">
        <v>0</v>
      </c>
    </row>
    <row r="177" spans="1:25" x14ac:dyDescent="0.25">
      <c r="A177" s="8">
        <v>46260</v>
      </c>
      <c r="B177" s="16">
        <f>YEAR(Tabela32[[#This Row],[Data]])</f>
        <v>2026</v>
      </c>
      <c r="C177" s="16">
        <f>MONTH(Tabela32[[#This Row],[Data]])</f>
        <v>8</v>
      </c>
      <c r="D177" s="4" t="s">
        <v>35</v>
      </c>
      <c r="E177" s="4">
        <v>1</v>
      </c>
      <c r="F177" s="4" t="str">
        <f>IFERROR(VLOOKUP(Tabela32[[#This Row],[Placa]],Planilha2!$A$1:$B$12,2,0),"")</f>
        <v>Osvaldo</v>
      </c>
      <c r="G177" s="10">
        <v>7878.56</v>
      </c>
      <c r="H177" s="10">
        <v>163243.06</v>
      </c>
      <c r="I177" s="4">
        <v>1365</v>
      </c>
      <c r="J177" s="17">
        <f>IFERROR(Tabela32[[#This Row],[Valor Frete]]/Tabela32[[#This Row],[Valor Mercadoria]],"")</f>
        <v>4.8262756162497818E-2</v>
      </c>
      <c r="K177" s="11">
        <v>0.29166666666666669</v>
      </c>
      <c r="L177" s="15">
        <v>0.73750000000000004</v>
      </c>
      <c r="M177" s="15">
        <f>Tabela32[[#This Row],[Hr Chegada]]-Tabela32[[#This Row],[Hr Saida]]</f>
        <v>0.44583333333333336</v>
      </c>
      <c r="N177" s="4">
        <v>142126</v>
      </c>
      <c r="O177" s="4">
        <v>142194</v>
      </c>
      <c r="P177" s="4">
        <f>Tabela32[[#This Row],[Km Chegada]]-Tabela32[[#This Row],[Km Saída]]</f>
        <v>68</v>
      </c>
      <c r="Q177" s="4">
        <v>153</v>
      </c>
      <c r="R177" s="4">
        <v>35</v>
      </c>
      <c r="S177" s="4">
        <v>35</v>
      </c>
      <c r="T177" s="12">
        <v>0</v>
      </c>
      <c r="U177" s="18">
        <f>Tabela32[[#This Row],[Realizadas]]/Tabela32[[#This Row],[Entregas]]</f>
        <v>1</v>
      </c>
      <c r="V177" s="19" t="str">
        <f>IF(Tabela32[[#This Row],[% Entrega]]&gt;=96%,"Atendeu a Meta","Não Atendeu a Meta")</f>
        <v>Atendeu a Meta</v>
      </c>
      <c r="W177" s="4" t="s">
        <v>43</v>
      </c>
      <c r="X177" s="4">
        <v>0</v>
      </c>
      <c r="Y177" s="5">
        <v>0</v>
      </c>
    </row>
    <row r="178" spans="1:25" x14ac:dyDescent="0.25">
      <c r="A178" s="8">
        <v>46260</v>
      </c>
      <c r="B178" s="16">
        <f>YEAR(Tabela32[[#This Row],[Data]])</f>
        <v>2026</v>
      </c>
      <c r="C178" s="16">
        <f>MONTH(Tabela32[[#This Row],[Data]])</f>
        <v>8</v>
      </c>
      <c r="D178" s="4" t="s">
        <v>33</v>
      </c>
      <c r="E178" s="4">
        <v>1</v>
      </c>
      <c r="F178" s="4" t="str">
        <f>IFERROR(VLOOKUP(Tabela32[[#This Row],[Placa]],Planilha2!$A$1:$B$12,2,0),"")</f>
        <v>Paulo</v>
      </c>
      <c r="G178" s="10">
        <v>4013.21</v>
      </c>
      <c r="H178" s="10">
        <v>93726.55</v>
      </c>
      <c r="I178" s="4">
        <v>619</v>
      </c>
      <c r="J178" s="17">
        <f>IFERROR(Tabela32[[#This Row],[Valor Frete]]/Tabela32[[#This Row],[Valor Mercadoria]],"")</f>
        <v>4.2818283613341147E-2</v>
      </c>
      <c r="K178" s="11">
        <v>0.29166666666666669</v>
      </c>
      <c r="L178" s="15">
        <v>0.71805555555555556</v>
      </c>
      <c r="M178" s="15">
        <f>Tabela32[[#This Row],[Hr Chegada]]-Tabela32[[#This Row],[Hr Saida]]</f>
        <v>0.42638888888888887</v>
      </c>
      <c r="N178" s="4">
        <v>154444</v>
      </c>
      <c r="O178" s="4">
        <v>154519</v>
      </c>
      <c r="P178" s="4">
        <f>Tabela32[[#This Row],[Km Chegada]]-Tabela32[[#This Row],[Km Saída]]</f>
        <v>75</v>
      </c>
      <c r="Q178" s="4">
        <v>96</v>
      </c>
      <c r="R178" s="4">
        <v>16</v>
      </c>
      <c r="S178" s="4">
        <v>16</v>
      </c>
      <c r="T178" s="12">
        <f>Tabela32[[#This Row],[Entregas]]-Tabela32[[#This Row],[Realizadas]]</f>
        <v>0</v>
      </c>
      <c r="U178" s="18">
        <f>Tabela32[[#This Row],[Realizadas]]/Tabela32[[#This Row],[Entregas]]</f>
        <v>1</v>
      </c>
      <c r="V178" s="19" t="str">
        <f>IF(Tabela32[[#This Row],[% Entrega]]&gt;=96%,"Atendeu a Meta","Não Atendeu a Meta")</f>
        <v>Atendeu a Meta</v>
      </c>
      <c r="W178" s="4" t="s">
        <v>43</v>
      </c>
      <c r="X178" s="4">
        <v>1</v>
      </c>
      <c r="Y178" s="5">
        <v>38</v>
      </c>
    </row>
    <row r="179" spans="1:25" x14ac:dyDescent="0.25">
      <c r="A179" s="8">
        <v>46261</v>
      </c>
      <c r="B179" s="16">
        <f>YEAR(Tabela32[[#This Row],[Data]])</f>
        <v>2026</v>
      </c>
      <c r="C179" s="16">
        <f>MONTH(Tabela32[[#This Row],[Data]])</f>
        <v>8</v>
      </c>
      <c r="D179" s="4" t="s">
        <v>53</v>
      </c>
      <c r="E179" s="4">
        <v>3</v>
      </c>
      <c r="F179" s="4" t="str">
        <f>IFERROR(VLOOKUP(Tabela32[[#This Row],[Placa]],Planilha2!$A$1:$B$12,2,0),"")</f>
        <v>Arnaldo</v>
      </c>
      <c r="G179" s="10">
        <v>13574.29</v>
      </c>
      <c r="H179" s="10">
        <v>255882.02</v>
      </c>
      <c r="I179" s="4">
        <v>3406</v>
      </c>
      <c r="J179" s="17">
        <f>IFERROR(Tabela32[[#This Row],[Valor Frete]]/Tabela32[[#This Row],[Valor Mercadoria]],"")</f>
        <v>5.3049018449987231E-2</v>
      </c>
      <c r="K179" s="11">
        <v>0.29166666666666669</v>
      </c>
      <c r="L179" s="15">
        <v>0.80555555555555558</v>
      </c>
      <c r="M179" s="15">
        <f>Tabela32[[#This Row],[Hr Chegada]]-Tabela32[[#This Row],[Hr Saida]]</f>
        <v>0.51388888888888884</v>
      </c>
      <c r="N179" s="4">
        <v>12703</v>
      </c>
      <c r="O179" s="4">
        <v>12748</v>
      </c>
      <c r="P179" s="4">
        <f>Tabela32[[#This Row],[Km Chegada]]-Tabela32[[#This Row],[Km Saída]]</f>
        <v>45</v>
      </c>
      <c r="Q179" s="4">
        <v>225</v>
      </c>
      <c r="R179" s="4">
        <v>11</v>
      </c>
      <c r="S179" s="4">
        <v>10</v>
      </c>
      <c r="T179" s="12">
        <f>Tabela32[[#This Row],[Entregas]]-Tabela32[[#This Row],[Realizadas]]</f>
        <v>1</v>
      </c>
      <c r="U179" s="18">
        <f>Tabela32[[#This Row],[Realizadas]]/Tabela32[[#This Row],[Entregas]]</f>
        <v>0.90909090909090906</v>
      </c>
      <c r="V179" s="19" t="str">
        <f>IF(Tabela32[[#This Row],[% Entrega]]&gt;=96%,"Atendeu a Meta","Não Atendeu a Meta")</f>
        <v>Não Atendeu a Meta</v>
      </c>
      <c r="W179" s="4" t="s">
        <v>39</v>
      </c>
      <c r="X179" s="4">
        <v>1</v>
      </c>
      <c r="Y179" s="5">
        <v>13</v>
      </c>
    </row>
    <row r="180" spans="1:25" x14ac:dyDescent="0.25">
      <c r="A180" s="8">
        <v>46261</v>
      </c>
      <c r="B180" s="16">
        <f>YEAR(Tabela32[[#This Row],[Data]])</f>
        <v>2026</v>
      </c>
      <c r="C180" s="16">
        <f>MONTH(Tabela32[[#This Row],[Data]])</f>
        <v>8</v>
      </c>
      <c r="D180" s="4" t="s">
        <v>28</v>
      </c>
      <c r="E180" s="4">
        <v>11</v>
      </c>
      <c r="F180" s="4" t="str">
        <f>IFERROR(VLOOKUP(Tabela32[[#This Row],[Placa]],Planilha2!$A$1:$B$12,2,0),"")</f>
        <v>Edilson</v>
      </c>
      <c r="G180" s="10">
        <v>10379.049999999999</v>
      </c>
      <c r="H180" s="10">
        <v>142041.26999999999</v>
      </c>
      <c r="I180" s="4">
        <v>2375</v>
      </c>
      <c r="J180" s="17">
        <f>IFERROR(Tabela32[[#This Row],[Valor Frete]]/Tabela32[[#This Row],[Valor Mercadoria]],"")</f>
        <v>7.3070664603322677E-2</v>
      </c>
      <c r="K180" s="11">
        <v>0.27083333333333331</v>
      </c>
      <c r="L180" s="15">
        <v>0.74652777777777779</v>
      </c>
      <c r="M180" s="15">
        <f>Tabela32[[#This Row],[Hr Chegada]]-Tabela32[[#This Row],[Hr Saida]]</f>
        <v>0.47569444444444448</v>
      </c>
      <c r="N180" s="4">
        <v>104296</v>
      </c>
      <c r="O180" s="4">
        <v>104428</v>
      </c>
      <c r="P180" s="4">
        <f>Tabela32[[#This Row],[Km Chegada]]-Tabela32[[#This Row],[Km Saída]]</f>
        <v>132</v>
      </c>
      <c r="Q180" s="4">
        <v>311</v>
      </c>
      <c r="R180" s="4">
        <v>23</v>
      </c>
      <c r="S180" s="4">
        <v>23</v>
      </c>
      <c r="T180" s="12">
        <f>Tabela32[[#This Row],[Entregas]]-Tabela32[[#This Row],[Realizadas]]</f>
        <v>0</v>
      </c>
      <c r="U180" s="18">
        <f>Tabela32[[#This Row],[Realizadas]]/Tabela32[[#This Row],[Entregas]]</f>
        <v>1</v>
      </c>
      <c r="V180" s="19" t="str">
        <f>IF(Tabela32[[#This Row],[% Entrega]]&gt;=96%,"Atendeu a Meta","Não Atendeu a Meta")</f>
        <v>Atendeu a Meta</v>
      </c>
      <c r="W180" s="4" t="s">
        <v>41</v>
      </c>
      <c r="X180" s="4">
        <v>0</v>
      </c>
      <c r="Y180" s="5">
        <v>0</v>
      </c>
    </row>
    <row r="181" spans="1:25" x14ac:dyDescent="0.25">
      <c r="A181" s="8">
        <v>46261</v>
      </c>
      <c r="B181" s="16">
        <f>YEAR(Tabela32[[#This Row],[Data]])</f>
        <v>2026</v>
      </c>
      <c r="C181" s="16">
        <f>MONTH(Tabela32[[#This Row],[Data]])</f>
        <v>8</v>
      </c>
      <c r="D181" s="4" t="s">
        <v>33</v>
      </c>
      <c r="E181" s="4">
        <v>1</v>
      </c>
      <c r="F181" s="4" t="str">
        <f>IFERROR(VLOOKUP(Tabela32[[#This Row],[Placa]],Planilha2!$A$1:$B$12,2,0),"")</f>
        <v>Paulo</v>
      </c>
      <c r="G181" s="10">
        <v>2983.9</v>
      </c>
      <c r="H181" s="10">
        <v>61363.38</v>
      </c>
      <c r="I181" s="4">
        <v>328</v>
      </c>
      <c r="J181" s="17">
        <f>IFERROR(Tabela32[[#This Row],[Valor Frete]]/Tabela32[[#This Row],[Valor Mercadoria]],"")</f>
        <v>4.862672167015572E-2</v>
      </c>
      <c r="K181" s="11">
        <v>0.29375000000000001</v>
      </c>
      <c r="L181" s="15">
        <v>0.69513888888888886</v>
      </c>
      <c r="M181" s="15">
        <f>Tabela32[[#This Row],[Hr Chegada]]-Tabela32[[#This Row],[Hr Saida]]</f>
        <v>0.40138888888888885</v>
      </c>
      <c r="N181" s="4">
        <v>154519</v>
      </c>
      <c r="O181" s="4">
        <v>154573</v>
      </c>
      <c r="P181" s="4">
        <f>Tabela32[[#This Row],[Km Chegada]]-Tabela32[[#This Row],[Km Saída]]</f>
        <v>54</v>
      </c>
      <c r="Q181" s="4">
        <v>27</v>
      </c>
      <c r="R181" s="4">
        <v>4</v>
      </c>
      <c r="S181" s="4">
        <v>4</v>
      </c>
      <c r="T181" s="12">
        <f>Tabela32[[#This Row],[Entregas]]-Tabela32[[#This Row],[Realizadas]]</f>
        <v>0</v>
      </c>
      <c r="U181" s="18">
        <f>Tabela32[[#This Row],[Realizadas]]/Tabela32[[#This Row],[Entregas]]</f>
        <v>1</v>
      </c>
      <c r="V181" s="19" t="str">
        <f>IF(Tabela32[[#This Row],[% Entrega]]&gt;=96%,"Atendeu a Meta","Não Atendeu a Meta")</f>
        <v>Atendeu a Meta</v>
      </c>
      <c r="W181" s="4" t="s">
        <v>43</v>
      </c>
      <c r="X181" s="4">
        <v>1</v>
      </c>
      <c r="Y181" s="5">
        <v>38</v>
      </c>
    </row>
    <row r="182" spans="1:25" x14ac:dyDescent="0.25">
      <c r="A182" s="8">
        <v>46261</v>
      </c>
      <c r="B182" s="16">
        <f>YEAR(Tabela32[[#This Row],[Data]])</f>
        <v>2026</v>
      </c>
      <c r="C182" s="16">
        <f>MONTH(Tabela32[[#This Row],[Data]])</f>
        <v>8</v>
      </c>
      <c r="D182" s="4" t="s">
        <v>35</v>
      </c>
      <c r="E182" s="4">
        <v>1</v>
      </c>
      <c r="F182" s="4" t="str">
        <f>IFERROR(VLOOKUP(Tabela32[[#This Row],[Placa]],Planilha2!$A$1:$B$12,2,0),"")</f>
        <v>Osvaldo</v>
      </c>
      <c r="G182" s="10">
        <v>4640.72</v>
      </c>
      <c r="H182" s="10">
        <v>48679.42</v>
      </c>
      <c r="I182" s="4">
        <v>658</v>
      </c>
      <c r="J182" s="17">
        <f>IFERROR(Tabela32[[#This Row],[Valor Frete]]/Tabela32[[#This Row],[Valor Mercadoria]],"")</f>
        <v>9.5332277993451855E-2</v>
      </c>
      <c r="K182" s="11">
        <v>0.29166666666666669</v>
      </c>
      <c r="L182" s="15">
        <v>0.7055555555555556</v>
      </c>
      <c r="M182" s="15">
        <f>Tabela32[[#This Row],[Hr Chegada]]-Tabela32[[#This Row],[Hr Saida]]</f>
        <v>0.41388888888888892</v>
      </c>
      <c r="N182" s="4">
        <v>142194</v>
      </c>
      <c r="O182" s="4">
        <v>142266</v>
      </c>
      <c r="P182" s="4">
        <f>Tabela32[[#This Row],[Km Chegada]]-Tabela32[[#This Row],[Km Saída]]</f>
        <v>72</v>
      </c>
      <c r="Q182" s="4">
        <v>73</v>
      </c>
      <c r="R182" s="4">
        <v>14</v>
      </c>
      <c r="S182" s="4">
        <v>14</v>
      </c>
      <c r="T182" s="12">
        <f>Tabela32[[#This Row],[Entregas]]-Tabela32[[#This Row],[Realizadas]]</f>
        <v>0</v>
      </c>
      <c r="U182" s="18">
        <f>Tabela32[[#This Row],[Realizadas]]/Tabela32[[#This Row],[Entregas]]</f>
        <v>1</v>
      </c>
      <c r="V182" s="19" t="str">
        <f>IF(Tabela32[[#This Row],[% Entrega]]&gt;=96%,"Atendeu a Meta","Não Atendeu a Meta")</f>
        <v>Atendeu a Meta</v>
      </c>
      <c r="W182" s="4" t="s">
        <v>43</v>
      </c>
      <c r="X182" s="4">
        <v>1</v>
      </c>
      <c r="Y182" s="5">
        <v>9</v>
      </c>
    </row>
    <row r="183" spans="1:25" x14ac:dyDescent="0.25">
      <c r="A183" s="8">
        <v>46261</v>
      </c>
      <c r="B183" s="16">
        <f>YEAR(Tabela32[[#This Row],[Data]])</f>
        <v>2026</v>
      </c>
      <c r="C183" s="16">
        <f>MONTH(Tabela32[[#This Row],[Data]])</f>
        <v>8</v>
      </c>
      <c r="D183" s="4" t="s">
        <v>27</v>
      </c>
      <c r="E183" s="4">
        <v>1</v>
      </c>
      <c r="F183" s="4" t="str">
        <f>IFERROR(VLOOKUP(Tabela32[[#This Row],[Placa]],Planilha2!$A$1:$B$12,2,0),"")</f>
        <v>Rosinaldo</v>
      </c>
      <c r="G183" s="10">
        <v>5647.33</v>
      </c>
      <c r="H183" s="10">
        <v>196173.22</v>
      </c>
      <c r="I183" s="4">
        <v>1142</v>
      </c>
      <c r="J183" s="17">
        <f>IFERROR(Tabela32[[#This Row],[Valor Frete]]/Tabela32[[#This Row],[Valor Mercadoria]],"")</f>
        <v>2.8787466505367041E-2</v>
      </c>
      <c r="K183" s="11">
        <v>0.30555555555555558</v>
      </c>
      <c r="L183" s="15">
        <v>0.71527777777777779</v>
      </c>
      <c r="M183" s="15">
        <f>Tabela32[[#This Row],[Hr Chegada]]-Tabela32[[#This Row],[Hr Saida]]</f>
        <v>0.40972222222222221</v>
      </c>
      <c r="N183" s="4">
        <v>290711</v>
      </c>
      <c r="O183" s="4">
        <v>290754</v>
      </c>
      <c r="P183" s="4">
        <f>Tabela32[[#This Row],[Km Chegada]]-Tabela32[[#This Row],[Km Saída]]</f>
        <v>43</v>
      </c>
      <c r="Q183" s="4">
        <v>8</v>
      </c>
      <c r="R183" s="4">
        <v>2</v>
      </c>
      <c r="S183" s="4">
        <v>2</v>
      </c>
      <c r="T183" s="12">
        <f>Tabela32[[#This Row],[Entregas]]-Tabela32[[#This Row],[Realizadas]]</f>
        <v>0</v>
      </c>
      <c r="U183" s="18">
        <f>Tabela32[[#This Row],[Realizadas]]/Tabela32[[#This Row],[Entregas]]</f>
        <v>1</v>
      </c>
      <c r="V183" s="19" t="str">
        <f>IF(Tabela32[[#This Row],[% Entrega]]&gt;=96%,"Atendeu a Meta","Não Atendeu a Meta")</f>
        <v>Atendeu a Meta</v>
      </c>
      <c r="W183" s="4" t="s">
        <v>40</v>
      </c>
      <c r="X183" s="4">
        <v>0</v>
      </c>
      <c r="Y183" s="5">
        <v>0</v>
      </c>
    </row>
    <row r="184" spans="1:25" x14ac:dyDescent="0.25">
      <c r="A184" s="8">
        <v>46261</v>
      </c>
      <c r="B184" s="16">
        <f>YEAR(Tabela32[[#This Row],[Data]])</f>
        <v>2026</v>
      </c>
      <c r="C184" s="16">
        <f>MONTH(Tabela32[[#This Row],[Data]])</f>
        <v>8</v>
      </c>
      <c r="D184" s="4" t="s">
        <v>22</v>
      </c>
      <c r="E184" s="4">
        <v>5</v>
      </c>
      <c r="F184" s="4" t="str">
        <f>IFERROR(VLOOKUP(Tabela32[[#This Row],[Placa]],Planilha2!$A$1:$B$12,2,0),"")</f>
        <v>Wesley</v>
      </c>
      <c r="G184" s="10">
        <v>4475.83</v>
      </c>
      <c r="H184" s="10">
        <v>93265.65</v>
      </c>
      <c r="I184" s="4">
        <v>811</v>
      </c>
      <c r="J184" s="17">
        <f>IFERROR(Tabela32[[#This Row],[Valor Frete]]/Tabela32[[#This Row],[Valor Mercadoria]],"")</f>
        <v>4.7990122837293259E-2</v>
      </c>
      <c r="K184" s="11">
        <v>0.3125</v>
      </c>
      <c r="L184" s="15">
        <v>0.78472222222222221</v>
      </c>
      <c r="M184" s="15">
        <f>Tabela32[[#This Row],[Hr Chegada]]-Tabela32[[#This Row],[Hr Saida]]</f>
        <v>0.47222222222222221</v>
      </c>
      <c r="N184" s="4">
        <v>303545</v>
      </c>
      <c r="O184" s="4">
        <v>303614</v>
      </c>
      <c r="P184" s="4">
        <f>Tabela32[[#This Row],[Km Chegada]]-Tabela32[[#This Row],[Km Saída]]</f>
        <v>69</v>
      </c>
      <c r="Q184" s="4">
        <v>15</v>
      </c>
      <c r="R184" s="4">
        <v>17</v>
      </c>
      <c r="S184" s="4">
        <v>17</v>
      </c>
      <c r="T184" s="12">
        <f>Tabela32[[#This Row],[Entregas]]-Tabela32[[#This Row],[Realizadas]]</f>
        <v>0</v>
      </c>
      <c r="U184" s="18">
        <f>Tabela32[[#This Row],[Realizadas]]/Tabela32[[#This Row],[Entregas]]</f>
        <v>1</v>
      </c>
      <c r="V184" s="19" t="str">
        <f>IF(Tabela32[[#This Row],[% Entrega]]&gt;=96%,"Atendeu a Meta","Não Atendeu a Meta")</f>
        <v>Atendeu a Meta</v>
      </c>
      <c r="W184" s="4" t="s">
        <v>39</v>
      </c>
      <c r="X184" s="4">
        <v>0</v>
      </c>
      <c r="Y184" s="5">
        <v>0</v>
      </c>
    </row>
    <row r="185" spans="1:25" x14ac:dyDescent="0.25">
      <c r="A185" s="8">
        <v>46261</v>
      </c>
      <c r="B185" s="16">
        <f>YEAR(Tabela32[[#This Row],[Data]])</f>
        <v>2026</v>
      </c>
      <c r="C185" s="16">
        <f>MONTH(Tabela32[[#This Row],[Data]])</f>
        <v>8</v>
      </c>
      <c r="D185" s="4" t="s">
        <v>23</v>
      </c>
      <c r="E185" s="4">
        <v>0</v>
      </c>
      <c r="F185" s="4" t="str">
        <f>IFERROR(VLOOKUP(Tabela32[[#This Row],[Placa]],Planilha2!$A$1:$B$12,2,0),"")</f>
        <v>William</v>
      </c>
      <c r="G185" s="10">
        <v>13667.92</v>
      </c>
      <c r="H185" s="10">
        <v>774683.57</v>
      </c>
      <c r="I185" s="4">
        <v>1644</v>
      </c>
      <c r="J185" s="17">
        <f>IFERROR(Tabela32[[#This Row],[Valor Frete]]/Tabela32[[#This Row],[Valor Mercadoria]],"")</f>
        <v>1.764322948013471E-2</v>
      </c>
      <c r="K185" s="11">
        <v>0.29166666666666669</v>
      </c>
      <c r="L185" s="15">
        <v>0.81319444444444444</v>
      </c>
      <c r="M185" s="15">
        <f>Tabela32[[#This Row],[Hr Chegada]]-Tabela32[[#This Row],[Hr Saida]]</f>
        <v>0.52152777777777781</v>
      </c>
      <c r="N185" s="4">
        <v>124456</v>
      </c>
      <c r="O185" s="4">
        <v>124533</v>
      </c>
      <c r="P185" s="4">
        <f>Tabela32[[#This Row],[Km Chegada]]-Tabela32[[#This Row],[Km Saída]]</f>
        <v>77</v>
      </c>
      <c r="Q185" s="4">
        <v>339</v>
      </c>
      <c r="R185" s="4">
        <v>19</v>
      </c>
      <c r="S185" s="4">
        <v>19</v>
      </c>
      <c r="T185" s="12">
        <f>Tabela32[[#This Row],[Entregas]]-Tabela32[[#This Row],[Realizadas]]</f>
        <v>0</v>
      </c>
      <c r="U185" s="18">
        <f>Tabela32[[#This Row],[Realizadas]]/Tabela32[[#This Row],[Entregas]]</f>
        <v>1</v>
      </c>
      <c r="V185" s="19" t="str">
        <f>IF(Tabela32[[#This Row],[% Entrega]]&gt;=96%,"Atendeu a Meta","Não Atendeu a Meta")</f>
        <v>Atendeu a Meta</v>
      </c>
      <c r="W185" s="4" t="s">
        <v>39</v>
      </c>
      <c r="X185" s="4">
        <v>0</v>
      </c>
      <c r="Y185" s="5">
        <v>0</v>
      </c>
    </row>
    <row r="186" spans="1:25" x14ac:dyDescent="0.25">
      <c r="A186" s="8">
        <v>46261</v>
      </c>
      <c r="B186" s="16">
        <f>YEAR(Tabela32[[#This Row],[Data]])</f>
        <v>2026</v>
      </c>
      <c r="C186" s="16">
        <f>MONTH(Tabela32[[#This Row],[Data]])</f>
        <v>8</v>
      </c>
      <c r="D186" s="4" t="s">
        <v>29</v>
      </c>
      <c r="E186" s="4">
        <v>1</v>
      </c>
      <c r="F186" s="4" t="str">
        <f>IFERROR(VLOOKUP(Tabela32[[#This Row],[Placa]],Planilha2!$A$1:$B$12,2,0),"")</f>
        <v>Sandro</v>
      </c>
      <c r="G186" s="10">
        <v>17143.009999999998</v>
      </c>
      <c r="H186" s="10">
        <v>562507.4</v>
      </c>
      <c r="I186" s="4">
        <v>3400</v>
      </c>
      <c r="J186" s="17">
        <f>IFERROR(Tabela32[[#This Row],[Valor Frete]]/Tabela32[[#This Row],[Valor Mercadoria]],"")</f>
        <v>3.0476061292704769E-2</v>
      </c>
      <c r="K186" s="11">
        <v>0.29166666666666669</v>
      </c>
      <c r="L186" s="15">
        <v>0.80833333333333335</v>
      </c>
      <c r="M186" s="15">
        <f>Tabela32[[#This Row],[Hr Chegada]]-Tabela32[[#This Row],[Hr Saida]]</f>
        <v>0.51666666666666661</v>
      </c>
      <c r="N186" s="4">
        <v>275086</v>
      </c>
      <c r="O186" s="4">
        <v>275128</v>
      </c>
      <c r="P186" s="4">
        <f>Tabela32[[#This Row],[Km Chegada]]-Tabela32[[#This Row],[Km Saída]]</f>
        <v>42</v>
      </c>
      <c r="Q186" s="4">
        <v>29</v>
      </c>
      <c r="R186" s="4">
        <v>2</v>
      </c>
      <c r="S186" s="4">
        <v>2</v>
      </c>
      <c r="T186" s="12">
        <f>Tabela32[[#This Row],[Entregas]]-Tabela32[[#This Row],[Realizadas]]</f>
        <v>0</v>
      </c>
      <c r="U186" s="18">
        <f>Tabela32[[#This Row],[Realizadas]]/Tabela32[[#This Row],[Entregas]]</f>
        <v>1</v>
      </c>
      <c r="V186" s="19" t="str">
        <f>IF(Tabela32[[#This Row],[% Entrega]]&gt;=96%,"Atendeu a Meta","Não Atendeu a Meta")</f>
        <v>Atendeu a Meta</v>
      </c>
      <c r="W186" s="4" t="s">
        <v>40</v>
      </c>
      <c r="X186" s="4">
        <v>0</v>
      </c>
      <c r="Y186" s="5">
        <v>0</v>
      </c>
    </row>
    <row r="187" spans="1:25" x14ac:dyDescent="0.25">
      <c r="A187" s="8">
        <v>46261</v>
      </c>
      <c r="B187" s="16">
        <f>YEAR(Tabela32[[#This Row],[Data]])</f>
        <v>2026</v>
      </c>
      <c r="C187" s="16">
        <f>MONTH(Tabela32[[#This Row],[Data]])</f>
        <v>8</v>
      </c>
      <c r="D187" s="4" t="s">
        <v>31</v>
      </c>
      <c r="E187" s="4">
        <v>2</v>
      </c>
      <c r="F187" s="4" t="str">
        <f>IFERROR(VLOOKUP(Tabela32[[#This Row],[Placa]],Planilha2!$A$1:$B$12,2,0),"")</f>
        <v>Jerson</v>
      </c>
      <c r="G187" s="10">
        <v>6777.03</v>
      </c>
      <c r="H187" s="10">
        <v>122575.76</v>
      </c>
      <c r="I187" s="4">
        <v>2780</v>
      </c>
      <c r="J187" s="17">
        <f>IFERROR(Tabela32[[#This Row],[Valor Frete]]/Tabela32[[#This Row],[Valor Mercadoria]],"")</f>
        <v>5.5288500760672418E-2</v>
      </c>
      <c r="K187" s="11">
        <v>0.27083333333333331</v>
      </c>
      <c r="L187" s="15">
        <v>0.54027777777777775</v>
      </c>
      <c r="M187" s="15">
        <f>Tabela32[[#This Row],[Hr Chegada]]-Tabela32[[#This Row],[Hr Saida]]</f>
        <v>0.26944444444444443</v>
      </c>
      <c r="N187" s="4">
        <v>279735</v>
      </c>
      <c r="O187" s="4">
        <v>279789</v>
      </c>
      <c r="P187" s="4">
        <f>Tabela32[[#This Row],[Km Chegada]]-Tabela32[[#This Row],[Km Saída]]</f>
        <v>54</v>
      </c>
      <c r="Q187" s="4">
        <v>862</v>
      </c>
      <c r="R187" s="4">
        <v>10</v>
      </c>
      <c r="S187" s="4">
        <v>10</v>
      </c>
      <c r="T187" s="12">
        <f>Tabela32[[#This Row],[Entregas]]-Tabela32[[#This Row],[Realizadas]]</f>
        <v>0</v>
      </c>
      <c r="U187" s="18">
        <f>Tabela32[[#This Row],[Realizadas]]/Tabela32[[#This Row],[Entregas]]</f>
        <v>1</v>
      </c>
      <c r="V187" s="19" t="str">
        <f>IF(Tabela32[[#This Row],[% Entrega]]&gt;=96%,"Atendeu a Meta","Não Atendeu a Meta")</f>
        <v>Atendeu a Meta</v>
      </c>
      <c r="W187" s="4" t="s">
        <v>39</v>
      </c>
      <c r="X187" s="4">
        <v>0</v>
      </c>
      <c r="Y187" s="5">
        <v>0</v>
      </c>
    </row>
    <row r="188" spans="1:25" x14ac:dyDescent="0.25">
      <c r="A188" s="8">
        <v>46261</v>
      </c>
      <c r="B188" s="16">
        <f>YEAR(Tabela32[[#This Row],[Data]])</f>
        <v>2026</v>
      </c>
      <c r="C188" s="16">
        <f>MONTH(Tabela32[[#This Row],[Data]])</f>
        <v>8</v>
      </c>
      <c r="D188" s="4" t="s">
        <v>31</v>
      </c>
      <c r="E188" s="4">
        <v>5</v>
      </c>
      <c r="F188" s="4" t="str">
        <f>IFERROR(VLOOKUP(Tabela32[[#This Row],[Placa]],Planilha2!$A$1:$B$12,2,0),"")</f>
        <v>Jerson</v>
      </c>
      <c r="G188" s="10">
        <v>1369.54</v>
      </c>
      <c r="H188" s="10">
        <v>66487.78</v>
      </c>
      <c r="I188" s="4">
        <v>534</v>
      </c>
      <c r="J188" s="17">
        <f>IFERROR(Tabela32[[#This Row],[Valor Frete]]/Tabela32[[#This Row],[Valor Mercadoria]],"")</f>
        <v>2.0598371610542569E-2</v>
      </c>
      <c r="K188" s="11">
        <v>0.5756944444444444</v>
      </c>
      <c r="L188" s="15">
        <v>0.71388888888888891</v>
      </c>
      <c r="M188" s="15">
        <f>Tabela32[[#This Row],[Hr Chegada]]-Tabela32[[#This Row],[Hr Saida]]</f>
        <v>0.13819444444444451</v>
      </c>
      <c r="N188" s="4">
        <v>279789</v>
      </c>
      <c r="O188" s="4">
        <v>279821</v>
      </c>
      <c r="P188" s="4">
        <f>Tabela32[[#This Row],[Km Chegada]]-Tabela32[[#This Row],[Km Saída]]</f>
        <v>32</v>
      </c>
      <c r="Q188" s="4">
        <v>13</v>
      </c>
      <c r="R188" s="4">
        <v>3</v>
      </c>
      <c r="S188" s="4">
        <v>3</v>
      </c>
      <c r="T188" s="12">
        <f>Tabela32[[#This Row],[Entregas]]-Tabela32[[#This Row],[Realizadas]]</f>
        <v>0</v>
      </c>
      <c r="U188" s="18">
        <f>Tabela32[[#This Row],[Realizadas]]/Tabela32[[#This Row],[Entregas]]</f>
        <v>1</v>
      </c>
      <c r="V188" s="19" t="str">
        <f>IF(Tabela32[[#This Row],[% Entrega]]&gt;=96%,"Atendeu a Meta","Não Atendeu a Meta")</f>
        <v>Atendeu a Meta</v>
      </c>
      <c r="W188" s="4" t="s">
        <v>39</v>
      </c>
      <c r="X188" s="4">
        <v>0</v>
      </c>
      <c r="Y188" s="5">
        <v>0</v>
      </c>
    </row>
    <row r="189" spans="1:25" x14ac:dyDescent="0.25">
      <c r="A189" s="8">
        <v>46261</v>
      </c>
      <c r="B189" s="16">
        <f>YEAR(Tabela32[[#This Row],[Data]])</f>
        <v>2026</v>
      </c>
      <c r="C189" s="16">
        <f>MONTH(Tabela32[[#This Row],[Data]])</f>
        <v>8</v>
      </c>
      <c r="D189" s="4" t="s">
        <v>25</v>
      </c>
      <c r="E189" s="4">
        <v>4</v>
      </c>
      <c r="F189" s="4" t="str">
        <f>IFERROR(VLOOKUP(Tabela32[[#This Row],[Placa]],Planilha2!$A$1:$B$12,2,0),"")</f>
        <v>Gilberto</v>
      </c>
      <c r="G189" s="10">
        <v>8498.7800000000007</v>
      </c>
      <c r="H189" s="10">
        <v>82910.05</v>
      </c>
      <c r="I189" s="4">
        <v>1499</v>
      </c>
      <c r="J189" s="17">
        <f>IFERROR(Tabela32[[#This Row],[Valor Frete]]/Tabela32[[#This Row],[Valor Mercadoria]],"")</f>
        <v>0.10250602912433415</v>
      </c>
      <c r="K189" s="11">
        <v>0.3125</v>
      </c>
      <c r="L189" s="15">
        <v>0.73055555555555551</v>
      </c>
      <c r="M189" s="15">
        <f>Tabela32[[#This Row],[Hr Chegada]]-Tabela32[[#This Row],[Hr Saida]]</f>
        <v>0.41805555555555551</v>
      </c>
      <c r="N189" s="4">
        <v>118807</v>
      </c>
      <c r="O189" s="4">
        <v>118863</v>
      </c>
      <c r="P189" s="4">
        <f>Tabela32[[#This Row],[Km Chegada]]-Tabela32[[#This Row],[Km Saída]]</f>
        <v>56</v>
      </c>
      <c r="Q189" s="4">
        <v>199</v>
      </c>
      <c r="R189" s="4">
        <v>17</v>
      </c>
      <c r="S189" s="4">
        <v>17</v>
      </c>
      <c r="T189" s="12">
        <f>Tabela32[[#This Row],[Entregas]]-Tabela32[[#This Row],[Realizadas]]</f>
        <v>0</v>
      </c>
      <c r="U189" s="18">
        <f>Tabela32[[#This Row],[Realizadas]]/Tabela32[[#This Row],[Entregas]]</f>
        <v>1</v>
      </c>
      <c r="V189" s="19" t="str">
        <f>IF(Tabela32[[#This Row],[% Entrega]]&gt;=96%,"Atendeu a Meta","Não Atendeu a Meta")</f>
        <v>Atendeu a Meta</v>
      </c>
      <c r="W189" s="4" t="s">
        <v>43</v>
      </c>
      <c r="X189" s="4">
        <v>0</v>
      </c>
      <c r="Y189" s="5">
        <v>0</v>
      </c>
    </row>
    <row r="190" spans="1:25" x14ac:dyDescent="0.25">
      <c r="A190" s="8">
        <v>46262</v>
      </c>
      <c r="B190" s="16">
        <f>YEAR(Tabela32[[#This Row],[Data]])</f>
        <v>2026</v>
      </c>
      <c r="C190" s="16">
        <f>MONTH(Tabela32[[#This Row],[Data]])</f>
        <v>8</v>
      </c>
      <c r="D190" s="4" t="s">
        <v>22</v>
      </c>
      <c r="E190" s="4">
        <v>5</v>
      </c>
      <c r="F190" s="4" t="str">
        <f>IFERROR(VLOOKUP(Tabela32[[#This Row],[Placa]],Planilha2!$A$1:$B$12,2,0),"")</f>
        <v>Wesley</v>
      </c>
      <c r="G190" s="10">
        <v>5645.21</v>
      </c>
      <c r="H190" s="10">
        <v>103589.13</v>
      </c>
      <c r="I190" s="4">
        <v>851</v>
      </c>
      <c r="J190" s="17">
        <f>IFERROR(Tabela32[[#This Row],[Valor Frete]]/Tabela32[[#This Row],[Valor Mercadoria]],"")</f>
        <v>5.4496161904246131E-2</v>
      </c>
      <c r="K190" s="11">
        <v>0.3125</v>
      </c>
      <c r="L190" s="15">
        <v>0.80972222222222223</v>
      </c>
      <c r="M190" s="15">
        <f>Tabela32[[#This Row],[Hr Chegada]]-Tabela32[[#This Row],[Hr Saida]]</f>
        <v>0.49722222222222223</v>
      </c>
      <c r="N190" s="4">
        <v>303614</v>
      </c>
      <c r="O190" s="4">
        <v>303693</v>
      </c>
      <c r="P190" s="4">
        <f>Tabela32[[#This Row],[Km Chegada]]-Tabela32[[#This Row],[Km Saída]]</f>
        <v>79</v>
      </c>
      <c r="Q190" s="4">
        <v>199</v>
      </c>
      <c r="R190" s="4">
        <v>18</v>
      </c>
      <c r="S190" s="4">
        <v>18</v>
      </c>
      <c r="T190" s="12">
        <f>Tabela32[[#This Row],[Entregas]]-Tabela32[[#This Row],[Realizadas]]</f>
        <v>0</v>
      </c>
      <c r="U190" s="18">
        <f>Tabela32[[#This Row],[Realizadas]]/Tabela32[[#This Row],[Entregas]]</f>
        <v>1</v>
      </c>
      <c r="V190" s="19" t="str">
        <f>IF(Tabela32[[#This Row],[% Entrega]]&gt;=96%,"Atendeu a Meta","Não Atendeu a Meta")</f>
        <v>Atendeu a Meta</v>
      </c>
      <c r="W190" s="4" t="s">
        <v>39</v>
      </c>
      <c r="X190" s="4">
        <v>0</v>
      </c>
      <c r="Y190" s="5">
        <v>0</v>
      </c>
    </row>
    <row r="191" spans="1:25" x14ac:dyDescent="0.25">
      <c r="A191" s="8">
        <v>46262</v>
      </c>
      <c r="B191" s="16">
        <f>YEAR(Tabela32[[#This Row],[Data]])</f>
        <v>2026</v>
      </c>
      <c r="C191" s="16">
        <f>MONTH(Tabela32[[#This Row],[Data]])</f>
        <v>8</v>
      </c>
      <c r="D191" s="4" t="s">
        <v>28</v>
      </c>
      <c r="E191" s="4">
        <v>11</v>
      </c>
      <c r="F191" s="4" t="str">
        <f>IFERROR(VLOOKUP(Tabela32[[#This Row],[Placa]],Planilha2!$A$1:$B$12,2,0),"")</f>
        <v>Edilson</v>
      </c>
      <c r="G191" s="10">
        <v>17517.86</v>
      </c>
      <c r="H191" s="10">
        <v>415120.14</v>
      </c>
      <c r="I191" s="4">
        <v>95</v>
      </c>
      <c r="J191" s="17">
        <f>IFERROR(Tabela32[[#This Row],[Valor Frete]]/Tabela32[[#This Row],[Valor Mercadoria]],"")</f>
        <v>4.2199494343974735E-2</v>
      </c>
      <c r="K191" s="11">
        <v>0.27083333333333331</v>
      </c>
      <c r="L191" s="15">
        <v>0.69930555555555551</v>
      </c>
      <c r="M191" s="15">
        <f>Tabela32[[#This Row],[Hr Chegada]]-Tabela32[[#This Row],[Hr Saida]]</f>
        <v>0.4284722222222222</v>
      </c>
      <c r="N191" s="4">
        <v>104425</v>
      </c>
      <c r="O191" s="4">
        <v>104557</v>
      </c>
      <c r="P191" s="4">
        <f>Tabela32[[#This Row],[Km Chegada]]-Tabela32[[#This Row],[Km Saída]]</f>
        <v>132</v>
      </c>
      <c r="Q191" s="4">
        <v>95</v>
      </c>
      <c r="R191" s="4">
        <v>18</v>
      </c>
      <c r="S191" s="4">
        <v>18</v>
      </c>
      <c r="T191" s="12">
        <f>Tabela32[[#This Row],[Entregas]]-Tabela32[[#This Row],[Realizadas]]</f>
        <v>0</v>
      </c>
      <c r="U191" s="18">
        <f>Tabela32[[#This Row],[Realizadas]]/Tabela32[[#This Row],[Entregas]]</f>
        <v>1</v>
      </c>
      <c r="V191" s="19" t="str">
        <f>IF(Tabela32[[#This Row],[% Entrega]]&gt;=96%,"Atendeu a Meta","Não Atendeu a Meta")</f>
        <v>Atendeu a Meta</v>
      </c>
      <c r="W191" s="4" t="s">
        <v>41</v>
      </c>
      <c r="X191" s="4">
        <v>2</v>
      </c>
      <c r="Y191" s="5">
        <v>38.380000000000003</v>
      </c>
    </row>
    <row r="192" spans="1:25" x14ac:dyDescent="0.25">
      <c r="A192" s="8">
        <v>46262</v>
      </c>
      <c r="B192" s="16">
        <f>YEAR(Tabela32[[#This Row],[Data]])</f>
        <v>2026</v>
      </c>
      <c r="C192" s="16">
        <f>MONTH(Tabela32[[#This Row],[Data]])</f>
        <v>8</v>
      </c>
      <c r="D192" s="4" t="s">
        <v>29</v>
      </c>
      <c r="E192" s="4">
        <v>1</v>
      </c>
      <c r="F192" s="4" t="str">
        <f>IFERROR(VLOOKUP(Tabela32[[#This Row],[Placa]],Planilha2!$A$1:$B$12,2,0),"")</f>
        <v>Sandro</v>
      </c>
      <c r="G192" s="10">
        <v>6881.98</v>
      </c>
      <c r="H192" s="10">
        <v>61042.18</v>
      </c>
      <c r="I192" s="4">
        <v>704</v>
      </c>
      <c r="J192" s="17">
        <f>IFERROR(Tabela32[[#This Row],[Valor Frete]]/Tabela32[[#This Row],[Valor Mercadoria]],"")</f>
        <v>0.1127413863659522</v>
      </c>
      <c r="K192" s="11">
        <v>0.29166666666666669</v>
      </c>
      <c r="L192" s="15">
        <v>0.74375000000000002</v>
      </c>
      <c r="M192" s="15">
        <f>Tabela32[[#This Row],[Hr Chegada]]-Tabela32[[#This Row],[Hr Saida]]</f>
        <v>0.45208333333333334</v>
      </c>
      <c r="N192" s="4">
        <v>275128</v>
      </c>
      <c r="O192" s="4">
        <v>275155</v>
      </c>
      <c r="P192" s="4">
        <f>Tabela32[[#This Row],[Km Chegada]]-Tabela32[[#This Row],[Km Saída]]</f>
        <v>27</v>
      </c>
      <c r="Q192" s="4">
        <v>206</v>
      </c>
      <c r="R192" s="4">
        <v>10</v>
      </c>
      <c r="S192" s="4">
        <v>10</v>
      </c>
      <c r="T192" s="12">
        <f>Tabela32[[#This Row],[Entregas]]-Tabela32[[#This Row],[Realizadas]]</f>
        <v>0</v>
      </c>
      <c r="U192" s="18">
        <f>Tabela32[[#This Row],[Realizadas]]/Tabela32[[#This Row],[Entregas]]</f>
        <v>1</v>
      </c>
      <c r="V192" s="19" t="str">
        <f>IF(Tabela32[[#This Row],[% Entrega]]&gt;=96%,"Atendeu a Meta","Não Atendeu a Meta")</f>
        <v>Atendeu a Meta</v>
      </c>
      <c r="W192" s="4" t="s">
        <v>43</v>
      </c>
      <c r="X192" s="4">
        <v>1</v>
      </c>
      <c r="Y192" s="5">
        <v>38</v>
      </c>
    </row>
    <row r="193" spans="1:25" x14ac:dyDescent="0.25">
      <c r="A193" s="8">
        <v>46262</v>
      </c>
      <c r="B193" s="16">
        <f>YEAR(Tabela32[[#This Row],[Data]])</f>
        <v>2026</v>
      </c>
      <c r="C193" s="16">
        <f>MONTH(Tabela32[[#This Row],[Data]])</f>
        <v>8</v>
      </c>
      <c r="D193" s="4" t="s">
        <v>33</v>
      </c>
      <c r="E193" s="4">
        <v>1</v>
      </c>
      <c r="F193" s="4" t="str">
        <f>IFERROR(VLOOKUP(Tabela32[[#This Row],[Placa]],Planilha2!$A$1:$B$12,2,0),"")</f>
        <v>Paulo</v>
      </c>
      <c r="G193" s="10">
        <v>1513.17</v>
      </c>
      <c r="H193" s="10">
        <v>76194</v>
      </c>
      <c r="I193" s="4">
        <v>132</v>
      </c>
      <c r="J193" s="17">
        <f>IFERROR(Tabela32[[#This Row],[Valor Frete]]/Tabela32[[#This Row],[Valor Mercadoria]],"")</f>
        <v>1.9859437751004017E-2</v>
      </c>
      <c r="K193" s="11">
        <v>0.29166666666666669</v>
      </c>
      <c r="L193" s="15">
        <v>0.62638888888888888</v>
      </c>
      <c r="M193" s="15">
        <f>Tabela32[[#This Row],[Hr Chegada]]-Tabela32[[#This Row],[Hr Saida]]</f>
        <v>0.3347222222222222</v>
      </c>
      <c r="N193" s="4">
        <v>154573</v>
      </c>
      <c r="O193" s="4">
        <v>154633</v>
      </c>
      <c r="P193" s="4">
        <f>Tabela32[[#This Row],[Km Chegada]]-Tabela32[[#This Row],[Km Saída]]</f>
        <v>60</v>
      </c>
      <c r="Q193" s="4">
        <v>2</v>
      </c>
      <c r="R193" s="4">
        <v>1</v>
      </c>
      <c r="S193" s="4">
        <v>1</v>
      </c>
      <c r="T193" s="12">
        <f>Tabela32[[#This Row],[Entregas]]-Tabela32[[#This Row],[Realizadas]]</f>
        <v>0</v>
      </c>
      <c r="U193" s="18">
        <f>Tabela32[[#This Row],[Realizadas]]/Tabela32[[#This Row],[Entregas]]</f>
        <v>1</v>
      </c>
      <c r="V193" s="19" t="str">
        <f>IF(Tabela32[[#This Row],[% Entrega]]&gt;=96%,"Atendeu a Meta","Não Atendeu a Meta")</f>
        <v>Atendeu a Meta</v>
      </c>
      <c r="W193" s="4" t="s">
        <v>40</v>
      </c>
      <c r="X193" s="4">
        <v>0</v>
      </c>
      <c r="Y193" s="5">
        <v>0</v>
      </c>
    </row>
    <row r="194" spans="1:25" x14ac:dyDescent="0.25">
      <c r="A194" s="8">
        <v>46262</v>
      </c>
      <c r="B194" s="16">
        <f>YEAR(Tabela32[[#This Row],[Data]])</f>
        <v>2026</v>
      </c>
      <c r="C194" s="16">
        <f>MONTH(Tabela32[[#This Row],[Data]])</f>
        <v>8</v>
      </c>
      <c r="D194" s="4" t="s">
        <v>27</v>
      </c>
      <c r="E194" s="4">
        <v>1</v>
      </c>
      <c r="F194" s="4" t="str">
        <f>IFERROR(VLOOKUP(Tabela32[[#This Row],[Placa]],Planilha2!$A$1:$B$12,2,0),"")</f>
        <v>Rosinaldo</v>
      </c>
      <c r="G194" s="10">
        <v>11698.62</v>
      </c>
      <c r="H194" s="10">
        <v>195730.85</v>
      </c>
      <c r="I194" s="4">
        <v>133</v>
      </c>
      <c r="J194" s="17">
        <f>IFERROR(Tabela32[[#This Row],[Valor Frete]]/Tabela32[[#This Row],[Valor Mercadoria]],"")</f>
        <v>5.9768912258849338E-2</v>
      </c>
      <c r="K194" s="11">
        <v>0.3125</v>
      </c>
      <c r="L194" s="15">
        <v>0.74305555555555558</v>
      </c>
      <c r="M194" s="15">
        <f>Tabela32[[#This Row],[Hr Chegada]]-Tabela32[[#This Row],[Hr Saida]]</f>
        <v>0.43055555555555558</v>
      </c>
      <c r="N194" s="4">
        <v>290754</v>
      </c>
      <c r="O194" s="4">
        <v>290910</v>
      </c>
      <c r="P194" s="4">
        <f>Tabela32[[#This Row],[Km Chegada]]-Tabela32[[#This Row],[Km Saída]]</f>
        <v>156</v>
      </c>
      <c r="Q194" s="4">
        <v>133</v>
      </c>
      <c r="R194" s="4">
        <v>12</v>
      </c>
      <c r="S194" s="4">
        <v>12</v>
      </c>
      <c r="T194" s="12">
        <f>Tabela32[[#This Row],[Entregas]]-Tabela32[[#This Row],[Realizadas]]</f>
        <v>0</v>
      </c>
      <c r="U194" s="18">
        <f>Tabela32[[#This Row],[Realizadas]]/Tabela32[[#This Row],[Entregas]]</f>
        <v>1</v>
      </c>
      <c r="V194" s="19" t="str">
        <f>IF(Tabela32[[#This Row],[% Entrega]]&gt;=96%,"Atendeu a Meta","Não Atendeu a Meta")</f>
        <v>Atendeu a Meta</v>
      </c>
      <c r="W194" s="4" t="s">
        <v>43</v>
      </c>
      <c r="X194" s="4">
        <v>1</v>
      </c>
      <c r="Y194" s="5">
        <v>38</v>
      </c>
    </row>
    <row r="195" spans="1:25" x14ac:dyDescent="0.25">
      <c r="A195" s="8">
        <v>46262</v>
      </c>
      <c r="B195" s="16">
        <f>YEAR(Tabela32[[#This Row],[Data]])</f>
        <v>2026</v>
      </c>
      <c r="C195" s="16">
        <f>MONTH(Tabela32[[#This Row],[Data]])</f>
        <v>8</v>
      </c>
      <c r="D195" s="4" t="s">
        <v>23</v>
      </c>
      <c r="E195" s="4">
        <v>4</v>
      </c>
      <c r="F195" s="4" t="str">
        <f>IFERROR(VLOOKUP(Tabela32[[#This Row],[Placa]],Planilha2!$A$1:$B$12,2,0),"")</f>
        <v>William</v>
      </c>
      <c r="G195" s="10">
        <v>6956.26</v>
      </c>
      <c r="H195" s="10">
        <v>135818.84</v>
      </c>
      <c r="I195" s="4">
        <v>1302</v>
      </c>
      <c r="J195" s="17">
        <f>IFERROR(Tabela32[[#This Row],[Valor Frete]]/Tabela32[[#This Row],[Valor Mercadoria]],"")</f>
        <v>5.1217194904624425E-2</v>
      </c>
      <c r="K195" s="11">
        <v>0.3125</v>
      </c>
      <c r="L195" s="15">
        <v>0.73611111111111116</v>
      </c>
      <c r="M195" s="15">
        <f>Tabela32[[#This Row],[Hr Chegada]]-Tabela32[[#This Row],[Hr Saida]]</f>
        <v>0.42361111111111116</v>
      </c>
      <c r="N195" s="4">
        <v>124533</v>
      </c>
      <c r="O195" s="4">
        <v>124600</v>
      </c>
      <c r="P195" s="4">
        <f>Tabela32[[#This Row],[Km Chegada]]-Tabela32[[#This Row],[Km Saída]]</f>
        <v>67</v>
      </c>
      <c r="Q195" s="4">
        <v>225</v>
      </c>
      <c r="R195" s="4">
        <v>18</v>
      </c>
      <c r="S195" s="4">
        <v>18</v>
      </c>
      <c r="T195" s="12">
        <f>Tabela32[[#This Row],[Entregas]]-Tabela32[[#This Row],[Realizadas]]</f>
        <v>0</v>
      </c>
      <c r="U195" s="18">
        <f>Tabela32[[#This Row],[Realizadas]]/Tabela32[[#This Row],[Entregas]]</f>
        <v>1</v>
      </c>
      <c r="V195" s="19" t="str">
        <f>IF(Tabela32[[#This Row],[% Entrega]]&gt;=96%,"Atendeu a Meta","Não Atendeu a Meta")</f>
        <v>Atendeu a Meta</v>
      </c>
      <c r="W195" s="4" t="s">
        <v>39</v>
      </c>
      <c r="X195" s="4">
        <v>0</v>
      </c>
      <c r="Y195" s="5">
        <v>0</v>
      </c>
    </row>
    <row r="196" spans="1:25" x14ac:dyDescent="0.25">
      <c r="A196" s="8">
        <v>46262</v>
      </c>
      <c r="B196" s="16">
        <f>YEAR(Tabela32[[#This Row],[Data]])</f>
        <v>2026</v>
      </c>
      <c r="C196" s="16">
        <f>MONTH(Tabela32[[#This Row],[Data]])</f>
        <v>8</v>
      </c>
      <c r="D196" s="4" t="s">
        <v>31</v>
      </c>
      <c r="E196" s="4">
        <v>2</v>
      </c>
      <c r="F196" s="4" t="str">
        <f>IFERROR(VLOOKUP(Tabela32[[#This Row],[Placa]],Planilha2!$A$1:$B$12,2,0),"")</f>
        <v>Jerson</v>
      </c>
      <c r="G196" s="10">
        <v>10088.56</v>
      </c>
      <c r="H196" s="10">
        <v>153429.60999999999</v>
      </c>
      <c r="I196" s="4">
        <v>1820</v>
      </c>
      <c r="J196" s="17">
        <f>IFERROR(Tabela32[[#This Row],[Valor Frete]]/Tabela32[[#This Row],[Valor Mercadoria]],"")</f>
        <v>6.5753670363888697E-2</v>
      </c>
      <c r="K196" s="11">
        <v>0.27083333333333331</v>
      </c>
      <c r="L196" s="15">
        <v>0.77361111111111114</v>
      </c>
      <c r="M196" s="15">
        <f>Tabela32[[#This Row],[Hr Chegada]]-Tabela32[[#This Row],[Hr Saida]]</f>
        <v>0.50277777777777777</v>
      </c>
      <c r="N196" s="4">
        <v>279821</v>
      </c>
      <c r="O196" s="4">
        <v>279874</v>
      </c>
      <c r="P196" s="4">
        <f>Tabela32[[#This Row],[Km Chegada]]-Tabela32[[#This Row],[Km Saída]]</f>
        <v>53</v>
      </c>
      <c r="Q196" s="4">
        <v>259</v>
      </c>
      <c r="R196" s="4">
        <v>22</v>
      </c>
      <c r="S196" s="4">
        <v>22</v>
      </c>
      <c r="T196" s="12">
        <f>Tabela32[[#This Row],[Entregas]]-Tabela32[[#This Row],[Realizadas]]</f>
        <v>0</v>
      </c>
      <c r="U196" s="18">
        <f>Tabela32[[#This Row],[Realizadas]]/Tabela32[[#This Row],[Entregas]]</f>
        <v>1</v>
      </c>
      <c r="V196" s="19" t="str">
        <f>IF(Tabela32[[#This Row],[% Entrega]]&gt;=96%,"Atendeu a Meta","Não Atendeu a Meta")</f>
        <v>Atendeu a Meta</v>
      </c>
      <c r="W196" s="4" t="s">
        <v>39</v>
      </c>
      <c r="X196" s="4">
        <v>1</v>
      </c>
      <c r="Y196" s="5">
        <v>38</v>
      </c>
    </row>
    <row r="197" spans="1:25" x14ac:dyDescent="0.25">
      <c r="A197" s="8">
        <v>46262</v>
      </c>
      <c r="B197" s="16">
        <f>YEAR(Tabela32[[#This Row],[Data]])</f>
        <v>2026</v>
      </c>
      <c r="C197" s="16">
        <f>MONTH(Tabela32[[#This Row],[Data]])</f>
        <v>8</v>
      </c>
      <c r="D197" s="4" t="s">
        <v>53</v>
      </c>
      <c r="E197" s="4">
        <v>3</v>
      </c>
      <c r="F197" s="4" t="str">
        <f>IFERROR(VLOOKUP(Tabela32[[#This Row],[Placa]],Planilha2!$A$1:$B$12,2,0),"")</f>
        <v>Arnaldo</v>
      </c>
      <c r="G197" s="10">
        <v>15330.37</v>
      </c>
      <c r="H197" s="10">
        <v>125063.67</v>
      </c>
      <c r="I197" s="4">
        <v>2172</v>
      </c>
      <c r="J197" s="17">
        <f>IFERROR(Tabela32[[#This Row],[Valor Frete]]/Tabela32[[#This Row],[Valor Mercadoria]],"")</f>
        <v>0.12258052238511792</v>
      </c>
      <c r="K197" s="11">
        <v>0.29166666666666669</v>
      </c>
      <c r="L197" s="15">
        <v>0.77083333333333337</v>
      </c>
      <c r="M197" s="15">
        <f>Tabela32[[#This Row],[Hr Chegada]]-Tabela32[[#This Row],[Hr Saida]]</f>
        <v>0.47916666666666669</v>
      </c>
      <c r="N197" s="4">
        <v>12748</v>
      </c>
      <c r="O197" s="4">
        <v>12802</v>
      </c>
      <c r="P197" s="4">
        <f>Tabela32[[#This Row],[Km Chegada]]-Tabela32[[#This Row],[Km Saída]]</f>
        <v>54</v>
      </c>
      <c r="Q197" s="4">
        <v>250</v>
      </c>
      <c r="R197" s="4">
        <v>23</v>
      </c>
      <c r="S197" s="4">
        <v>23</v>
      </c>
      <c r="T197" s="12">
        <f>Tabela32[[#This Row],[Entregas]]-Tabela32[[#This Row],[Realizadas]]</f>
        <v>0</v>
      </c>
      <c r="U197" s="18">
        <f>Tabela32[[#This Row],[Realizadas]]/Tabela32[[#This Row],[Entregas]]</f>
        <v>1</v>
      </c>
      <c r="V197" s="19" t="str">
        <f>IF(Tabela32[[#This Row],[% Entrega]]&gt;=96%,"Atendeu a Meta","Não Atendeu a Meta")</f>
        <v>Atendeu a Meta</v>
      </c>
      <c r="W197" s="4" t="s">
        <v>39</v>
      </c>
      <c r="X197" s="4">
        <v>0</v>
      </c>
      <c r="Y197" s="5">
        <v>0</v>
      </c>
    </row>
    <row r="198" spans="1:25" x14ac:dyDescent="0.25">
      <c r="A198" s="8">
        <v>46262</v>
      </c>
      <c r="B198" s="16">
        <f>YEAR(Tabela32[[#This Row],[Data]])</f>
        <v>2026</v>
      </c>
      <c r="C198" s="16">
        <f>MONTH(Tabela32[[#This Row],[Data]])</f>
        <v>8</v>
      </c>
      <c r="D198" s="4" t="s">
        <v>25</v>
      </c>
      <c r="E198" s="4">
        <v>1</v>
      </c>
      <c r="F198" s="4" t="str">
        <f>IFERROR(VLOOKUP(Tabela32[[#This Row],[Placa]],Planilha2!$A$1:$B$12,2,0),"")</f>
        <v>Gilberto</v>
      </c>
      <c r="G198" s="10">
        <v>15749.94</v>
      </c>
      <c r="H198" s="10">
        <v>104499.02</v>
      </c>
      <c r="I198" s="4">
        <v>2536</v>
      </c>
      <c r="J198" s="17">
        <f>IFERROR(Tabela32[[#This Row],[Valor Frete]]/Tabela32[[#This Row],[Valor Mercadoria]],"")</f>
        <v>0.15071854262365331</v>
      </c>
      <c r="K198" s="11">
        <v>0.33333333333333331</v>
      </c>
      <c r="L198" s="15">
        <v>0.75</v>
      </c>
      <c r="M198" s="15">
        <f>Tabela32[[#This Row],[Hr Chegada]]-Tabela32[[#This Row],[Hr Saida]]</f>
        <v>0.41666666666666669</v>
      </c>
      <c r="N198" s="4">
        <v>118863</v>
      </c>
      <c r="O198" s="4">
        <v>118901</v>
      </c>
      <c r="P198" s="4">
        <f>Tabela32[[#This Row],[Km Chegada]]-Tabela32[[#This Row],[Km Saída]]</f>
        <v>38</v>
      </c>
      <c r="Q198" s="4">
        <v>500</v>
      </c>
      <c r="R198" s="4">
        <v>11</v>
      </c>
      <c r="S198" s="4">
        <v>11</v>
      </c>
      <c r="T198" s="12">
        <f>Tabela32[[#This Row],[Entregas]]-Tabela32[[#This Row],[Realizadas]]</f>
        <v>0</v>
      </c>
      <c r="U198" s="18">
        <f>Tabela32[[#This Row],[Realizadas]]/Tabela32[[#This Row],[Entregas]]</f>
        <v>1</v>
      </c>
      <c r="V198" s="19" t="str">
        <f>IF(Tabela32[[#This Row],[% Entrega]]&gt;=96%,"Atendeu a Meta","Não Atendeu a Meta")</f>
        <v>Atendeu a Meta</v>
      </c>
      <c r="W198" s="4" t="s">
        <v>43</v>
      </c>
      <c r="X198" s="4">
        <v>0</v>
      </c>
      <c r="Y198" s="5">
        <v>0</v>
      </c>
    </row>
    <row r="199" spans="1:25" x14ac:dyDescent="0.25">
      <c r="A199" s="8">
        <v>46262</v>
      </c>
      <c r="B199" s="16">
        <f>YEAR(Tabela32[[#This Row],[Data]])</f>
        <v>2026</v>
      </c>
      <c r="C199" s="16">
        <f>MONTH(Tabela32[[#This Row],[Data]])</f>
        <v>8</v>
      </c>
      <c r="D199" s="4" t="s">
        <v>35</v>
      </c>
      <c r="E199" s="4">
        <v>1</v>
      </c>
      <c r="F199" s="4" t="str">
        <f>IFERROR(VLOOKUP(Tabela32[[#This Row],[Placa]],Planilha2!$A$1:$B$12,2,0),"")</f>
        <v>Osvaldo</v>
      </c>
      <c r="G199" s="10">
        <v>3684.39</v>
      </c>
      <c r="H199" s="10">
        <v>69696.740000000005</v>
      </c>
      <c r="I199" s="4">
        <v>879</v>
      </c>
      <c r="J199" s="17">
        <f>IFERROR(Tabela32[[#This Row],[Valor Frete]]/Tabela32[[#This Row],[Valor Mercadoria]],"")</f>
        <v>5.2863161175113783E-2</v>
      </c>
      <c r="K199" s="11">
        <v>0.3125</v>
      </c>
      <c r="L199" s="15">
        <v>0.7680555555555556</v>
      </c>
      <c r="M199" s="15">
        <f>Tabela32[[#This Row],[Hr Chegada]]-Tabela32[[#This Row],[Hr Saida]]</f>
        <v>0.4555555555555556</v>
      </c>
      <c r="N199" s="4">
        <v>142266</v>
      </c>
      <c r="O199" s="4">
        <v>142290</v>
      </c>
      <c r="P199" s="4">
        <f>Tabela32[[#This Row],[Km Chegada]]-Tabela32[[#This Row],[Km Saída]]</f>
        <v>24</v>
      </c>
      <c r="Q199" s="4">
        <v>174</v>
      </c>
      <c r="R199" s="4">
        <v>14</v>
      </c>
      <c r="S199" s="4">
        <v>0</v>
      </c>
      <c r="T199" s="12">
        <f>Tabela32[[#This Row],[Entregas]]-Tabela32[[#This Row],[Realizadas]]</f>
        <v>14</v>
      </c>
      <c r="U199" s="18">
        <f>Tabela32[[#This Row],[Realizadas]]/Tabela32[[#This Row],[Entregas]]</f>
        <v>0</v>
      </c>
      <c r="V199" s="19" t="str">
        <f>IF(Tabela32[[#This Row],[% Entrega]]&gt;=96%,"Atendeu a Meta","Não Atendeu a Meta")</f>
        <v>Não Atendeu a Meta</v>
      </c>
      <c r="W199" s="4" t="s">
        <v>43</v>
      </c>
      <c r="X199" s="4">
        <v>14</v>
      </c>
      <c r="Y199" s="5" t="s">
        <v>72</v>
      </c>
    </row>
    <row r="200" spans="1:25" x14ac:dyDescent="0.25">
      <c r="A200" s="8">
        <v>46263</v>
      </c>
      <c r="B200" s="16">
        <f>YEAR(Tabela32[[#This Row],[Data]])</f>
        <v>2026</v>
      </c>
      <c r="C200" s="16">
        <f>MONTH(Tabela32[[#This Row],[Data]])</f>
        <v>8</v>
      </c>
      <c r="D200" s="4" t="s">
        <v>29</v>
      </c>
      <c r="E200" s="4">
        <v>5</v>
      </c>
      <c r="F200" s="4" t="str">
        <f>IFERROR(VLOOKUP(Tabela32[[#This Row],[Placa]],Planilha2!$A$1:$B$12,2,0),"")</f>
        <v>Sandro</v>
      </c>
      <c r="G200" s="10">
        <v>2779.1</v>
      </c>
      <c r="H200" s="10">
        <v>114743.1</v>
      </c>
      <c r="I200" s="4">
        <v>412</v>
      </c>
      <c r="J200" s="17">
        <f>IFERROR(Tabela32[[#This Row],[Valor Frete]]/Tabela32[[#This Row],[Valor Mercadoria]],"")</f>
        <v>2.4220192761046196E-2</v>
      </c>
      <c r="K200" s="11">
        <v>0.3125</v>
      </c>
      <c r="L200" s="15">
        <v>0.45833333333333331</v>
      </c>
      <c r="M200" s="15">
        <f>Tabela32[[#This Row],[Hr Chegada]]-Tabela32[[#This Row],[Hr Saida]]</f>
        <v>0.14583333333333331</v>
      </c>
      <c r="N200" s="4">
        <v>275155</v>
      </c>
      <c r="O200" s="4">
        <v>275192</v>
      </c>
      <c r="P200" s="4">
        <f>Tabela32[[#This Row],[Km Chegada]]-Tabela32[[#This Row],[Km Saída]]</f>
        <v>37</v>
      </c>
      <c r="Q200" s="4">
        <v>123</v>
      </c>
      <c r="R200" s="4">
        <v>9</v>
      </c>
      <c r="S200" s="4">
        <v>9</v>
      </c>
      <c r="T200" s="12">
        <f>Tabela32[[#This Row],[Entregas]]-Tabela32[[#This Row],[Realizadas]]</f>
        <v>0</v>
      </c>
      <c r="U200" s="18">
        <f>Tabela32[[#This Row],[Realizadas]]/Tabela32[[#This Row],[Entregas]]</f>
        <v>1</v>
      </c>
      <c r="V200" s="19" t="str">
        <f>IF(Tabela32[[#This Row],[% Entrega]]&gt;=96%,"Atendeu a Meta","Não Atendeu a Meta")</f>
        <v>Atendeu a Meta</v>
      </c>
      <c r="W200" s="4" t="s">
        <v>39</v>
      </c>
      <c r="X200" s="4">
        <v>0</v>
      </c>
      <c r="Y200" s="5">
        <v>0</v>
      </c>
    </row>
    <row r="201" spans="1:25" x14ac:dyDescent="0.25">
      <c r="A201" s="8">
        <v>46263</v>
      </c>
      <c r="B201" s="16">
        <f>YEAR(Tabela32[[#This Row],[Data]])</f>
        <v>2026</v>
      </c>
      <c r="C201" s="16">
        <f>MONTH(Tabela32[[#This Row],[Data]])</f>
        <v>8</v>
      </c>
      <c r="D201" s="4" t="s">
        <v>33</v>
      </c>
      <c r="E201" s="4">
        <v>1</v>
      </c>
      <c r="F201" s="4" t="str">
        <f>IFERROR(VLOOKUP(Tabela32[[#This Row],[Placa]],Planilha2!$A$1:$B$12,2,0),"")</f>
        <v>Paulo</v>
      </c>
      <c r="G201" s="10">
        <v>1798.27</v>
      </c>
      <c r="H201" s="10">
        <v>21119.42</v>
      </c>
      <c r="I201" s="4">
        <v>588</v>
      </c>
      <c r="J201" s="17">
        <f>IFERROR(Tabela32[[#This Row],[Valor Frete]]/Tabela32[[#This Row],[Valor Mercadoria]],"")</f>
        <v>8.5147698184893345E-2</v>
      </c>
      <c r="K201" s="11">
        <v>0.3125</v>
      </c>
      <c r="L201" s="15">
        <v>0.47916666666666669</v>
      </c>
      <c r="M201" s="15">
        <f>Tabela32[[#This Row],[Hr Chegada]]-Tabela32[[#This Row],[Hr Saida]]</f>
        <v>0.16666666666666669</v>
      </c>
      <c r="N201" s="4">
        <v>154634</v>
      </c>
      <c r="O201" s="4">
        <v>154765</v>
      </c>
      <c r="P201" s="4">
        <f>Tabela32[[#This Row],[Km Chegada]]-Tabela32[[#This Row],[Km Saída]]</f>
        <v>131</v>
      </c>
      <c r="Q201" s="4">
        <v>36</v>
      </c>
      <c r="R201" s="4">
        <v>7</v>
      </c>
      <c r="S201" s="4">
        <v>7</v>
      </c>
      <c r="T201" s="12">
        <f>Tabela32[[#This Row],[Entregas]]-Tabela32[[#This Row],[Realizadas]]</f>
        <v>0</v>
      </c>
      <c r="U201" s="18">
        <f>Tabela32[[#This Row],[Realizadas]]/Tabela32[[#This Row],[Entregas]]</f>
        <v>1</v>
      </c>
      <c r="V201" s="19" t="str">
        <f>IF(Tabela32[[#This Row],[% Entrega]]&gt;=96%,"Atendeu a Meta","Não Atendeu a Meta")</f>
        <v>Atendeu a Meta</v>
      </c>
      <c r="W201" s="4" t="s">
        <v>39</v>
      </c>
      <c r="X201" s="4">
        <v>0</v>
      </c>
      <c r="Y201" s="5">
        <v>0</v>
      </c>
    </row>
    <row r="202" spans="1:25" x14ac:dyDescent="0.25">
      <c r="A202" s="8">
        <v>46263</v>
      </c>
      <c r="B202" s="16">
        <f>YEAR(Tabela32[[#This Row],[Data]])</f>
        <v>2026</v>
      </c>
      <c r="C202" s="16">
        <f>MONTH(Tabela32[[#This Row],[Data]])</f>
        <v>8</v>
      </c>
      <c r="D202" s="4" t="s">
        <v>25</v>
      </c>
      <c r="E202" s="4">
        <v>1</v>
      </c>
      <c r="F202" s="4" t="str">
        <f>IFERROR(VLOOKUP(Tabela32[[#This Row],[Placa]],Planilha2!$A$1:$B$12,2,0),"")</f>
        <v>Gilberto</v>
      </c>
      <c r="G202" s="10">
        <v>5891.7979999999998</v>
      </c>
      <c r="H202" s="10">
        <v>71421.240000000005</v>
      </c>
      <c r="I202" s="4">
        <v>603</v>
      </c>
      <c r="J202" s="17">
        <f>IFERROR(Tabela32[[#This Row],[Valor Frete]]/Tabela32[[#This Row],[Valor Mercadoria]],"")</f>
        <v>8.2493639147122058E-2</v>
      </c>
      <c r="K202" s="11">
        <v>0.29166666666666669</v>
      </c>
      <c r="L202" s="15">
        <v>0.53472222222222221</v>
      </c>
      <c r="M202" s="15">
        <f>Tabela32[[#This Row],[Hr Chegada]]-Tabela32[[#This Row],[Hr Saida]]</f>
        <v>0.24305555555555552</v>
      </c>
      <c r="N202" s="4">
        <v>118901</v>
      </c>
      <c r="O202" s="4">
        <v>119035</v>
      </c>
      <c r="P202" s="4">
        <f>Tabela32[[#This Row],[Km Chegada]]-Tabela32[[#This Row],[Km Saída]]</f>
        <v>134</v>
      </c>
      <c r="Q202" s="4">
        <v>97</v>
      </c>
      <c r="R202" s="4">
        <v>20</v>
      </c>
      <c r="S202" s="4">
        <v>20</v>
      </c>
      <c r="T202" s="12">
        <f>Tabela32[[#This Row],[Entregas]]-Tabela32[[#This Row],[Realizadas]]</f>
        <v>0</v>
      </c>
      <c r="U202" s="18">
        <f>Tabela32[[#This Row],[Realizadas]]/Tabela32[[#This Row],[Entregas]]</f>
        <v>1</v>
      </c>
      <c r="V202" s="19" t="str">
        <f>IF(Tabela32[[#This Row],[% Entrega]]&gt;=96%,"Atendeu a Meta","Não Atendeu a Meta")</f>
        <v>Atendeu a Meta</v>
      </c>
      <c r="W202" s="4" t="s">
        <v>41</v>
      </c>
      <c r="X202" s="4">
        <v>0</v>
      </c>
      <c r="Y202" s="5">
        <v>0</v>
      </c>
    </row>
    <row r="203" spans="1:25" x14ac:dyDescent="0.25">
      <c r="A203" s="8">
        <v>46265</v>
      </c>
      <c r="B203" s="16">
        <f>YEAR(Tabela32[[#This Row],[Data]])</f>
        <v>2026</v>
      </c>
      <c r="C203" s="16">
        <f>MONTH(Tabela32[[#This Row],[Data]])</f>
        <v>8</v>
      </c>
      <c r="D203" s="4" t="s">
        <v>25</v>
      </c>
      <c r="E203" s="4">
        <v>4</v>
      </c>
      <c r="F203" s="4" t="str">
        <f>IFERROR(VLOOKUP(Tabela32[[#This Row],[Placa]],Planilha2!$A$1:$B$12,2,0),"")</f>
        <v>Gilberto</v>
      </c>
      <c r="G203" s="10">
        <v>6554.17</v>
      </c>
      <c r="H203" s="10">
        <v>152572.85</v>
      </c>
      <c r="I203" s="4">
        <v>2600</v>
      </c>
      <c r="J203" s="17">
        <f>IFERROR(Tabela32[[#This Row],[Valor Frete]]/Tabela32[[#This Row],[Valor Mercadoria]],"")</f>
        <v>4.2957642857166266E-2</v>
      </c>
      <c r="K203" s="11">
        <v>0.28472222222222221</v>
      </c>
      <c r="L203" s="15">
        <v>0.70277777777777772</v>
      </c>
      <c r="M203" s="15">
        <f>Tabela32[[#This Row],[Hr Chegada]]-Tabela32[[#This Row],[Hr Saida]]</f>
        <v>0.41805555555555551</v>
      </c>
      <c r="N203" s="4">
        <v>119035</v>
      </c>
      <c r="O203" s="4">
        <v>119102</v>
      </c>
      <c r="P203" s="4">
        <f>Tabela32[[#This Row],[Km Chegada]]-Tabela32[[#This Row],[Km Saída]]</f>
        <v>67</v>
      </c>
      <c r="Q203" s="4">
        <v>99</v>
      </c>
      <c r="R203" s="4">
        <v>12</v>
      </c>
      <c r="S203" s="4">
        <v>12</v>
      </c>
      <c r="T203" s="12">
        <f>Tabela32[[#This Row],[Entregas]]-Tabela32[[#This Row],[Realizadas]]</f>
        <v>0</v>
      </c>
      <c r="U203" s="18">
        <f>Tabela32[[#This Row],[Realizadas]]/Tabela32[[#This Row],[Entregas]]</f>
        <v>1</v>
      </c>
      <c r="V203" s="19" t="str">
        <f>IF(Tabela32[[#This Row],[% Entrega]]&gt;=96%,"Atendeu a Meta","Não Atendeu a Meta")</f>
        <v>Atendeu a Meta</v>
      </c>
      <c r="W203" s="4" t="s">
        <v>39</v>
      </c>
      <c r="X203" s="4">
        <v>0</v>
      </c>
      <c r="Y203" s="5">
        <v>0</v>
      </c>
    </row>
    <row r="204" spans="1:25" x14ac:dyDescent="0.25">
      <c r="A204" s="8">
        <v>46265</v>
      </c>
      <c r="B204" s="16">
        <f>YEAR(Tabela32[[#This Row],[Data]])</f>
        <v>2026</v>
      </c>
      <c r="C204" s="16">
        <f>MONTH(Tabela32[[#This Row],[Data]])</f>
        <v>8</v>
      </c>
      <c r="D204" s="4" t="s">
        <v>35</v>
      </c>
      <c r="E204" s="4">
        <v>5</v>
      </c>
      <c r="F204" s="4" t="str">
        <f>IFERROR(VLOOKUP(Tabela32[[#This Row],[Placa]],Planilha2!$A$1:$B$12,2,0),"")</f>
        <v>Osvaldo</v>
      </c>
      <c r="G204" s="10">
        <v>6755.44</v>
      </c>
      <c r="H204" s="10">
        <v>89700.37</v>
      </c>
      <c r="I204" s="4">
        <v>647</v>
      </c>
      <c r="J204" s="17">
        <f>IFERROR(Tabela32[[#This Row],[Valor Frete]]/Tabela32[[#This Row],[Valor Mercadoria]],"")</f>
        <v>7.5311172072088442E-2</v>
      </c>
      <c r="K204" s="11">
        <v>0.33333333333333331</v>
      </c>
      <c r="L204" s="15">
        <v>0.75</v>
      </c>
      <c r="M204" s="15">
        <f>Tabela32[[#This Row],[Hr Chegada]]-Tabela32[[#This Row],[Hr Saida]]</f>
        <v>0.41666666666666669</v>
      </c>
      <c r="N204" s="4">
        <v>142290</v>
      </c>
      <c r="O204" s="4">
        <v>142370</v>
      </c>
      <c r="P204" s="4">
        <f>Tabela32[[#This Row],[Km Chegada]]-Tabela32[[#This Row],[Km Saída]]</f>
        <v>80</v>
      </c>
      <c r="Q204" s="4">
        <v>107</v>
      </c>
      <c r="R204" s="4">
        <v>11</v>
      </c>
      <c r="S204" s="4">
        <v>11</v>
      </c>
      <c r="T204" s="12">
        <f>Tabela32[[#This Row],[Entregas]]-Tabela32[[#This Row],[Realizadas]]</f>
        <v>0</v>
      </c>
      <c r="U204" s="18">
        <f>Tabela32[[#This Row],[Realizadas]]/Tabela32[[#This Row],[Entregas]]</f>
        <v>1</v>
      </c>
      <c r="V204" s="19" t="str">
        <f>IF(Tabela32[[#This Row],[% Entrega]]&gt;=96%,"Atendeu a Meta","Não Atendeu a Meta")</f>
        <v>Atendeu a Meta</v>
      </c>
      <c r="W204" s="4" t="s">
        <v>39</v>
      </c>
      <c r="X204" s="4">
        <v>0</v>
      </c>
      <c r="Y204" s="5">
        <v>0</v>
      </c>
    </row>
    <row r="205" spans="1:25" x14ac:dyDescent="0.25">
      <c r="A205" s="8">
        <v>46265</v>
      </c>
      <c r="B205" s="16">
        <f>YEAR(Tabela32[[#This Row],[Data]])</f>
        <v>2026</v>
      </c>
      <c r="C205" s="16">
        <f>MONTH(Tabela32[[#This Row],[Data]])</f>
        <v>8</v>
      </c>
      <c r="D205" s="4" t="s">
        <v>28</v>
      </c>
      <c r="E205" s="4">
        <v>11</v>
      </c>
      <c r="F205" s="4" t="str">
        <f>IFERROR(VLOOKUP(Tabela32[[#This Row],[Placa]],Planilha2!$A$1:$B$12,2,0),"")</f>
        <v>Edilson</v>
      </c>
      <c r="G205" s="10">
        <v>9866.33</v>
      </c>
      <c r="H205" s="10">
        <v>147461.76000000001</v>
      </c>
      <c r="I205" s="4">
        <v>1447</v>
      </c>
      <c r="J205" s="17">
        <f>IFERROR(Tabela32[[#This Row],[Valor Frete]]/Tabela32[[#This Row],[Valor Mercadoria]],"")</f>
        <v>6.6907718991011625E-2</v>
      </c>
      <c r="K205" s="11">
        <v>0.27083333333333331</v>
      </c>
      <c r="L205" s="15">
        <v>0.74305555555555558</v>
      </c>
      <c r="M205" s="15">
        <f>Tabela32[[#This Row],[Hr Chegada]]-Tabela32[[#This Row],[Hr Saida]]</f>
        <v>0.47222222222222227</v>
      </c>
      <c r="N205" s="4">
        <v>104557</v>
      </c>
      <c r="O205" s="4">
        <v>104697</v>
      </c>
      <c r="P205" s="4">
        <f>Tabela32[[#This Row],[Km Chegada]]-Tabela32[[#This Row],[Km Saída]]</f>
        <v>140</v>
      </c>
      <c r="Q205" s="4">
        <v>196</v>
      </c>
      <c r="R205" s="4">
        <v>23</v>
      </c>
      <c r="S205" s="4">
        <v>23</v>
      </c>
      <c r="T205" s="12">
        <f>Tabela32[[#This Row],[Entregas]]-Tabela32[[#This Row],[Realizadas]]</f>
        <v>0</v>
      </c>
      <c r="U205" s="18">
        <f>Tabela32[[#This Row],[Realizadas]]/Tabela32[[#This Row],[Entregas]]</f>
        <v>1</v>
      </c>
      <c r="V205" s="19" t="str">
        <f>IF(Tabela32[[#This Row],[% Entrega]]&gt;=96%,"Atendeu a Meta","Não Atendeu a Meta")</f>
        <v>Atendeu a Meta</v>
      </c>
      <c r="W205" s="4" t="s">
        <v>41</v>
      </c>
      <c r="X205" s="4">
        <v>0</v>
      </c>
      <c r="Y205" s="5">
        <v>0</v>
      </c>
    </row>
    <row r="206" spans="1:25" x14ac:dyDescent="0.25">
      <c r="A206" s="8">
        <v>46265</v>
      </c>
      <c r="B206" s="16">
        <f>YEAR(Tabela32[[#This Row],[Data]])</f>
        <v>2026</v>
      </c>
      <c r="C206" s="16">
        <f>MONTH(Tabela32[[#This Row],[Data]])</f>
        <v>8</v>
      </c>
      <c r="D206" s="4" t="s">
        <v>22</v>
      </c>
      <c r="E206" s="4">
        <v>1</v>
      </c>
      <c r="F206" s="4" t="str">
        <f>IFERROR(VLOOKUP(Tabela32[[#This Row],[Placa]],Planilha2!$A$1:$B$12,2,0),"")</f>
        <v>Wesley</v>
      </c>
      <c r="G206" s="10">
        <v>10576.51</v>
      </c>
      <c r="H206" s="10">
        <v>137277.46</v>
      </c>
      <c r="I206" s="4">
        <v>1875</v>
      </c>
      <c r="J206" s="17">
        <f>IFERROR(Tabela32[[#This Row],[Valor Frete]]/Tabela32[[#This Row],[Valor Mercadoria]],"")</f>
        <v>7.7044767582383891E-2</v>
      </c>
      <c r="K206" s="11">
        <v>0.29166666666666669</v>
      </c>
      <c r="L206" s="15">
        <v>0.76388888888888884</v>
      </c>
      <c r="M206" s="15">
        <f>Tabela32[[#This Row],[Hr Chegada]]-Tabela32[[#This Row],[Hr Saida]]</f>
        <v>0.47222222222222215</v>
      </c>
      <c r="N206" s="4">
        <v>303720</v>
      </c>
      <c r="O206" s="4">
        <v>303777</v>
      </c>
      <c r="P206" s="4">
        <f>Tabela32[[#This Row],[Km Chegada]]-Tabela32[[#This Row],[Km Saída]]</f>
        <v>57</v>
      </c>
      <c r="Q206" s="4">
        <v>248</v>
      </c>
      <c r="R206" s="4">
        <v>22</v>
      </c>
      <c r="S206" s="4">
        <v>22</v>
      </c>
      <c r="T206" s="12">
        <f>Tabela32[[#This Row],[Entregas]]-Tabela32[[#This Row],[Realizadas]]</f>
        <v>0</v>
      </c>
      <c r="U206" s="18">
        <f>Tabela32[[#This Row],[Realizadas]]/Tabela32[[#This Row],[Entregas]]</f>
        <v>1</v>
      </c>
      <c r="V206" s="19" t="str">
        <f>IF(Tabela32[[#This Row],[% Entrega]]&gt;=96%,"Atendeu a Meta","Não Atendeu a Meta")</f>
        <v>Atendeu a Meta</v>
      </c>
      <c r="W206" s="4" t="s">
        <v>43</v>
      </c>
      <c r="X206" s="4">
        <v>0</v>
      </c>
      <c r="Y206" s="5">
        <v>0</v>
      </c>
    </row>
    <row r="207" spans="1:25" x14ac:dyDescent="0.25">
      <c r="A207" s="8">
        <v>46265</v>
      </c>
      <c r="B207" s="16">
        <f>YEAR(Tabela32[[#This Row],[Data]])</f>
        <v>2026</v>
      </c>
      <c r="C207" s="16">
        <f>MONTH(Tabela32[[#This Row],[Data]])</f>
        <v>8</v>
      </c>
      <c r="D207" s="4" t="s">
        <v>29</v>
      </c>
      <c r="E207" s="4">
        <v>5</v>
      </c>
      <c r="F207" s="10" t="str">
        <f>IFERROR(VLOOKUP(Tabela32[[#This Row],[Placa]],Planilha2!$A$1:$B$12,2,0),"")</f>
        <v>Sandro</v>
      </c>
      <c r="G207" s="10">
        <v>1963.5</v>
      </c>
      <c r="H207" s="10">
        <v>46524.72</v>
      </c>
      <c r="I207" s="4">
        <v>109</v>
      </c>
      <c r="J207" s="17">
        <f>IFERROR(Tabela32[[#This Row],[Valor Frete]]/Tabela32[[#This Row],[Valor Mercadoria]],"")</f>
        <v>4.220337059524485E-2</v>
      </c>
      <c r="K207" s="11">
        <v>0.29166666666666669</v>
      </c>
      <c r="L207" s="15">
        <v>0.53125</v>
      </c>
      <c r="M207" s="15">
        <f>Tabela32[[#This Row],[Hr Chegada]]-Tabela32[[#This Row],[Hr Saida]]</f>
        <v>0.23958333333333331</v>
      </c>
      <c r="N207" s="4">
        <v>275192</v>
      </c>
      <c r="O207" s="4">
        <v>275225</v>
      </c>
      <c r="P207" s="4">
        <f>Tabela32[[#This Row],[Km Chegada]]-Tabela32[[#This Row],[Km Saída]]</f>
        <v>33</v>
      </c>
      <c r="Q207" s="4">
        <v>12</v>
      </c>
      <c r="R207" s="4">
        <v>3</v>
      </c>
      <c r="S207" s="4">
        <v>3</v>
      </c>
      <c r="T207" s="12">
        <f>Tabela32[[#This Row],[Entregas]]-Tabela32[[#This Row],[Realizadas]]</f>
        <v>0</v>
      </c>
      <c r="U207" s="18">
        <f>Tabela32[[#This Row],[Realizadas]]/Tabela32[[#This Row],[Entregas]]</f>
        <v>1</v>
      </c>
      <c r="V207" s="19" t="str">
        <f>IF(Tabela32[[#This Row],[% Entrega]]&gt;=96%,"Atendeu a Meta","Não Atendeu a Meta")</f>
        <v>Atendeu a Meta</v>
      </c>
      <c r="W207" s="4" t="s">
        <v>40</v>
      </c>
      <c r="X207" s="4">
        <v>0</v>
      </c>
      <c r="Y207" s="5">
        <v>0</v>
      </c>
    </row>
    <row r="208" spans="1:25" x14ac:dyDescent="0.25">
      <c r="A208" s="8">
        <v>46265</v>
      </c>
      <c r="B208" s="16">
        <f>YEAR(Tabela32[[#This Row],[Data]])</f>
        <v>2026</v>
      </c>
      <c r="C208" s="16">
        <f>MONTH(Tabela32[[#This Row],[Data]])</f>
        <v>8</v>
      </c>
      <c r="D208" s="4" t="s">
        <v>29</v>
      </c>
      <c r="E208" s="4">
        <v>5</v>
      </c>
      <c r="F208" s="4" t="str">
        <f>IFERROR(VLOOKUP(Tabela32[[#This Row],[Placa]],Planilha2!$A$1:$B$12,2,0),"")</f>
        <v>Sandro</v>
      </c>
      <c r="G208" s="10">
        <v>1657.74</v>
      </c>
      <c r="H208" s="10">
        <v>62424</v>
      </c>
      <c r="I208" s="4">
        <v>565</v>
      </c>
      <c r="J208" s="17">
        <f>IFERROR(Tabela32[[#This Row],[Valor Frete]]/Tabela32[[#This Row],[Valor Mercadoria]],"")</f>
        <v>2.6556132256824298E-2</v>
      </c>
      <c r="K208" s="11">
        <v>0.61458333333333337</v>
      </c>
      <c r="L208" s="15">
        <v>0.68541666666666667</v>
      </c>
      <c r="M208" s="15">
        <f>Tabela32[[#This Row],[Hr Chegada]]-Tabela32[[#This Row],[Hr Saida]]</f>
        <v>7.0833333333333304E-2</v>
      </c>
      <c r="N208" s="4">
        <v>275225</v>
      </c>
      <c r="O208" s="4">
        <v>275261</v>
      </c>
      <c r="P208" s="4">
        <f>Tabela32[[#This Row],[Km Chegada]]-Tabela32[[#This Row],[Km Saída]]</f>
        <v>36</v>
      </c>
      <c r="Q208" s="4">
        <v>92</v>
      </c>
      <c r="R208" s="4">
        <v>5</v>
      </c>
      <c r="S208" s="4">
        <v>5</v>
      </c>
      <c r="T208" s="12">
        <f>Tabela32[[#This Row],[Entregas]]-Tabela32[[#This Row],[Realizadas]]</f>
        <v>0</v>
      </c>
      <c r="U208" s="18">
        <f>Tabela32[[#This Row],[Realizadas]]/Tabela32[[#This Row],[Entregas]]</f>
        <v>1</v>
      </c>
      <c r="V208" s="19" t="str">
        <f>IF(Tabela32[[#This Row],[% Entrega]]&gt;=96%,"Atendeu a Meta","Não Atendeu a Meta")</f>
        <v>Atendeu a Meta</v>
      </c>
      <c r="W208" s="4" t="s">
        <v>39</v>
      </c>
      <c r="X208" s="4">
        <v>0</v>
      </c>
      <c r="Y208" s="5">
        <v>0</v>
      </c>
    </row>
    <row r="209" spans="1:25" x14ac:dyDescent="0.25">
      <c r="A209" s="8">
        <v>46265</v>
      </c>
      <c r="B209" s="16">
        <f>YEAR(Tabela32[[#This Row],[Data]])</f>
        <v>2026</v>
      </c>
      <c r="C209" s="16">
        <f>MONTH(Tabela32[[#This Row],[Data]])</f>
        <v>8</v>
      </c>
      <c r="D209" s="4" t="s">
        <v>31</v>
      </c>
      <c r="E209" s="4">
        <v>3</v>
      </c>
      <c r="F209" s="4" t="str">
        <f>IFERROR(VLOOKUP(Tabela32[[#This Row],[Placa]],Planilha2!$A$1:$B$12,2,0),"")</f>
        <v>Jerson</v>
      </c>
      <c r="G209" s="10">
        <v>6318.8</v>
      </c>
      <c r="H209" s="10">
        <v>107463.47</v>
      </c>
      <c r="I209" s="4">
        <v>1069</v>
      </c>
      <c r="J209" s="17">
        <f>IFERROR(Tabela32[[#This Row],[Valor Frete]]/Tabela32[[#This Row],[Valor Mercadoria]],"")</f>
        <v>5.8799515779641216E-2</v>
      </c>
      <c r="K209" s="11">
        <v>0.32291666666666669</v>
      </c>
      <c r="L209" s="15">
        <v>0.79305555555555551</v>
      </c>
      <c r="M209" s="15">
        <f>Tabela32[[#This Row],[Hr Chegada]]-Tabela32[[#This Row],[Hr Saida]]</f>
        <v>0.47013888888888883</v>
      </c>
      <c r="N209" s="4">
        <v>279886</v>
      </c>
      <c r="O209" s="4">
        <v>279962</v>
      </c>
      <c r="P209" s="4">
        <f>Tabela32[[#This Row],[Km Chegada]]-Tabela32[[#This Row],[Km Saída]]</f>
        <v>76</v>
      </c>
      <c r="Q209" s="4">
        <v>151</v>
      </c>
      <c r="R209" s="4">
        <v>18</v>
      </c>
      <c r="S209" s="4">
        <v>18</v>
      </c>
      <c r="T209" s="12">
        <f>Tabela32[[#This Row],[Entregas]]-Tabela32[[#This Row],[Realizadas]]</f>
        <v>0</v>
      </c>
      <c r="U209" s="18">
        <f>Tabela32[[#This Row],[Realizadas]]/Tabela32[[#This Row],[Entregas]]</f>
        <v>1</v>
      </c>
      <c r="V209" s="19" t="str">
        <f>IF(Tabela32[[#This Row],[% Entrega]]&gt;=96%,"Atendeu a Meta","Não Atendeu a Meta")</f>
        <v>Atendeu a Meta</v>
      </c>
      <c r="W209" s="4" t="s">
        <v>39</v>
      </c>
      <c r="X209" s="4">
        <v>1</v>
      </c>
      <c r="Y209" s="5">
        <v>38</v>
      </c>
    </row>
    <row r="210" spans="1:25" x14ac:dyDescent="0.25">
      <c r="A210" s="8">
        <v>46265</v>
      </c>
      <c r="B210" s="16">
        <f>YEAR(Tabela32[[#This Row],[Data]])</f>
        <v>2026</v>
      </c>
      <c r="C210" s="16">
        <f>MONTH(Tabela32[[#This Row],[Data]])</f>
        <v>8</v>
      </c>
      <c r="D210" s="4" t="s">
        <v>27</v>
      </c>
      <c r="E210" s="4">
        <v>1</v>
      </c>
      <c r="F210" s="4" t="str">
        <f>IFERROR(VLOOKUP(Tabela32[[#This Row],[Placa]],Planilha2!$A$1:$B$12,2,0),"")</f>
        <v>Rosinaldo</v>
      </c>
      <c r="G210" s="10">
        <v>10769.09</v>
      </c>
      <c r="H210" s="10">
        <v>179421.4</v>
      </c>
      <c r="I210" s="4">
        <v>1091</v>
      </c>
      <c r="J210" s="17">
        <f>IFERROR(Tabela32[[#This Row],[Valor Frete]]/Tabela32[[#This Row],[Valor Mercadoria]],"")</f>
        <v>6.002121263126918E-2</v>
      </c>
      <c r="K210" s="11">
        <v>0.29166666666666669</v>
      </c>
      <c r="L210" s="15">
        <v>0.69791666666666663</v>
      </c>
      <c r="M210" s="15">
        <f>Tabela32[[#This Row],[Hr Chegada]]-Tabela32[[#This Row],[Hr Saida]]</f>
        <v>0.40624999999999994</v>
      </c>
      <c r="N210" s="4">
        <v>290873</v>
      </c>
      <c r="O210" s="4">
        <v>290905</v>
      </c>
      <c r="P210" s="4">
        <f>Tabela32[[#This Row],[Km Chegada]]-Tabela32[[#This Row],[Km Saída]]</f>
        <v>32</v>
      </c>
      <c r="Q210" s="4">
        <v>253</v>
      </c>
      <c r="R210" s="4">
        <v>8</v>
      </c>
      <c r="S210" s="4">
        <v>8</v>
      </c>
      <c r="T210" s="12">
        <f>Tabela32[[#This Row],[Entregas]]-Tabela32[[#This Row],[Realizadas]]</f>
        <v>0</v>
      </c>
      <c r="U210" s="18">
        <f>Tabela32[[#This Row],[Realizadas]]/Tabela32[[#This Row],[Entregas]]</f>
        <v>1</v>
      </c>
      <c r="V210" s="19" t="str">
        <f>IF(Tabela32[[#This Row],[% Entrega]]&gt;=96%,"Atendeu a Meta","Não Atendeu a Meta")</f>
        <v>Atendeu a Meta</v>
      </c>
      <c r="W210" s="4" t="s">
        <v>40</v>
      </c>
      <c r="X210" s="4">
        <v>0</v>
      </c>
      <c r="Y210" s="5">
        <v>0</v>
      </c>
    </row>
    <row r="211" spans="1:25" x14ac:dyDescent="0.25">
      <c r="A211" s="8">
        <v>46265</v>
      </c>
      <c r="B211" s="16">
        <f>YEAR(Tabela32[[#This Row],[Data]])</f>
        <v>2026</v>
      </c>
      <c r="C211" s="16">
        <f>MONTH(Tabela32[[#This Row],[Data]])</f>
        <v>8</v>
      </c>
      <c r="D211" s="4" t="s">
        <v>23</v>
      </c>
      <c r="E211" s="4">
        <v>1</v>
      </c>
      <c r="F211" s="4" t="str">
        <f>IFERROR(VLOOKUP(Tabela32[[#This Row],[Placa]],Planilha2!$A$1:$B$12,2,0),"")</f>
        <v>William</v>
      </c>
      <c r="G211" s="10">
        <v>4864.74</v>
      </c>
      <c r="H211" s="10">
        <v>38078</v>
      </c>
      <c r="I211" s="4">
        <v>518</v>
      </c>
      <c r="J211" s="17">
        <f>IFERROR(Tabela32[[#This Row],[Valor Frete]]/Tabela32[[#This Row],[Valor Mercadoria]],"")</f>
        <v>0.12775723514890489</v>
      </c>
      <c r="K211" s="11">
        <v>0.30555555555555558</v>
      </c>
      <c r="L211" s="15">
        <v>0.77083333333333337</v>
      </c>
      <c r="M211" s="15">
        <f>Tabela32[[#This Row],[Hr Chegada]]-Tabela32[[#This Row],[Hr Saida]]</f>
        <v>0.46527777777777779</v>
      </c>
      <c r="N211" s="4">
        <v>124600</v>
      </c>
      <c r="O211" s="4">
        <v>124648</v>
      </c>
      <c r="P211" s="4">
        <f>Tabela32[[#This Row],[Km Chegada]]-Tabela32[[#This Row],[Km Saída]]</f>
        <v>48</v>
      </c>
      <c r="Q211" s="4">
        <v>122</v>
      </c>
      <c r="R211" s="4">
        <v>7</v>
      </c>
      <c r="S211" s="4">
        <v>7</v>
      </c>
      <c r="T211" s="12">
        <f>Tabela32[[#This Row],[Entregas]]-Tabela32[[#This Row],[Realizadas]]</f>
        <v>0</v>
      </c>
      <c r="U211" s="18">
        <f>Tabela32[[#This Row],[Realizadas]]/Tabela32[[#This Row],[Entregas]]</f>
        <v>1</v>
      </c>
      <c r="V211" s="19" t="str">
        <f>IF(Tabela32[[#This Row],[% Entrega]]&gt;=96%,"Atendeu a Meta","Não Atendeu a Meta")</f>
        <v>Atendeu a Meta</v>
      </c>
      <c r="W211" s="4" t="s">
        <v>43</v>
      </c>
      <c r="X211" s="4">
        <v>0</v>
      </c>
      <c r="Y211" s="5">
        <v>0</v>
      </c>
    </row>
    <row r="212" spans="1:25" x14ac:dyDescent="0.25">
      <c r="A212" s="8">
        <v>46265</v>
      </c>
      <c r="B212" s="16">
        <f>YEAR(Tabela32[[#This Row],[Data]])</f>
        <v>2026</v>
      </c>
      <c r="C212" s="16">
        <f>MONTH(Tabela32[[#This Row],[Data]])</f>
        <v>8</v>
      </c>
      <c r="D212" s="4" t="s">
        <v>33</v>
      </c>
      <c r="E212" s="4">
        <v>1</v>
      </c>
      <c r="F212" s="4" t="str">
        <f>IFERROR(VLOOKUP(Tabela32[[#This Row],[Placa]],Planilha2!$A$1:$B$12,2,0),"")</f>
        <v>Paulo</v>
      </c>
      <c r="G212" s="10">
        <v>1692.59</v>
      </c>
      <c r="H212" s="10">
        <v>42377.94</v>
      </c>
      <c r="I212" s="4">
        <v>48</v>
      </c>
      <c r="J212" s="17">
        <f>IFERROR(Tabela32[[#This Row],[Valor Frete]]/Tabela32[[#This Row],[Valor Mercadoria]],"")</f>
        <v>3.9940355760567876E-2</v>
      </c>
      <c r="K212" s="11">
        <v>0.29305555555555557</v>
      </c>
      <c r="L212" s="15">
        <v>0.59166666666666667</v>
      </c>
      <c r="M212" s="15">
        <f>Tabela32[[#This Row],[Hr Chegada]]-Tabela32[[#This Row],[Hr Saida]]</f>
        <v>0.2986111111111111</v>
      </c>
      <c r="N212" s="4">
        <v>154765</v>
      </c>
      <c r="O212" s="4">
        <v>154807</v>
      </c>
      <c r="P212" s="4">
        <f>Tabela32[[#This Row],[Km Chegada]]-Tabela32[[#This Row],[Km Saída]]</f>
        <v>42</v>
      </c>
      <c r="Q212" s="4">
        <v>27</v>
      </c>
      <c r="R212" s="4">
        <v>3</v>
      </c>
      <c r="S212" s="4">
        <v>3</v>
      </c>
      <c r="T212" s="12">
        <f>Tabela32[[#This Row],[Entregas]]-Tabela32[[#This Row],[Realizadas]]</f>
        <v>0</v>
      </c>
      <c r="U212" s="18">
        <f>Tabela32[[#This Row],[Realizadas]]/Tabela32[[#This Row],[Entregas]]</f>
        <v>1</v>
      </c>
      <c r="V212" s="19" t="str">
        <f>IF(Tabela32[[#This Row],[% Entrega]]&gt;=96%,"Atendeu a Meta","Não Atendeu a Meta")</f>
        <v>Atendeu a Meta</v>
      </c>
      <c r="W212" s="4" t="s">
        <v>40</v>
      </c>
      <c r="X212" s="4">
        <v>0</v>
      </c>
      <c r="Y212" s="5">
        <v>0</v>
      </c>
    </row>
    <row r="213" spans="1:25" x14ac:dyDescent="0.25">
      <c r="A213" s="8">
        <v>46265</v>
      </c>
      <c r="B213" s="16">
        <f>YEAR(Tabela32[[#This Row],[Data]])</f>
        <v>2026</v>
      </c>
      <c r="C213" s="16">
        <f>MONTH(Tabela32[[#This Row],[Data]])</f>
        <v>8</v>
      </c>
      <c r="D213" s="4" t="s">
        <v>53</v>
      </c>
      <c r="E213" s="4">
        <v>1</v>
      </c>
      <c r="F213" s="4" t="str">
        <f>IFERROR(VLOOKUP(Tabela32[[#This Row],[Placa]],Planilha2!$A$1:$B$12,2,0),"")</f>
        <v>Arnaldo</v>
      </c>
      <c r="G213" s="10">
        <v>10862.98</v>
      </c>
      <c r="H213" s="10">
        <v>120436.68</v>
      </c>
      <c r="I213" s="4">
        <v>4594</v>
      </c>
      <c r="J213" s="17">
        <f>IFERROR(Tabela32[[#This Row],[Valor Frete]]/Tabela32[[#This Row],[Valor Mercadoria]],"")</f>
        <v>9.0196607877267951E-2</v>
      </c>
      <c r="K213" s="11">
        <v>0.30208333333333331</v>
      </c>
      <c r="L213" s="15">
        <v>0.71875</v>
      </c>
      <c r="M213" s="15">
        <f>Tabela32[[#This Row],[Hr Chegada]]-Tabela32[[#This Row],[Hr Saida]]</f>
        <v>0.41666666666666669</v>
      </c>
      <c r="N213" s="4">
        <v>12828</v>
      </c>
      <c r="O213" s="4">
        <v>12862</v>
      </c>
      <c r="P213" s="4">
        <f>Tabela32[[#This Row],[Km Chegada]]-Tabela32[[#This Row],[Km Saída]]</f>
        <v>34</v>
      </c>
      <c r="Q213" s="4">
        <v>9</v>
      </c>
      <c r="R213" s="4">
        <v>1</v>
      </c>
      <c r="S213" s="4">
        <v>1</v>
      </c>
      <c r="T213" s="12">
        <f>Tabela32[[#This Row],[Entregas]]-Tabela32[[#This Row],[Realizadas]]</f>
        <v>0</v>
      </c>
      <c r="U213" s="18">
        <f>Tabela32[[#This Row],[Realizadas]]/Tabela32[[#This Row],[Entregas]]</f>
        <v>1</v>
      </c>
      <c r="V213" s="19" t="str">
        <f>IF(Tabela32[[#This Row],[% Entrega]]&gt;=96%,"Atendeu a Meta","Não Atendeu a Meta")</f>
        <v>Atendeu a Meta</v>
      </c>
      <c r="W213" s="4" t="s">
        <v>40</v>
      </c>
      <c r="X213" s="4">
        <v>0</v>
      </c>
      <c r="Y213" s="5">
        <v>0</v>
      </c>
    </row>
    <row r="214" spans="1:25" x14ac:dyDescent="0.25">
      <c r="A214" s="8">
        <v>46266</v>
      </c>
      <c r="B214" s="16">
        <f>YEAR(Tabela32[[#This Row],[Data]])</f>
        <v>2026</v>
      </c>
      <c r="C214" s="16">
        <f>MONTH(Tabela32[[#This Row],[Data]])</f>
        <v>9</v>
      </c>
      <c r="D214" s="4" t="s">
        <v>35</v>
      </c>
      <c r="E214" s="4">
        <v>11</v>
      </c>
      <c r="F214" s="4" t="str">
        <f>IFERROR(VLOOKUP(Tabela32[[#This Row],[Placa]],Planilha2!$A$1:$B$12,2,0),"")</f>
        <v>Osvaldo</v>
      </c>
      <c r="G214" s="10">
        <v>6588.3</v>
      </c>
      <c r="H214" s="10">
        <v>166308.68</v>
      </c>
      <c r="I214" s="4">
        <v>1123</v>
      </c>
      <c r="J214" s="17">
        <f>IFERROR(Tabela32[[#This Row],[Valor Frete]]/Tabela32[[#This Row],[Valor Mercadoria]],"")</f>
        <v>3.9614889613699057E-2</v>
      </c>
      <c r="K214" s="11">
        <v>0.27083333333333331</v>
      </c>
      <c r="L214" s="15">
        <v>0.73472222222222228</v>
      </c>
      <c r="M214" s="15">
        <f>Tabela32[[#This Row],[Hr Chegada]]-Tabela32[[#This Row],[Hr Saida]]</f>
        <v>0.46388888888888896</v>
      </c>
      <c r="N214" s="4">
        <v>142371</v>
      </c>
      <c r="O214" s="4">
        <v>142526</v>
      </c>
      <c r="P214" s="4">
        <f>Tabela32[[#This Row],[Km Chegada]]-Tabela32[[#This Row],[Km Saída]]</f>
        <v>155</v>
      </c>
      <c r="Q214" s="4">
        <v>146</v>
      </c>
      <c r="R214" s="4">
        <v>16</v>
      </c>
      <c r="S214" s="4">
        <v>16</v>
      </c>
      <c r="T214" s="12">
        <f>Tabela32[[#This Row],[Entregas]]-Tabela32[[#This Row],[Realizadas]]</f>
        <v>0</v>
      </c>
      <c r="U214" s="18">
        <f>Tabela32[[#This Row],[Realizadas]]/Tabela32[[#This Row],[Entregas]]</f>
        <v>1</v>
      </c>
      <c r="V214" s="19" t="str">
        <f>IF(Tabela32[[#This Row],[% Entrega]]&gt;=96%,"Atendeu a Meta","Não Atendeu a Meta")</f>
        <v>Atendeu a Meta</v>
      </c>
      <c r="W214" s="4" t="s">
        <v>41</v>
      </c>
      <c r="X214" s="4">
        <v>0</v>
      </c>
      <c r="Y214" s="5">
        <v>0</v>
      </c>
    </row>
    <row r="215" spans="1:25" x14ac:dyDescent="0.25">
      <c r="A215" s="8">
        <v>46266</v>
      </c>
      <c r="B215" s="16">
        <f>YEAR(Tabela32[[#This Row],[Data]])</f>
        <v>2026</v>
      </c>
      <c r="C215" s="16">
        <f>MONTH(Tabela32[[#This Row],[Data]])</f>
        <v>9</v>
      </c>
      <c r="D215" s="4" t="s">
        <v>33</v>
      </c>
      <c r="E215" s="4">
        <v>1</v>
      </c>
      <c r="F215" s="4" t="str">
        <f>IFERROR(VLOOKUP(Tabela32[[#This Row],[Placa]],Planilha2!$A$1:$B$12,2,0),"")</f>
        <v>Paulo</v>
      </c>
      <c r="G215" s="10">
        <v>542.14</v>
      </c>
      <c r="H215" s="10">
        <v>6099.54</v>
      </c>
      <c r="I215" s="4">
        <v>57</v>
      </c>
      <c r="J215" s="17">
        <f>IFERROR(Tabela32[[#This Row],[Valor Frete]]/Tabela32[[#This Row],[Valor Mercadoria]],"")</f>
        <v>8.8882112421592441E-2</v>
      </c>
      <c r="K215" s="11">
        <v>0.2986111111111111</v>
      </c>
      <c r="L215" s="15">
        <v>0.72222222222222221</v>
      </c>
      <c r="M215" s="15">
        <f>Tabela32[[#This Row],[Hr Chegada]]-Tabela32[[#This Row],[Hr Saida]]</f>
        <v>0.4236111111111111</v>
      </c>
      <c r="N215" s="4">
        <v>154807</v>
      </c>
      <c r="O215" s="4">
        <v>154845</v>
      </c>
      <c r="P215" s="4">
        <f>Tabela32[[#This Row],[Km Chegada]]-Tabela32[[#This Row],[Km Saída]]</f>
        <v>38</v>
      </c>
      <c r="Q215" s="4">
        <v>10</v>
      </c>
      <c r="R215" s="4">
        <v>1</v>
      </c>
      <c r="S215" s="4">
        <v>1</v>
      </c>
      <c r="T215" s="12">
        <f>Tabela32[[#This Row],[Entregas]]-Tabela32[[#This Row],[Realizadas]]</f>
        <v>0</v>
      </c>
      <c r="U215" s="18">
        <f>Tabela32[[#This Row],[Realizadas]]/Tabela32[[#This Row],[Entregas]]</f>
        <v>1</v>
      </c>
      <c r="V215" s="19" t="str">
        <f>IF(Tabela32[[#This Row],[% Entrega]]&gt;=96%,"Atendeu a Meta","Não Atendeu a Meta")</f>
        <v>Atendeu a Meta</v>
      </c>
      <c r="W215" s="4" t="s">
        <v>40</v>
      </c>
      <c r="X215" s="4">
        <v>0</v>
      </c>
      <c r="Y215" s="5">
        <v>0</v>
      </c>
    </row>
    <row r="216" spans="1:25" x14ac:dyDescent="0.25">
      <c r="A216" s="8">
        <v>46266</v>
      </c>
      <c r="B216" s="16">
        <f>YEAR(Tabela32[[#This Row],[Data]])</f>
        <v>2026</v>
      </c>
      <c r="C216" s="16">
        <f>MONTH(Tabela32[[#This Row],[Data]])</f>
        <v>9</v>
      </c>
      <c r="D216" s="4" t="s">
        <v>53</v>
      </c>
      <c r="E216" s="4">
        <v>5</v>
      </c>
      <c r="F216" s="4" t="str">
        <f>IFERROR(VLOOKUP(Tabela32[[#This Row],[Placa]],Planilha2!$A$1:$B$12,2,0),"")</f>
        <v>Arnaldo</v>
      </c>
      <c r="G216" s="10">
        <v>6668.43</v>
      </c>
      <c r="H216" s="10">
        <v>110103.48</v>
      </c>
      <c r="I216" s="4">
        <v>205</v>
      </c>
      <c r="J216" s="17">
        <f>IFERROR(Tabela32[[#This Row],[Valor Frete]]/Tabela32[[#This Row],[Valor Mercadoria]],"")</f>
        <v>6.0565115653020238E-2</v>
      </c>
      <c r="K216" s="11">
        <v>0.3125</v>
      </c>
      <c r="L216" s="15">
        <v>0.81944444444444442</v>
      </c>
      <c r="M216" s="15">
        <f>Tabela32[[#This Row],[Hr Chegada]]-Tabela32[[#This Row],[Hr Saida]]</f>
        <v>0.50694444444444442</v>
      </c>
      <c r="N216" s="4">
        <v>12862</v>
      </c>
      <c r="O216" s="4">
        <v>12964</v>
      </c>
      <c r="P216" s="4">
        <f>Tabela32[[#This Row],[Km Chegada]]-Tabela32[[#This Row],[Km Saída]]</f>
        <v>102</v>
      </c>
      <c r="Q216" s="4">
        <v>205</v>
      </c>
      <c r="R216" s="4">
        <v>21</v>
      </c>
      <c r="S216" s="4">
        <v>21</v>
      </c>
      <c r="T216" s="12">
        <f>Tabela32[[#This Row],[Entregas]]-Tabela32[[#This Row],[Realizadas]]</f>
        <v>0</v>
      </c>
      <c r="U216" s="18">
        <f>Tabela32[[#This Row],[Realizadas]]/Tabela32[[#This Row],[Entregas]]</f>
        <v>1</v>
      </c>
      <c r="V216" s="19" t="str">
        <f>IF(Tabela32[[#This Row],[% Entrega]]&gt;=96%,"Atendeu a Meta","Não Atendeu a Meta")</f>
        <v>Atendeu a Meta</v>
      </c>
      <c r="W216" s="4" t="s">
        <v>39</v>
      </c>
      <c r="X216" s="4">
        <v>0</v>
      </c>
      <c r="Y216" s="5">
        <v>0</v>
      </c>
    </row>
    <row r="217" spans="1:25" x14ac:dyDescent="0.25">
      <c r="A217" s="8">
        <v>46266</v>
      </c>
      <c r="B217" s="16">
        <f>YEAR(Tabela32[[#This Row],[Data]])</f>
        <v>2026</v>
      </c>
      <c r="C217" s="16">
        <f>MONTH(Tabela32[[#This Row],[Data]])</f>
        <v>9</v>
      </c>
      <c r="D217" s="4" t="s">
        <v>28</v>
      </c>
      <c r="E217" s="4">
        <v>1</v>
      </c>
      <c r="F217" s="4" t="str">
        <f>IFERROR(VLOOKUP(Tabela32[[#This Row],[Placa]],Planilha2!$A$1:$B$12,2,0),"")</f>
        <v>Edilson</v>
      </c>
      <c r="G217" s="10">
        <v>23158.1</v>
      </c>
      <c r="H217" s="10">
        <v>477368.73</v>
      </c>
      <c r="I217" s="4">
        <v>2798</v>
      </c>
      <c r="J217" s="17">
        <f>IFERROR(Tabela32[[#This Row],[Valor Frete]]/Tabela32[[#This Row],[Valor Mercadoria]],"")</f>
        <v>4.8511975218820891E-2</v>
      </c>
      <c r="K217" s="11">
        <v>0.27430555555555558</v>
      </c>
      <c r="L217" s="15">
        <v>0.78472222222222221</v>
      </c>
      <c r="M217" s="15">
        <f>Tabela32[[#This Row],[Hr Chegada]]-Tabela32[[#This Row],[Hr Saida]]</f>
        <v>0.51041666666666663</v>
      </c>
      <c r="N217" s="4">
        <v>104697</v>
      </c>
      <c r="O217" s="4">
        <v>104737</v>
      </c>
      <c r="P217" s="4">
        <f>Tabela32[[#This Row],[Km Chegada]]-Tabela32[[#This Row],[Km Saída]]</f>
        <v>40</v>
      </c>
      <c r="Q217" s="4">
        <v>528</v>
      </c>
      <c r="R217" s="4">
        <v>23</v>
      </c>
      <c r="S217" s="4">
        <v>23</v>
      </c>
      <c r="T217" s="12">
        <f>Tabela32[[#This Row],[Entregas]]-Tabela32[[#This Row],[Realizadas]]</f>
        <v>0</v>
      </c>
      <c r="U217" s="18">
        <f>Tabela32[[#This Row],[Realizadas]]/Tabela32[[#This Row],[Entregas]]</f>
        <v>1</v>
      </c>
      <c r="V217" s="19" t="str">
        <f>IF(Tabela32[[#This Row],[% Entrega]]&gt;=96%,"Atendeu a Meta","Não Atendeu a Meta")</f>
        <v>Atendeu a Meta</v>
      </c>
      <c r="W217" s="4" t="s">
        <v>39</v>
      </c>
      <c r="X217" s="4">
        <v>0</v>
      </c>
      <c r="Y217" s="5">
        <v>0</v>
      </c>
    </row>
    <row r="218" spans="1:25" x14ac:dyDescent="0.25">
      <c r="A218" s="8">
        <v>46266</v>
      </c>
      <c r="B218" s="16">
        <f>YEAR(Tabela32[[#This Row],[Data]])</f>
        <v>2026</v>
      </c>
      <c r="C218" s="16">
        <f>MONTH(Tabela32[[#This Row],[Data]])</f>
        <v>9</v>
      </c>
      <c r="D218" s="4" t="s">
        <v>37</v>
      </c>
      <c r="E218" s="4">
        <v>1</v>
      </c>
      <c r="F218" s="4" t="str">
        <f>IFERROR(VLOOKUP(Tabela32[[#This Row],[Placa]],Planilha2!$A$1:$B$12,2,0),"")</f>
        <v>Manoel</v>
      </c>
      <c r="G218" s="10">
        <v>709.78</v>
      </c>
      <c r="H218" s="10">
        <v>16994.12</v>
      </c>
      <c r="I218" s="4">
        <v>226</v>
      </c>
      <c r="J218" s="17">
        <f>IFERROR(Tabela32[[#This Row],[Valor Frete]]/Tabela32[[#This Row],[Valor Mercadoria]],"")</f>
        <v>4.1766210901182294E-2</v>
      </c>
      <c r="K218" s="11">
        <v>0.60416666666666663</v>
      </c>
      <c r="L218" s="15">
        <v>0.66249999999999998</v>
      </c>
      <c r="M218" s="15">
        <f>Tabela32[[#This Row],[Hr Chegada]]-Tabela32[[#This Row],[Hr Saida]]</f>
        <v>5.8333333333333348E-2</v>
      </c>
      <c r="N218" s="4">
        <v>11749</v>
      </c>
      <c r="O218" s="4">
        <v>11758</v>
      </c>
      <c r="P218" s="4">
        <f>Tabela32[[#This Row],[Km Chegada]]-Tabela32[[#This Row],[Km Saída]]</f>
        <v>9</v>
      </c>
      <c r="Q218" s="4">
        <v>20</v>
      </c>
      <c r="R218" s="4">
        <v>1</v>
      </c>
      <c r="S218" s="4">
        <v>1</v>
      </c>
      <c r="T218" s="12">
        <f>Tabela32[[#This Row],[Entregas]]-Tabela32[[#This Row],[Realizadas]]</f>
        <v>0</v>
      </c>
      <c r="U218" s="18">
        <f>Tabela32[[#This Row],[Realizadas]]/Tabela32[[#This Row],[Entregas]]</f>
        <v>1</v>
      </c>
      <c r="V218" s="19" t="str">
        <f>IF(Tabela32[[#This Row],[% Entrega]]&gt;=96%,"Atendeu a Meta","Não Atendeu a Meta")</f>
        <v>Atendeu a Meta</v>
      </c>
      <c r="W218" s="4" t="s">
        <v>43</v>
      </c>
      <c r="X218" s="4">
        <v>0</v>
      </c>
      <c r="Y218" s="5">
        <v>0</v>
      </c>
    </row>
    <row r="219" spans="1:25" x14ac:dyDescent="0.25">
      <c r="A219" s="8">
        <v>46266</v>
      </c>
      <c r="B219" s="16">
        <f>YEAR(Tabela32[[#This Row],[Data]])</f>
        <v>2026</v>
      </c>
      <c r="C219" s="16">
        <f>MONTH(Tabela32[[#This Row],[Data]])</f>
        <v>9</v>
      </c>
      <c r="D219" s="4" t="s">
        <v>22</v>
      </c>
      <c r="E219" s="4">
        <v>1</v>
      </c>
      <c r="F219" s="4" t="str">
        <f>IFERROR(VLOOKUP(Tabela32[[#This Row],[Placa]],Planilha2!$A$1:$B$12,2,0),"")</f>
        <v>Wesley</v>
      </c>
      <c r="G219" s="10">
        <v>10475.75</v>
      </c>
      <c r="H219" s="10">
        <v>260971.29</v>
      </c>
      <c r="I219" s="4">
        <v>1550</v>
      </c>
      <c r="J219" s="17">
        <f>IFERROR(Tabela32[[#This Row],[Valor Frete]]/Tabela32[[#This Row],[Valor Mercadoria]],"")</f>
        <v>4.0141388732837242E-2</v>
      </c>
      <c r="K219" s="11">
        <v>0.30208333333333331</v>
      </c>
      <c r="L219" s="15">
        <v>0.83819444444444446</v>
      </c>
      <c r="M219" s="15">
        <f>Tabela32[[#This Row],[Hr Chegada]]-Tabela32[[#This Row],[Hr Saida]]</f>
        <v>0.5361111111111112</v>
      </c>
      <c r="N219" s="4">
        <v>303777</v>
      </c>
      <c r="O219" s="4">
        <v>303898</v>
      </c>
      <c r="P219" s="4">
        <f>Tabela32[[#This Row],[Km Chegada]]-Tabela32[[#This Row],[Km Saída]]</f>
        <v>121</v>
      </c>
      <c r="Q219" s="4">
        <v>253</v>
      </c>
      <c r="R219" s="4">
        <v>25</v>
      </c>
      <c r="S219" s="4">
        <v>25</v>
      </c>
      <c r="T219" s="12">
        <f>Tabela32[[#This Row],[Entregas]]-Tabela32[[#This Row],[Realizadas]]</f>
        <v>0</v>
      </c>
      <c r="U219" s="18">
        <f>Tabela32[[#This Row],[Realizadas]]/Tabela32[[#This Row],[Entregas]]</f>
        <v>1</v>
      </c>
      <c r="V219" s="19" t="str">
        <f>IF(Tabela32[[#This Row],[% Entrega]]&gt;=96%,"Atendeu a Meta","Não Atendeu a Meta")</f>
        <v>Atendeu a Meta</v>
      </c>
      <c r="W219" s="4" t="s">
        <v>63</v>
      </c>
      <c r="X219" s="4">
        <v>0</v>
      </c>
      <c r="Y219" s="5">
        <v>0</v>
      </c>
    </row>
    <row r="220" spans="1:25" x14ac:dyDescent="0.25">
      <c r="A220" s="8">
        <v>46266</v>
      </c>
      <c r="B220" s="16">
        <f>YEAR(Tabela32[[#This Row],[Data]])</f>
        <v>2026</v>
      </c>
      <c r="C220" s="16">
        <f>MONTH(Tabela32[[#This Row],[Data]])</f>
        <v>9</v>
      </c>
      <c r="D220" s="4" t="s">
        <v>27</v>
      </c>
      <c r="E220" s="4">
        <v>1</v>
      </c>
      <c r="F220" s="4" t="str">
        <f>IFERROR(VLOOKUP(Tabela32[[#This Row],[Placa]],Planilha2!$A$1:$B$12,2,0),"")</f>
        <v>Rosinaldo</v>
      </c>
      <c r="G220" s="10">
        <v>8407.9599999999991</v>
      </c>
      <c r="H220" s="10">
        <v>267389.46000000002</v>
      </c>
      <c r="I220" s="4">
        <v>1071</v>
      </c>
      <c r="J220" s="17">
        <f>IFERROR(Tabela32[[#This Row],[Valor Frete]]/Tabela32[[#This Row],[Valor Mercadoria]],"")</f>
        <v>3.1444620143217306E-2</v>
      </c>
      <c r="K220" s="11">
        <v>0.29166666666666669</v>
      </c>
      <c r="L220" s="15">
        <v>0.74305555555555558</v>
      </c>
      <c r="M220" s="15">
        <f>Tabela32[[#This Row],[Hr Chegada]]-Tabela32[[#This Row],[Hr Saida]]</f>
        <v>0.4513888888888889</v>
      </c>
      <c r="N220" s="4">
        <v>290905</v>
      </c>
      <c r="O220" s="4">
        <v>290948</v>
      </c>
      <c r="P220" s="4">
        <f>Tabela32[[#This Row],[Km Chegada]]-Tabela32[[#This Row],[Km Saída]]</f>
        <v>43</v>
      </c>
      <c r="Q220" s="4">
        <v>21</v>
      </c>
      <c r="R220" s="4">
        <v>10</v>
      </c>
      <c r="S220" s="4">
        <v>10</v>
      </c>
      <c r="T220" s="12">
        <f>Tabela32[[#This Row],[Entregas]]-Tabela32[[#This Row],[Realizadas]]</f>
        <v>0</v>
      </c>
      <c r="U220" s="18">
        <f>Tabela32[[#This Row],[Realizadas]]/Tabela32[[#This Row],[Entregas]]</f>
        <v>1</v>
      </c>
      <c r="V220" s="19" t="str">
        <f>IF(Tabela32[[#This Row],[% Entrega]]&gt;=96%,"Atendeu a Meta","Não Atendeu a Meta")</f>
        <v>Atendeu a Meta</v>
      </c>
      <c r="W220" s="4" t="s">
        <v>40</v>
      </c>
      <c r="X220" s="4">
        <v>0</v>
      </c>
      <c r="Y220" s="5">
        <v>0</v>
      </c>
    </row>
    <row r="221" spans="1:25" x14ac:dyDescent="0.25">
      <c r="A221" s="8">
        <v>46266</v>
      </c>
      <c r="B221" s="16">
        <f>YEAR(Tabela32[[#This Row],[Data]])</f>
        <v>2026</v>
      </c>
      <c r="C221" s="16">
        <f>MONTH(Tabela32[[#This Row],[Data]])</f>
        <v>9</v>
      </c>
      <c r="D221" s="4" t="s">
        <v>31</v>
      </c>
      <c r="E221" s="4">
        <v>3</v>
      </c>
      <c r="F221" s="4" t="str">
        <f>IFERROR(VLOOKUP(Tabela32[[#This Row],[Placa]],Planilha2!$A$1:$B$12,2,0),"")</f>
        <v>Jerson</v>
      </c>
      <c r="G221" s="10">
        <v>5715.23</v>
      </c>
      <c r="H221" s="10">
        <v>88671.92</v>
      </c>
      <c r="I221" s="4">
        <v>544</v>
      </c>
      <c r="J221" s="17">
        <f>IFERROR(Tabela32[[#This Row],[Valor Frete]]/Tabela32[[#This Row],[Valor Mercadoria]],"")</f>
        <v>6.4453662444661164E-2</v>
      </c>
      <c r="K221" s="11">
        <v>0.31597222222222221</v>
      </c>
      <c r="L221" s="15">
        <v>0.70138888888888884</v>
      </c>
      <c r="M221" s="15">
        <f>Tabela32[[#This Row],[Hr Chegada]]-Tabela32[[#This Row],[Hr Saida]]</f>
        <v>0.38541666666666663</v>
      </c>
      <c r="N221" s="4">
        <v>279962</v>
      </c>
      <c r="O221" s="4">
        <v>280018</v>
      </c>
      <c r="P221" s="4">
        <f>Tabela32[[#This Row],[Km Chegada]]-Tabela32[[#This Row],[Km Saída]]</f>
        <v>56</v>
      </c>
      <c r="Q221" s="4">
        <v>114</v>
      </c>
      <c r="R221" s="4">
        <v>17</v>
      </c>
      <c r="S221" s="4">
        <v>17</v>
      </c>
      <c r="T221" s="12">
        <f>Tabela32[[#This Row],[Entregas]]-Tabela32[[#This Row],[Realizadas]]</f>
        <v>0</v>
      </c>
      <c r="U221" s="18">
        <f>Tabela32[[#This Row],[Realizadas]]/Tabela32[[#This Row],[Entregas]]</f>
        <v>1</v>
      </c>
      <c r="V221" s="19" t="str">
        <f>IF(Tabela32[[#This Row],[% Entrega]]&gt;=96%,"Atendeu a Meta","Não Atendeu a Meta")</f>
        <v>Atendeu a Meta</v>
      </c>
      <c r="W221" s="4" t="s">
        <v>39</v>
      </c>
      <c r="X221" s="4">
        <v>1</v>
      </c>
      <c r="Y221" s="5">
        <v>38</v>
      </c>
    </row>
    <row r="222" spans="1:25" x14ac:dyDescent="0.25">
      <c r="A222" s="8">
        <v>46266</v>
      </c>
      <c r="B222" s="16">
        <f>YEAR(Tabela32[[#This Row],[Data]])</f>
        <v>2026</v>
      </c>
      <c r="C222" s="16">
        <f>MONTH(Tabela32[[#This Row],[Data]])</f>
        <v>9</v>
      </c>
      <c r="D222" s="4" t="s">
        <v>29</v>
      </c>
      <c r="E222" s="4">
        <v>1</v>
      </c>
      <c r="F222" s="4" t="str">
        <f>IFERROR(VLOOKUP(Tabela32[[#This Row],[Placa]],Planilha2!$A$1:$B$12,2,0),"")</f>
        <v>Sandro</v>
      </c>
      <c r="G222" s="10">
        <v>5172.97</v>
      </c>
      <c r="H222" s="10">
        <v>73651.199999999997</v>
      </c>
      <c r="I222" s="4">
        <v>2364</v>
      </c>
      <c r="J222" s="17">
        <f>IFERROR(Tabela32[[#This Row],[Valor Frete]]/Tabela32[[#This Row],[Valor Mercadoria]],"")</f>
        <v>7.0236058611400767E-2</v>
      </c>
      <c r="K222" s="11">
        <v>0.2951388888888889</v>
      </c>
      <c r="L222" s="15">
        <v>0.71527777777777779</v>
      </c>
      <c r="M222" s="15">
        <f>Tabela32[[#This Row],[Hr Chegada]]-Tabela32[[#This Row],[Hr Saida]]</f>
        <v>0.4201388888888889</v>
      </c>
      <c r="N222" s="4">
        <v>275261</v>
      </c>
      <c r="O222" s="4">
        <v>275291</v>
      </c>
      <c r="P222" s="4">
        <f>Tabela32[[#This Row],[Km Chegada]]-Tabela32[[#This Row],[Km Saída]]</f>
        <v>30</v>
      </c>
      <c r="Q222" s="4">
        <v>548</v>
      </c>
      <c r="R222" s="4">
        <v>3</v>
      </c>
      <c r="S222" s="4">
        <v>3</v>
      </c>
      <c r="T222" s="12">
        <f>Tabela32[[#This Row],[Entregas]]-Tabela32[[#This Row],[Realizadas]]</f>
        <v>0</v>
      </c>
      <c r="U222" s="18">
        <f>Tabela32[[#This Row],[Realizadas]]/Tabela32[[#This Row],[Entregas]]</f>
        <v>1</v>
      </c>
      <c r="V222" s="19" t="str">
        <f>IF(Tabela32[[#This Row],[% Entrega]]&gt;=96%,"Atendeu a Meta","Não Atendeu a Meta")</f>
        <v>Atendeu a Meta</v>
      </c>
      <c r="W222" s="4" t="s">
        <v>40</v>
      </c>
      <c r="X222" s="4">
        <v>0</v>
      </c>
      <c r="Y222" s="5">
        <v>0</v>
      </c>
    </row>
    <row r="223" spans="1:25" x14ac:dyDescent="0.25">
      <c r="A223" s="8">
        <v>46266</v>
      </c>
      <c r="B223" s="16">
        <f>YEAR(Tabela32[[#This Row],[Data]])</f>
        <v>2026</v>
      </c>
      <c r="C223" s="16">
        <f>MONTH(Tabela32[[#This Row],[Data]])</f>
        <v>9</v>
      </c>
      <c r="D223" s="4" t="s">
        <v>25</v>
      </c>
      <c r="E223" s="4">
        <v>4</v>
      </c>
      <c r="F223" s="4" t="str">
        <f>IFERROR(VLOOKUP(Tabela32[[#This Row],[Placa]],Planilha2!$A$1:$B$12,2,0),"")</f>
        <v>Gilberto</v>
      </c>
      <c r="G223" s="10">
        <v>14619.28</v>
      </c>
      <c r="H223" s="10">
        <v>184569.31</v>
      </c>
      <c r="I223" s="4">
        <v>3034</v>
      </c>
      <c r="J223" s="17">
        <f>IFERROR(Tabela32[[#This Row],[Valor Frete]]/Tabela32[[#This Row],[Valor Mercadoria]],"")</f>
        <v>7.9207534557072357E-2</v>
      </c>
      <c r="K223" s="11">
        <v>0.29166666666666669</v>
      </c>
      <c r="L223" s="15">
        <v>0.70138888888888884</v>
      </c>
      <c r="M223" s="15">
        <f>Tabela32[[#This Row],[Hr Chegada]]-Tabela32[[#This Row],[Hr Saida]]</f>
        <v>0.40972222222222215</v>
      </c>
      <c r="N223" s="4">
        <v>119102</v>
      </c>
      <c r="O223" s="4">
        <v>119159</v>
      </c>
      <c r="P223" s="4">
        <f>Tabela32[[#This Row],[Km Chegada]]-Tabela32[[#This Row],[Km Saída]]</f>
        <v>57</v>
      </c>
      <c r="Q223" s="4">
        <v>280</v>
      </c>
      <c r="R223" s="4">
        <v>29</v>
      </c>
      <c r="S223" s="4">
        <v>29</v>
      </c>
      <c r="T223" s="12">
        <f>Tabela32[[#This Row],[Entregas]]-Tabela32[[#This Row],[Realizadas]]</f>
        <v>0</v>
      </c>
      <c r="U223" s="18">
        <f>Tabela32[[#This Row],[Realizadas]]/Tabela32[[#This Row],[Entregas]]</f>
        <v>1</v>
      </c>
      <c r="V223" s="19" t="str">
        <f>IF(Tabela32[[#This Row],[% Entrega]]&gt;=96%,"Atendeu a Meta","Não Atendeu a Meta")</f>
        <v>Atendeu a Meta</v>
      </c>
      <c r="W223" s="4" t="s">
        <v>39</v>
      </c>
      <c r="X223" s="4">
        <v>0</v>
      </c>
      <c r="Y223" s="5">
        <v>0</v>
      </c>
    </row>
    <row r="224" spans="1:25" x14ac:dyDescent="0.25">
      <c r="A224" s="8">
        <v>46267</v>
      </c>
      <c r="B224" s="16">
        <f>YEAR(Tabela32[[#This Row],[Data]])</f>
        <v>2026</v>
      </c>
      <c r="C224" s="16">
        <f>MONTH(Tabela32[[#This Row],[Data]])</f>
        <v>9</v>
      </c>
      <c r="D224" s="4" t="s">
        <v>25</v>
      </c>
      <c r="E224" s="4">
        <v>2</v>
      </c>
      <c r="F224" s="4" t="str">
        <f>IFERROR(VLOOKUP(Tabela32[[#This Row],[Placa]],Planilha2!$A$1:$B$12,2,0),"")</f>
        <v>Gilberto</v>
      </c>
      <c r="G224" s="10">
        <v>11956.81</v>
      </c>
      <c r="H224" s="10">
        <v>188606.24</v>
      </c>
      <c r="I224" s="4">
        <v>1857</v>
      </c>
      <c r="J224" s="17">
        <f>IFERROR(Tabela32[[#This Row],[Valor Frete]]/Tabela32[[#This Row],[Valor Mercadoria]],"")</f>
        <v>6.3395622541438712E-2</v>
      </c>
      <c r="K224" s="11">
        <v>0.2986111111111111</v>
      </c>
      <c r="L224" s="15">
        <v>0.72222222222222221</v>
      </c>
      <c r="M224" s="15">
        <f>Tabela32[[#This Row],[Hr Chegada]]-Tabela32[[#This Row],[Hr Saida]]</f>
        <v>0.4236111111111111</v>
      </c>
      <c r="N224" s="4">
        <v>119159</v>
      </c>
      <c r="O224" s="4">
        <v>119218</v>
      </c>
      <c r="P224" s="4">
        <f>Tabela32[[#This Row],[Km Chegada]]-Tabela32[[#This Row],[Km Saída]]</f>
        <v>59</v>
      </c>
      <c r="Q224" s="4">
        <v>293</v>
      </c>
      <c r="R224" s="4">
        <v>45</v>
      </c>
      <c r="S224" s="4">
        <v>45</v>
      </c>
      <c r="T224" s="12">
        <f>Tabela32[[#This Row],[Entregas]]-Tabela32[[#This Row],[Realizadas]]</f>
        <v>0</v>
      </c>
      <c r="U224" s="18">
        <f>Tabela32[[#This Row],[Realizadas]]/Tabela32[[#This Row],[Entregas]]</f>
        <v>1</v>
      </c>
      <c r="V224" s="19" t="str">
        <f>IF(Tabela32[[#This Row],[% Entrega]]&gt;=96%,"Atendeu a Meta","Não Atendeu a Meta")</f>
        <v>Atendeu a Meta</v>
      </c>
      <c r="W224" s="4" t="s">
        <v>39</v>
      </c>
      <c r="X224" s="4">
        <v>0</v>
      </c>
      <c r="Y224" s="5">
        <v>0</v>
      </c>
    </row>
    <row r="225" spans="1:25" x14ac:dyDescent="0.25">
      <c r="A225" s="8">
        <v>46267</v>
      </c>
      <c r="B225" s="16">
        <f>YEAR(Tabela32[[#This Row],[Data]])</f>
        <v>2026</v>
      </c>
      <c r="C225" s="16">
        <f>MONTH(Tabela32[[#This Row],[Data]])</f>
        <v>9</v>
      </c>
      <c r="D225" s="4" t="s">
        <v>35</v>
      </c>
      <c r="E225" s="4">
        <v>11</v>
      </c>
      <c r="F225" s="4" t="str">
        <f>IFERROR(VLOOKUP(Tabela32[[#This Row],[Placa]],Planilha2!$A$1:$B$12,2,0),"")</f>
        <v>Osvaldo</v>
      </c>
      <c r="G225" s="10">
        <v>12929.96</v>
      </c>
      <c r="H225" s="10">
        <v>196157.74</v>
      </c>
      <c r="I225" s="4">
        <v>2212</v>
      </c>
      <c r="J225" s="17">
        <f>IFERROR(Tabela32[[#This Row],[Valor Frete]]/Tabela32[[#This Row],[Valor Mercadoria]],"")</f>
        <v>6.5916134637358681E-2</v>
      </c>
      <c r="K225" s="11">
        <v>0.27083333333333331</v>
      </c>
      <c r="L225" s="15">
        <v>0.72222222222222221</v>
      </c>
      <c r="M225" s="15">
        <f>Tabela32[[#This Row],[Hr Chegada]]-Tabela32[[#This Row],[Hr Saida]]</f>
        <v>0.4513888888888889</v>
      </c>
      <c r="N225" s="4">
        <v>142526</v>
      </c>
      <c r="O225" s="4">
        <v>142664</v>
      </c>
      <c r="P225" s="4">
        <f>Tabela32[[#This Row],[Km Chegada]]-Tabela32[[#This Row],[Km Saída]]</f>
        <v>138</v>
      </c>
      <c r="Q225" s="4">
        <v>371</v>
      </c>
      <c r="R225" s="4">
        <v>29</v>
      </c>
      <c r="S225" s="4">
        <v>29</v>
      </c>
      <c r="T225" s="12">
        <f>Tabela32[[#This Row],[Entregas]]-Tabela32[[#This Row],[Realizadas]]</f>
        <v>0</v>
      </c>
      <c r="U225" s="18">
        <f>Tabela32[[#This Row],[Realizadas]]/Tabela32[[#This Row],[Entregas]]</f>
        <v>1</v>
      </c>
      <c r="V225" s="19" t="str">
        <f>IF(Tabela32[[#This Row],[% Entrega]]&gt;=96%,"Atendeu a Meta","Não Atendeu a Meta")</f>
        <v>Atendeu a Meta</v>
      </c>
      <c r="W225" s="4" t="s">
        <v>41</v>
      </c>
      <c r="X225" s="4">
        <v>0</v>
      </c>
      <c r="Y225" s="5">
        <v>0</v>
      </c>
    </row>
    <row r="226" spans="1:25" x14ac:dyDescent="0.25">
      <c r="A226" s="8">
        <v>46267</v>
      </c>
      <c r="B226" s="16">
        <f>YEAR(Tabela32[[#This Row],[Data]])</f>
        <v>2026</v>
      </c>
      <c r="C226" s="16">
        <f>MONTH(Tabela32[[#This Row],[Data]])</f>
        <v>9</v>
      </c>
      <c r="D226" s="4" t="s">
        <v>28</v>
      </c>
      <c r="E226" s="4">
        <v>5</v>
      </c>
      <c r="F226" s="4" t="str">
        <f>IFERROR(VLOOKUP(Tabela32[[#This Row],[Placa]],Planilha2!$A$1:$B$12,2,0),"")</f>
        <v>Edilson</v>
      </c>
      <c r="G226" s="10">
        <v>6644.17</v>
      </c>
      <c r="H226" s="10">
        <v>127234.81</v>
      </c>
      <c r="I226" s="4">
        <v>1206</v>
      </c>
      <c r="J226" s="17">
        <f>IFERROR(Tabela32[[#This Row],[Valor Frete]]/Tabela32[[#This Row],[Valor Mercadoria]],"")</f>
        <v>5.2219750239733922E-2</v>
      </c>
      <c r="K226" s="11">
        <v>0.27638888888888891</v>
      </c>
      <c r="L226" s="15">
        <v>0.71180555555555558</v>
      </c>
      <c r="M226" s="15">
        <f>Tabela32[[#This Row],[Hr Chegada]]-Tabela32[[#This Row],[Hr Saida]]</f>
        <v>0.43541666666666667</v>
      </c>
      <c r="N226" s="4">
        <v>104737</v>
      </c>
      <c r="O226" s="4">
        <v>104767</v>
      </c>
      <c r="P226" s="4">
        <f>Tabela32[[#This Row],[Km Chegada]]-Tabela32[[#This Row],[Km Saída]]</f>
        <v>30</v>
      </c>
      <c r="Q226" s="4">
        <v>258</v>
      </c>
      <c r="R226" s="4">
        <v>7</v>
      </c>
      <c r="S226" s="4">
        <v>7</v>
      </c>
      <c r="T226" s="12">
        <f>Tabela32[[#This Row],[Entregas]]-Tabela32[[#This Row],[Realizadas]]</f>
        <v>0</v>
      </c>
      <c r="U226" s="18">
        <f>Tabela32[[#This Row],[Realizadas]]/Tabela32[[#This Row],[Entregas]]</f>
        <v>1</v>
      </c>
      <c r="V226" s="19" t="str">
        <f>IF(Tabela32[[#This Row],[% Entrega]]&gt;=96%,"Atendeu a Meta","Não Atendeu a Meta")</f>
        <v>Atendeu a Meta</v>
      </c>
      <c r="W226" s="4" t="s">
        <v>39</v>
      </c>
      <c r="X226" s="4">
        <v>0</v>
      </c>
      <c r="Y226" s="5">
        <v>0</v>
      </c>
    </row>
    <row r="227" spans="1:25" x14ac:dyDescent="0.25">
      <c r="A227" s="8">
        <v>46267</v>
      </c>
      <c r="B227" s="16">
        <f>YEAR(Tabela32[[#This Row],[Data]])</f>
        <v>2026</v>
      </c>
      <c r="C227" s="16">
        <f>MONTH(Tabela32[[#This Row],[Data]])</f>
        <v>9</v>
      </c>
      <c r="D227" s="4" t="s">
        <v>33</v>
      </c>
      <c r="E227" s="4">
        <v>1</v>
      </c>
      <c r="F227" s="4" t="str">
        <f>IFERROR(VLOOKUP(Tabela32[[#This Row],[Placa]],Planilha2!$A$1:$B$12,2,0),"")</f>
        <v>Paulo</v>
      </c>
      <c r="G227" s="10">
        <v>842.93</v>
      </c>
      <c r="H227" s="10">
        <v>29652.35</v>
      </c>
      <c r="I227" s="4">
        <v>62</v>
      </c>
      <c r="J227" s="17">
        <f>IFERROR(Tabela32[[#This Row],[Valor Frete]]/Tabela32[[#This Row],[Valor Mercadoria]],"")</f>
        <v>2.8427089252622474E-2</v>
      </c>
      <c r="K227" s="11">
        <v>0.29305555555555557</v>
      </c>
      <c r="L227" s="15">
        <v>0.78611111111111109</v>
      </c>
      <c r="M227" s="15">
        <f>Tabela32[[#This Row],[Hr Chegada]]-Tabela32[[#This Row],[Hr Saida]]</f>
        <v>0.49305555555555552</v>
      </c>
      <c r="N227" s="4">
        <v>154854</v>
      </c>
      <c r="O227" s="4">
        <v>154891</v>
      </c>
      <c r="P227" s="4">
        <f>Tabela32[[#This Row],[Km Chegada]]-Tabela32[[#This Row],[Km Saída]]</f>
        <v>37</v>
      </c>
      <c r="Q227" s="4">
        <v>19</v>
      </c>
      <c r="R227" s="4">
        <v>1</v>
      </c>
      <c r="S227" s="4">
        <v>1</v>
      </c>
      <c r="T227" s="12">
        <f>Tabela32[[#This Row],[Entregas]]-Tabela32[[#This Row],[Realizadas]]</f>
        <v>0</v>
      </c>
      <c r="U227" s="18">
        <f>Tabela32[[#This Row],[Realizadas]]/Tabela32[[#This Row],[Entregas]]</f>
        <v>1</v>
      </c>
      <c r="V227" s="19" t="str">
        <f>IF(Tabela32[[#This Row],[% Entrega]]&gt;=96%,"Atendeu a Meta","Não Atendeu a Meta")</f>
        <v>Atendeu a Meta</v>
      </c>
      <c r="W227" s="4" t="s">
        <v>64</v>
      </c>
      <c r="X227" s="4">
        <v>0</v>
      </c>
      <c r="Y227" s="5">
        <v>0</v>
      </c>
    </row>
    <row r="228" spans="1:25" x14ac:dyDescent="0.25">
      <c r="A228" s="8">
        <v>46267</v>
      </c>
      <c r="B228" s="16">
        <f>YEAR(Tabela32[[#This Row],[Data]])</f>
        <v>2026</v>
      </c>
      <c r="C228" s="16">
        <f>MONTH(Tabela32[[#This Row],[Data]])</f>
        <v>9</v>
      </c>
      <c r="D228" s="4" t="s">
        <v>29</v>
      </c>
      <c r="E228" s="4">
        <v>1</v>
      </c>
      <c r="F228" s="4" t="str">
        <f>IFERROR(VLOOKUP(Tabela32[[#This Row],[Placa]],Planilha2!$A$1:$B$12,2,0),"")</f>
        <v>Sandro</v>
      </c>
      <c r="G228" s="10">
        <v>15120.59</v>
      </c>
      <c r="H228" s="10">
        <v>107062.53</v>
      </c>
      <c r="I228" s="4">
        <v>1351</v>
      </c>
      <c r="J228" s="17">
        <f>IFERROR(Tabela32[[#This Row],[Valor Frete]]/Tabela32[[#This Row],[Valor Mercadoria]],"")</f>
        <v>0.14123139066487594</v>
      </c>
      <c r="K228" s="11">
        <v>0.29166666666666669</v>
      </c>
      <c r="L228" s="15">
        <v>0.78402777777777777</v>
      </c>
      <c r="M228" s="15">
        <f>Tabela32[[#This Row],[Hr Chegada]]-Tabela32[[#This Row],[Hr Saida]]</f>
        <v>0.49236111111111108</v>
      </c>
      <c r="N228" s="4">
        <v>275291</v>
      </c>
      <c r="O228" s="4">
        <v>275378</v>
      </c>
      <c r="P228" s="4">
        <f>Tabela32[[#This Row],[Km Chegada]]-Tabela32[[#This Row],[Km Saída]]</f>
        <v>87</v>
      </c>
      <c r="Q228" s="4">
        <v>573</v>
      </c>
      <c r="R228" s="4">
        <v>2</v>
      </c>
      <c r="S228" s="4">
        <v>2</v>
      </c>
      <c r="T228" s="12">
        <f>Tabela32[[#This Row],[Entregas]]-Tabela32[[#This Row],[Realizadas]]</f>
        <v>0</v>
      </c>
      <c r="U228" s="18">
        <f>Tabela32[[#This Row],[Realizadas]]/Tabela32[[#This Row],[Entregas]]</f>
        <v>1</v>
      </c>
      <c r="V228" s="19" t="str">
        <f>IF(Tabela32[[#This Row],[% Entrega]]&gt;=96%,"Atendeu a Meta","Não Atendeu a Meta")</f>
        <v>Atendeu a Meta</v>
      </c>
      <c r="W228" s="4" t="s">
        <v>64</v>
      </c>
      <c r="X228" s="4">
        <v>0</v>
      </c>
      <c r="Y228" s="5">
        <v>0</v>
      </c>
    </row>
    <row r="229" spans="1:25" x14ac:dyDescent="0.25">
      <c r="A229" s="8">
        <v>46267</v>
      </c>
      <c r="B229" s="16">
        <f>YEAR(Tabela32[[#This Row],[Data]])</f>
        <v>2026</v>
      </c>
      <c r="C229" s="16">
        <f>MONTH(Tabela32[[#This Row],[Data]])</f>
        <v>9</v>
      </c>
      <c r="D229" s="4" t="s">
        <v>23</v>
      </c>
      <c r="E229" s="4">
        <v>5</v>
      </c>
      <c r="F229" s="4" t="str">
        <f>IFERROR(VLOOKUP(Tabela32[[#This Row],[Placa]],Planilha2!$A$1:$B$12,2,0),"")</f>
        <v>William</v>
      </c>
      <c r="G229" s="10">
        <v>13060.73</v>
      </c>
      <c r="H229" s="10">
        <v>274114.09000000003</v>
      </c>
      <c r="I229" s="4">
        <v>2366</v>
      </c>
      <c r="J229" s="17">
        <f>IFERROR(Tabela32[[#This Row],[Valor Frete]]/Tabela32[[#This Row],[Valor Mercadoria]],"")</f>
        <v>4.7647058201203733E-2</v>
      </c>
      <c r="K229" s="11">
        <v>0.29166666666666669</v>
      </c>
      <c r="L229" s="15">
        <v>0.8208333333333333</v>
      </c>
      <c r="M229" s="15">
        <f>Tabela32[[#This Row],[Hr Chegada]]-Tabela32[[#This Row],[Hr Saida]]</f>
        <v>0.52916666666666656</v>
      </c>
      <c r="N229" s="4">
        <v>124660</v>
      </c>
      <c r="O229" s="4">
        <v>124753</v>
      </c>
      <c r="P229" s="4">
        <f>Tabela32[[#This Row],[Km Chegada]]-Tabela32[[#This Row],[Km Saída]]</f>
        <v>93</v>
      </c>
      <c r="Q229" s="4">
        <v>527</v>
      </c>
      <c r="R229" s="4">
        <v>33</v>
      </c>
      <c r="S229" s="4">
        <v>32</v>
      </c>
      <c r="T229" s="12">
        <f>Tabela32[[#This Row],[Entregas]]-Tabela32[[#This Row],[Realizadas]]</f>
        <v>1</v>
      </c>
      <c r="U229" s="18">
        <f>Tabela32[[#This Row],[Realizadas]]/Tabela32[[#This Row],[Entregas]]</f>
        <v>0.96969696969696972</v>
      </c>
      <c r="V229" s="19" t="str">
        <f>IF(Tabela32[[#This Row],[% Entrega]]&gt;=96%,"Atendeu a Meta","Não Atendeu a Meta")</f>
        <v>Atendeu a Meta</v>
      </c>
      <c r="W229" s="4" t="s">
        <v>39</v>
      </c>
      <c r="X229" s="4">
        <v>1</v>
      </c>
      <c r="Y229" s="5">
        <v>13</v>
      </c>
    </row>
    <row r="230" spans="1:25" x14ac:dyDescent="0.25">
      <c r="A230" s="8">
        <v>46267</v>
      </c>
      <c r="B230" s="16">
        <f>YEAR(Tabela32[[#This Row],[Data]])</f>
        <v>2026</v>
      </c>
      <c r="C230" s="16">
        <f>MONTH(Tabela32[[#This Row],[Data]])</f>
        <v>9</v>
      </c>
      <c r="D230" s="4" t="s">
        <v>31</v>
      </c>
      <c r="E230" s="4">
        <v>1</v>
      </c>
      <c r="F230" s="4" t="str">
        <f>IFERROR(VLOOKUP(Tabela32[[#This Row],[Placa]],Planilha2!$A$1:$B$12,2,0),"")</f>
        <v>Jerson</v>
      </c>
      <c r="G230" s="10">
        <v>9382.2999999999993</v>
      </c>
      <c r="H230" s="10">
        <v>127468.07</v>
      </c>
      <c r="I230" s="4">
        <v>1627</v>
      </c>
      <c r="J230" s="17">
        <f>IFERROR(Tabela32[[#This Row],[Valor Frete]]/Tabela32[[#This Row],[Valor Mercadoria]],"")</f>
        <v>7.3605099692809331E-2</v>
      </c>
      <c r="K230" s="11">
        <v>0.30208333333333331</v>
      </c>
      <c r="L230" s="15">
        <v>0.52430555555555558</v>
      </c>
      <c r="M230" s="15">
        <f>Tabela32[[#This Row],[Hr Chegada]]-Tabela32[[#This Row],[Hr Saida]]</f>
        <v>0.22222222222222227</v>
      </c>
      <c r="N230" s="4">
        <v>280018</v>
      </c>
      <c r="O230" s="4">
        <v>280060</v>
      </c>
      <c r="P230" s="4">
        <f>Tabela32[[#This Row],[Km Chegada]]-Tabela32[[#This Row],[Km Saída]]</f>
        <v>42</v>
      </c>
      <c r="Q230" s="4">
        <v>166</v>
      </c>
      <c r="R230" s="4">
        <v>13</v>
      </c>
      <c r="S230" s="4">
        <v>13</v>
      </c>
      <c r="T230" s="12">
        <f>Tabela32[[#This Row],[Entregas]]-Tabela32[[#This Row],[Realizadas]]</f>
        <v>0</v>
      </c>
      <c r="U230" s="18">
        <f>Tabela32[[#This Row],[Realizadas]]/Tabela32[[#This Row],[Entregas]]</f>
        <v>1</v>
      </c>
      <c r="V230" s="19" t="str">
        <f>IF(Tabela32[[#This Row],[% Entrega]]&gt;=96%,"Atendeu a Meta","Não Atendeu a Meta")</f>
        <v>Atendeu a Meta</v>
      </c>
      <c r="W230" s="4" t="s">
        <v>39</v>
      </c>
      <c r="X230" s="4">
        <v>0</v>
      </c>
      <c r="Y230" s="5">
        <v>0</v>
      </c>
    </row>
    <row r="231" spans="1:25" x14ac:dyDescent="0.25">
      <c r="A231" s="8">
        <v>46267</v>
      </c>
      <c r="B231" s="16">
        <f>YEAR(Tabela32[[#This Row],[Data]])</f>
        <v>2026</v>
      </c>
      <c r="C231" s="16">
        <f>MONTH(Tabela32[[#This Row],[Data]])</f>
        <v>9</v>
      </c>
      <c r="D231" s="4" t="s">
        <v>31</v>
      </c>
      <c r="E231" s="4">
        <v>1</v>
      </c>
      <c r="F231" s="4" t="str">
        <f>IFERROR(VLOOKUP(Tabela32[[#This Row],[Placa]],Planilha2!$A$1:$B$12,2,0),"")</f>
        <v>Jerson</v>
      </c>
      <c r="G231" s="10">
        <v>6934.2</v>
      </c>
      <c r="H231" s="10">
        <v>152491.51999999999</v>
      </c>
      <c r="I231" s="4">
        <v>1956</v>
      </c>
      <c r="J231" s="17">
        <f>IFERROR(Tabela32[[#This Row],[Valor Frete]]/Tabela32[[#This Row],[Valor Mercadoria]],"")</f>
        <v>4.5472692514311616E-2</v>
      </c>
      <c r="K231" s="11">
        <v>0.59027777777777779</v>
      </c>
      <c r="L231" s="15">
        <v>0.83333333333333337</v>
      </c>
      <c r="M231" s="15">
        <f>Tabela32[[#This Row],[Hr Chegada]]-Tabela32[[#This Row],[Hr Saida]]</f>
        <v>0.24305555555555558</v>
      </c>
      <c r="N231" s="4">
        <v>280060</v>
      </c>
      <c r="O231" s="4">
        <v>280095</v>
      </c>
      <c r="P231" s="4">
        <f>Tabela32[[#This Row],[Km Chegada]]-Tabela32[[#This Row],[Km Saída]]</f>
        <v>35</v>
      </c>
      <c r="Q231" s="4">
        <v>211</v>
      </c>
      <c r="R231" s="4">
        <v>7</v>
      </c>
      <c r="S231" s="4">
        <v>7</v>
      </c>
      <c r="T231" s="12">
        <f>Tabela32[[#This Row],[Entregas]]-Tabela32[[#This Row],[Realizadas]]</f>
        <v>0</v>
      </c>
      <c r="U231" s="18">
        <f>Tabela32[[#This Row],[Realizadas]]/Tabela32[[#This Row],[Entregas]]</f>
        <v>1</v>
      </c>
      <c r="V231" s="19" t="str">
        <f>IF(Tabela32[[#This Row],[% Entrega]]&gt;=96%,"Atendeu a Meta","Não Atendeu a Meta")</f>
        <v>Atendeu a Meta</v>
      </c>
      <c r="W231" s="4" t="s">
        <v>43</v>
      </c>
      <c r="X231" s="4">
        <v>0</v>
      </c>
      <c r="Y231" s="5">
        <v>0</v>
      </c>
    </row>
    <row r="232" spans="1:25" x14ac:dyDescent="0.25">
      <c r="A232" s="8">
        <v>46267</v>
      </c>
      <c r="B232" s="16">
        <f>YEAR(Tabela32[[#This Row],[Data]])</f>
        <v>2026</v>
      </c>
      <c r="C232" s="16">
        <f>MONTH(Tabela32[[#This Row],[Data]])</f>
        <v>9</v>
      </c>
      <c r="D232" s="4" t="s">
        <v>27</v>
      </c>
      <c r="E232" s="4">
        <v>2</v>
      </c>
      <c r="F232" s="4" t="str">
        <f>IFERROR(VLOOKUP(Tabela32[[#This Row],[Placa]],Planilha2!$A$1:$B$12,2,0),"")</f>
        <v>Rosinaldo</v>
      </c>
      <c r="G232" s="10">
        <v>12262.11</v>
      </c>
      <c r="H232" s="10">
        <v>213653.1</v>
      </c>
      <c r="I232" s="4">
        <v>2491</v>
      </c>
      <c r="J232" s="17">
        <f>IFERROR(Tabela32[[#This Row],[Valor Frete]]/Tabela32[[#This Row],[Valor Mercadoria]],"")</f>
        <v>5.7392614476457396E-2</v>
      </c>
      <c r="K232" s="11">
        <v>0.29166666666666669</v>
      </c>
      <c r="L232" s="15">
        <v>0.76458333333333328</v>
      </c>
      <c r="M232" s="15">
        <f>Tabela32[[#This Row],[Hr Chegada]]-Tabela32[[#This Row],[Hr Saida]]</f>
        <v>0.4729166666666666</v>
      </c>
      <c r="N232" s="4">
        <v>290948</v>
      </c>
      <c r="O232" s="4">
        <v>291032</v>
      </c>
      <c r="P232" s="4">
        <f>Tabela32[[#This Row],[Km Chegada]]-Tabela32[[#This Row],[Km Saída]]</f>
        <v>84</v>
      </c>
      <c r="Q232" s="4">
        <v>258</v>
      </c>
      <c r="R232" s="4">
        <v>12</v>
      </c>
      <c r="S232" s="4">
        <v>12</v>
      </c>
      <c r="T232" s="12">
        <f>Tabela32[[#This Row],[Entregas]]-Tabela32[[#This Row],[Realizadas]]</f>
        <v>0</v>
      </c>
      <c r="U232" s="18">
        <f>Tabela32[[#This Row],[Realizadas]]/Tabela32[[#This Row],[Entregas]]</f>
        <v>1</v>
      </c>
      <c r="V232" s="19" t="str">
        <f>IF(Tabela32[[#This Row],[% Entrega]]&gt;=96%,"Atendeu a Meta","Não Atendeu a Meta")</f>
        <v>Atendeu a Meta</v>
      </c>
      <c r="W232" s="4" t="s">
        <v>39</v>
      </c>
      <c r="X232" s="4">
        <v>1</v>
      </c>
      <c r="Y232" s="5">
        <v>38</v>
      </c>
    </row>
    <row r="233" spans="1:25" x14ac:dyDescent="0.25">
      <c r="A233" s="8">
        <v>46267</v>
      </c>
      <c r="B233" s="16">
        <f>YEAR(Tabela32[[#This Row],[Data]])</f>
        <v>2026</v>
      </c>
      <c r="C233" s="16">
        <f>MONTH(Tabela32[[#This Row],[Data]])</f>
        <v>9</v>
      </c>
      <c r="D233" s="4" t="s">
        <v>22</v>
      </c>
      <c r="E233" s="4">
        <v>1</v>
      </c>
      <c r="F233" s="4" t="str">
        <f>IFERROR(VLOOKUP(Tabela32[[#This Row],[Placa]],Planilha2!$A$1:$B$12,2,0),"")</f>
        <v>Wesley</v>
      </c>
      <c r="G233" s="10">
        <v>10367.19</v>
      </c>
      <c r="H233" s="10">
        <v>161135.26999999999</v>
      </c>
      <c r="I233" s="4">
        <v>1532</v>
      </c>
      <c r="J233" s="17">
        <f>IFERROR(Tabela32[[#This Row],[Valor Frete]]/Tabela32[[#This Row],[Valor Mercadoria]],"")</f>
        <v>6.4338428203831483E-2</v>
      </c>
      <c r="K233" s="11">
        <v>0.2986111111111111</v>
      </c>
      <c r="L233" s="15">
        <v>0.80694444444444446</v>
      </c>
      <c r="M233" s="15">
        <f>Tabela32[[#This Row],[Hr Chegada]]-Tabela32[[#This Row],[Hr Saida]]</f>
        <v>0.5083333333333333</v>
      </c>
      <c r="N233" s="4">
        <v>303898</v>
      </c>
      <c r="O233" s="4">
        <v>304009</v>
      </c>
      <c r="P233" s="4">
        <f>Tabela32[[#This Row],[Km Chegada]]-Tabela32[[#This Row],[Km Saída]]</f>
        <v>111</v>
      </c>
      <c r="Q233" s="4">
        <v>222</v>
      </c>
      <c r="R233" s="4">
        <v>26</v>
      </c>
      <c r="S233" s="4">
        <v>26</v>
      </c>
      <c r="T233" s="12">
        <f>Tabela32[[#This Row],[Entregas]]-Tabela32[[#This Row],[Realizadas]]</f>
        <v>0</v>
      </c>
      <c r="U233" s="18">
        <f>Tabela32[[#This Row],[Realizadas]]/Tabela32[[#This Row],[Entregas]]</f>
        <v>1</v>
      </c>
      <c r="V233" s="19" t="str">
        <f>IF(Tabela32[[#This Row],[% Entrega]]&gt;=96%,"Atendeu a Meta","Não Atendeu a Meta")</f>
        <v>Atendeu a Meta</v>
      </c>
      <c r="W233" s="4" t="s">
        <v>43</v>
      </c>
      <c r="X233" s="4">
        <v>0</v>
      </c>
      <c r="Y233" s="5">
        <v>0</v>
      </c>
    </row>
    <row r="234" spans="1:25" x14ac:dyDescent="0.25">
      <c r="A234" s="8">
        <v>46268</v>
      </c>
      <c r="B234" s="16">
        <f>YEAR(Tabela32[[#This Row],[Data]])</f>
        <v>2026</v>
      </c>
      <c r="C234" s="16">
        <f>MONTH(Tabela32[[#This Row],[Data]])</f>
        <v>9</v>
      </c>
      <c r="D234" s="4" t="s">
        <v>33</v>
      </c>
      <c r="E234" s="4">
        <v>1</v>
      </c>
      <c r="F234" s="4" t="str">
        <f>IFERROR(VLOOKUP(Tabela32[[#This Row],[Placa]],Planilha2!$A$1:$B$12,2,0),"")</f>
        <v>Paulo</v>
      </c>
      <c r="G234" s="10">
        <v>4151.6400000000003</v>
      </c>
      <c r="H234" s="10">
        <v>44278.43</v>
      </c>
      <c r="I234" s="4">
        <v>553</v>
      </c>
      <c r="J234" s="17">
        <f>IFERROR(Tabela32[[#This Row],[Valor Frete]]/Tabela32[[#This Row],[Valor Mercadoria]],"")</f>
        <v>9.376213203584681E-2</v>
      </c>
      <c r="K234" s="11">
        <v>0.29583333333333334</v>
      </c>
      <c r="L234" s="15">
        <v>0.69444444444444442</v>
      </c>
      <c r="M234" s="15">
        <f>Tabela32[[#This Row],[Hr Chegada]]-Tabela32[[#This Row],[Hr Saida]]</f>
        <v>0.39861111111111108</v>
      </c>
      <c r="N234" s="4">
        <v>154891</v>
      </c>
      <c r="O234" s="4">
        <v>154949</v>
      </c>
      <c r="P234" s="4">
        <f>Tabela32[[#This Row],[Km Chegada]]-Tabela32[[#This Row],[Km Saída]]</f>
        <v>58</v>
      </c>
      <c r="Q234" s="4">
        <v>121</v>
      </c>
      <c r="R234" s="4">
        <v>15</v>
      </c>
      <c r="S234" s="4">
        <v>15</v>
      </c>
      <c r="T234" s="12">
        <f>Tabela32[[#This Row],[Entregas]]-Tabela32[[#This Row],[Realizadas]]</f>
        <v>0</v>
      </c>
      <c r="U234" s="18">
        <f>Tabela32[[#This Row],[Realizadas]]/Tabela32[[#This Row],[Entregas]]</f>
        <v>1</v>
      </c>
      <c r="V234" s="19" t="str">
        <f>IF(Tabela32[[#This Row],[% Entrega]]&gt;=96%,"Atendeu a Meta","Não Atendeu a Meta")</f>
        <v>Atendeu a Meta</v>
      </c>
      <c r="W234" s="4" t="s">
        <v>43</v>
      </c>
      <c r="X234" s="4">
        <v>1</v>
      </c>
      <c r="Y234" s="5">
        <v>9</v>
      </c>
    </row>
    <row r="235" spans="1:25" x14ac:dyDescent="0.25">
      <c r="A235" s="8">
        <v>46268</v>
      </c>
      <c r="B235" s="16">
        <f>YEAR(Tabela32[[#This Row],[Data]])</f>
        <v>2026</v>
      </c>
      <c r="C235" s="16">
        <f>MONTH(Tabela32[[#This Row],[Data]])</f>
        <v>9</v>
      </c>
      <c r="D235" s="4" t="s">
        <v>28</v>
      </c>
      <c r="E235" s="4">
        <v>11</v>
      </c>
      <c r="F235" s="4" t="str">
        <f>IFERROR(VLOOKUP(Tabela32[[#This Row],[Placa]],Planilha2!$A$1:$B$12,2,0),"")</f>
        <v>Edilson</v>
      </c>
      <c r="G235" s="10">
        <v>18210.439999999999</v>
      </c>
      <c r="H235" s="10">
        <v>232635.02</v>
      </c>
      <c r="I235" s="4">
        <v>4506</v>
      </c>
      <c r="J235" s="17">
        <f>IFERROR(Tabela32[[#This Row],[Valor Frete]]/Tabela32[[#This Row],[Valor Mercadoria]],"")</f>
        <v>7.8279014053859994E-2</v>
      </c>
      <c r="K235" s="11">
        <v>0.27083333333333331</v>
      </c>
      <c r="L235" s="15">
        <v>0.73611111111111116</v>
      </c>
      <c r="M235" s="15">
        <f>Tabela32[[#This Row],[Hr Chegada]]-Tabela32[[#This Row],[Hr Saida]]</f>
        <v>0.46527777777777785</v>
      </c>
      <c r="N235" s="4">
        <v>104767</v>
      </c>
      <c r="O235" s="4">
        <v>104895</v>
      </c>
      <c r="P235" s="4">
        <f>Tabela32[[#This Row],[Km Chegada]]-Tabela32[[#This Row],[Km Saída]]</f>
        <v>128</v>
      </c>
      <c r="Q235" s="4">
        <v>771</v>
      </c>
      <c r="R235" s="4">
        <v>21</v>
      </c>
      <c r="S235" s="4">
        <v>13</v>
      </c>
      <c r="T235" s="12">
        <f>Tabela32[[#This Row],[Entregas]]-Tabela32[[#This Row],[Realizadas]]</f>
        <v>8</v>
      </c>
      <c r="U235" s="18">
        <f>Tabela32[[#This Row],[Realizadas]]/Tabela32[[#This Row],[Entregas]]</f>
        <v>0.61904761904761907</v>
      </c>
      <c r="V235" s="19" t="str">
        <f>IF(Tabela32[[#This Row],[% Entrega]]&gt;=96%,"Atendeu a Meta","Não Atendeu a Meta")</f>
        <v>Não Atendeu a Meta</v>
      </c>
      <c r="W235" s="4" t="s">
        <v>41</v>
      </c>
      <c r="X235" s="4">
        <v>8</v>
      </c>
      <c r="Y235" s="5" t="s">
        <v>74</v>
      </c>
    </row>
    <row r="236" spans="1:25" x14ac:dyDescent="0.25">
      <c r="A236" s="8">
        <v>46268</v>
      </c>
      <c r="B236" s="16">
        <f>YEAR(Tabela32[[#This Row],[Data]])</f>
        <v>2026</v>
      </c>
      <c r="C236" s="16">
        <f>MONTH(Tabela32[[#This Row],[Data]])</f>
        <v>9</v>
      </c>
      <c r="D236" s="4" t="s">
        <v>22</v>
      </c>
      <c r="E236" s="4">
        <v>1</v>
      </c>
      <c r="F236" s="4" t="str">
        <f>IFERROR(VLOOKUP(Tabela32[[#This Row],[Placa]],Planilha2!$A$1:$B$12,2,0),"")</f>
        <v>Wesley</v>
      </c>
      <c r="G236" s="10">
        <v>8185.35</v>
      </c>
      <c r="H236" s="10">
        <v>133587.75</v>
      </c>
      <c r="I236" s="4">
        <v>1616</v>
      </c>
      <c r="J236" s="17">
        <f>IFERROR(Tabela32[[#This Row],[Valor Frete]]/Tabela32[[#This Row],[Valor Mercadoria]],"")</f>
        <v>6.1273208059870764E-2</v>
      </c>
      <c r="K236" s="11">
        <v>0.29166666666666669</v>
      </c>
      <c r="L236" s="15">
        <v>0.79861111111111116</v>
      </c>
      <c r="M236" s="15">
        <f>Tabela32[[#This Row],[Hr Chegada]]-Tabela32[[#This Row],[Hr Saida]]</f>
        <v>0.50694444444444442</v>
      </c>
      <c r="N236" s="4">
        <v>304009</v>
      </c>
      <c r="O236" s="4">
        <v>304114</v>
      </c>
      <c r="P236" s="4">
        <f>Tabela32[[#This Row],[Km Chegada]]-Tabela32[[#This Row],[Km Saída]]</f>
        <v>105</v>
      </c>
      <c r="Q236" s="4">
        <v>235</v>
      </c>
      <c r="R236" s="4">
        <v>21</v>
      </c>
      <c r="S236" s="4">
        <v>21</v>
      </c>
      <c r="T236" s="12">
        <f>Tabela32[[#This Row],[Entregas]]-Tabela32[[#This Row],[Realizadas]]</f>
        <v>0</v>
      </c>
      <c r="U236" s="18">
        <f>Tabela32[[#This Row],[Realizadas]]/Tabela32[[#This Row],[Entregas]]</f>
        <v>1</v>
      </c>
      <c r="V236" s="19" t="str">
        <f>IF(Tabela32[[#This Row],[% Entrega]]&gt;=96%,"Atendeu a Meta","Não Atendeu a Meta")</f>
        <v>Atendeu a Meta</v>
      </c>
      <c r="W236" s="4" t="s">
        <v>40</v>
      </c>
      <c r="X236" s="4">
        <v>0</v>
      </c>
      <c r="Y236" s="5">
        <v>0</v>
      </c>
    </row>
    <row r="237" spans="1:25" x14ac:dyDescent="0.25">
      <c r="A237" s="8">
        <v>46268</v>
      </c>
      <c r="B237" s="16">
        <f>YEAR(Tabela32[[#This Row],[Data]])</f>
        <v>2026</v>
      </c>
      <c r="C237" s="16">
        <f>MONTH(Tabela32[[#This Row],[Data]])</f>
        <v>9</v>
      </c>
      <c r="D237" s="4" t="s">
        <v>23</v>
      </c>
      <c r="E237" s="4">
        <v>5</v>
      </c>
      <c r="F237" s="4" t="str">
        <f>IFERROR(VLOOKUP(Tabela32[[#This Row],[Placa]],Planilha2!$A$1:$B$12,2,0),"")</f>
        <v>William</v>
      </c>
      <c r="G237" s="10">
        <v>7540.74</v>
      </c>
      <c r="H237" s="10">
        <v>186752.55</v>
      </c>
      <c r="I237" s="4">
        <v>2506</v>
      </c>
      <c r="J237" s="17">
        <f>IFERROR(Tabela32[[#This Row],[Valor Frete]]/Tabela32[[#This Row],[Valor Mercadoria]],"")</f>
        <v>4.0378243831208735E-2</v>
      </c>
      <c r="K237" s="11">
        <v>0.29166666666666669</v>
      </c>
      <c r="L237" s="15">
        <v>0.70486111111111116</v>
      </c>
      <c r="M237" s="15">
        <f>Tabela32[[#This Row],[Hr Chegada]]-Tabela32[[#This Row],[Hr Saida]]</f>
        <v>0.41319444444444448</v>
      </c>
      <c r="N237" s="4">
        <v>124753</v>
      </c>
      <c r="O237" s="4">
        <v>124827</v>
      </c>
      <c r="P237" s="4">
        <f>Tabela32[[#This Row],[Km Chegada]]-Tabela32[[#This Row],[Km Saída]]</f>
        <v>74</v>
      </c>
      <c r="Q237" s="4">
        <v>425</v>
      </c>
      <c r="R237" s="4">
        <v>20</v>
      </c>
      <c r="S237" s="4">
        <v>20</v>
      </c>
      <c r="T237" s="12">
        <f>Tabela32[[#This Row],[Entregas]]-Tabela32[[#This Row],[Realizadas]]</f>
        <v>0</v>
      </c>
      <c r="U237" s="18">
        <f>Tabela32[[#This Row],[Realizadas]]/Tabela32[[#This Row],[Entregas]]</f>
        <v>1</v>
      </c>
      <c r="V237" s="19" t="str">
        <f>IF(Tabela32[[#This Row],[% Entrega]]&gt;=96%,"Atendeu a Meta","Não Atendeu a Meta")</f>
        <v>Atendeu a Meta</v>
      </c>
      <c r="W237" s="4" t="s">
        <v>39</v>
      </c>
      <c r="X237" s="4">
        <v>0</v>
      </c>
      <c r="Y237" s="5">
        <v>0</v>
      </c>
    </row>
    <row r="238" spans="1:25" x14ac:dyDescent="0.25">
      <c r="A238" s="8">
        <v>46268</v>
      </c>
      <c r="B238" s="16">
        <f>YEAR(Tabela32[[#This Row],[Data]])</f>
        <v>2026</v>
      </c>
      <c r="C238" s="16">
        <f>MONTH(Tabela32[[#This Row],[Data]])</f>
        <v>9</v>
      </c>
      <c r="D238" s="4" t="s">
        <v>29</v>
      </c>
      <c r="E238" s="4">
        <v>1</v>
      </c>
      <c r="F238" s="4" t="str">
        <f>IFERROR(VLOOKUP(Tabela32[[#This Row],[Placa]],Planilha2!$A$1:$B$12,2,0),"")</f>
        <v>Sandro</v>
      </c>
      <c r="G238" s="10">
        <v>2273.54</v>
      </c>
      <c r="H238" s="10">
        <v>101478.36</v>
      </c>
      <c r="I238" s="4">
        <v>224</v>
      </c>
      <c r="J238" s="17">
        <f>IFERROR(Tabela32[[#This Row],[Valor Frete]]/Tabela32[[#This Row],[Valor Mercadoria]],"")</f>
        <v>2.2404185483486331E-2</v>
      </c>
      <c r="K238" s="11">
        <v>0.29166666666666669</v>
      </c>
      <c r="L238" s="15">
        <v>0.75416666666666665</v>
      </c>
      <c r="M238" s="15">
        <f>Tabela32[[#This Row],[Hr Chegada]]-Tabela32[[#This Row],[Hr Saida]]</f>
        <v>0.46249999999999997</v>
      </c>
      <c r="N238" s="4">
        <v>275378</v>
      </c>
      <c r="O238" s="4">
        <v>275420</v>
      </c>
      <c r="P238" s="4">
        <f>Tabela32[[#This Row],[Km Chegada]]-Tabela32[[#This Row],[Km Saída]]</f>
        <v>42</v>
      </c>
      <c r="Q238" s="4">
        <v>91</v>
      </c>
      <c r="R238" s="4">
        <v>3</v>
      </c>
      <c r="S238" s="4">
        <v>3</v>
      </c>
      <c r="T238" s="12">
        <f>Tabela32[[#This Row],[Entregas]]-Tabela32[[#This Row],[Realizadas]]</f>
        <v>0</v>
      </c>
      <c r="U238" s="18">
        <f>Tabela32[[#This Row],[Realizadas]]/Tabela32[[#This Row],[Entregas]]</f>
        <v>1</v>
      </c>
      <c r="V238" s="19" t="str">
        <f>IF(Tabela32[[#This Row],[% Entrega]]&gt;=96%,"Atendeu a Meta","Não Atendeu a Meta")</f>
        <v>Atendeu a Meta</v>
      </c>
      <c r="W238" s="4" t="s">
        <v>40</v>
      </c>
      <c r="X238" s="4">
        <v>0</v>
      </c>
      <c r="Y238" s="5">
        <v>0</v>
      </c>
    </row>
    <row r="239" spans="1:25" x14ac:dyDescent="0.25">
      <c r="A239" s="8">
        <v>46268</v>
      </c>
      <c r="B239" s="16">
        <f>YEAR(Tabela32[[#This Row],[Data]])</f>
        <v>2026</v>
      </c>
      <c r="C239" s="16">
        <f>MONTH(Tabela32[[#This Row],[Data]])</f>
        <v>9</v>
      </c>
      <c r="D239" s="4" t="s">
        <v>35</v>
      </c>
      <c r="E239" s="4">
        <v>4</v>
      </c>
      <c r="F239" s="4" t="str">
        <f>IFERROR(VLOOKUP(Tabela32[[#This Row],[Placa]],Planilha2!$A$1:$B$12,2,0),"")</f>
        <v>Osvaldo</v>
      </c>
      <c r="G239" s="10">
        <v>6173.28</v>
      </c>
      <c r="H239" s="10">
        <v>138635.42000000001</v>
      </c>
      <c r="I239" s="4">
        <v>1804</v>
      </c>
      <c r="J239" s="17">
        <f>IFERROR(Tabela32[[#This Row],[Valor Frete]]/Tabela32[[#This Row],[Valor Mercadoria]],"")</f>
        <v>4.4528880137557916E-2</v>
      </c>
      <c r="K239" s="11">
        <v>0.33333333333333331</v>
      </c>
      <c r="L239" s="15">
        <v>0.70138888888888884</v>
      </c>
      <c r="M239" s="15">
        <f>Tabela32[[#This Row],[Hr Chegada]]-Tabela32[[#This Row],[Hr Saida]]</f>
        <v>0.36805555555555552</v>
      </c>
      <c r="N239" s="4">
        <v>142664</v>
      </c>
      <c r="O239" s="4">
        <v>142732</v>
      </c>
      <c r="P239" s="4">
        <f>Tabela32[[#This Row],[Km Chegada]]-Tabela32[[#This Row],[Km Saída]]</f>
        <v>68</v>
      </c>
      <c r="Q239" s="4">
        <v>324</v>
      </c>
      <c r="R239" s="4">
        <v>23</v>
      </c>
      <c r="S239" s="4">
        <v>23</v>
      </c>
      <c r="T239" s="12">
        <f>Tabela32[[#This Row],[Entregas]]-Tabela32[[#This Row],[Realizadas]]</f>
        <v>0</v>
      </c>
      <c r="U239" s="18">
        <f>Tabela32[[#This Row],[Realizadas]]/Tabela32[[#This Row],[Entregas]]</f>
        <v>1</v>
      </c>
      <c r="V239" s="19" t="str">
        <f>IF(Tabela32[[#This Row],[% Entrega]]&gt;=96%,"Atendeu a Meta","Não Atendeu a Meta")</f>
        <v>Atendeu a Meta</v>
      </c>
      <c r="W239" s="4" t="s">
        <v>39</v>
      </c>
      <c r="X239" s="4">
        <v>0</v>
      </c>
      <c r="Y239" s="5">
        <v>0</v>
      </c>
    </row>
    <row r="240" spans="1:25" x14ac:dyDescent="0.25">
      <c r="A240" s="8">
        <v>46268</v>
      </c>
      <c r="B240" s="16">
        <f>YEAR(Tabela32[[#This Row],[Data]])</f>
        <v>2026</v>
      </c>
      <c r="C240" s="16">
        <f>MONTH(Tabela32[[#This Row],[Data]])</f>
        <v>9</v>
      </c>
      <c r="D240" s="4" t="s">
        <v>25</v>
      </c>
      <c r="E240" s="4">
        <v>2</v>
      </c>
      <c r="F240" s="4" t="str">
        <f>IFERROR(VLOOKUP(Tabela32[[#This Row],[Placa]],Planilha2!$A$1:$B$12,2,0),"")</f>
        <v>Gilberto</v>
      </c>
      <c r="G240" s="10">
        <v>7243.93</v>
      </c>
      <c r="H240" s="10">
        <v>161351.76</v>
      </c>
      <c r="I240" s="4">
        <v>1097</v>
      </c>
      <c r="J240" s="17">
        <f>IFERROR(Tabela32[[#This Row],[Valor Frete]]/Tabela32[[#This Row],[Valor Mercadoria]],"")</f>
        <v>4.48952648548736E-2</v>
      </c>
      <c r="K240" s="11">
        <v>0.29166666666666669</v>
      </c>
      <c r="L240" s="15">
        <v>0.71527777777777779</v>
      </c>
      <c r="M240" s="15">
        <f>Tabela32[[#This Row],[Hr Chegada]]-Tabela32[[#This Row],[Hr Saida]]</f>
        <v>0.4236111111111111</v>
      </c>
      <c r="N240" s="4">
        <v>119218</v>
      </c>
      <c r="O240" s="4">
        <v>119272</v>
      </c>
      <c r="P240" s="4">
        <f>Tabela32[[#This Row],[Km Chegada]]-Tabela32[[#This Row],[Km Saída]]</f>
        <v>54</v>
      </c>
      <c r="Q240" s="4">
        <v>263</v>
      </c>
      <c r="R240" s="4">
        <v>29</v>
      </c>
      <c r="S240" s="4">
        <v>29</v>
      </c>
      <c r="T240" s="12">
        <f>Tabela32[[#This Row],[Entregas]]-Tabela32[[#This Row],[Realizadas]]</f>
        <v>0</v>
      </c>
      <c r="U240" s="18">
        <f>Tabela32[[#This Row],[Realizadas]]/Tabela32[[#This Row],[Entregas]]</f>
        <v>1</v>
      </c>
      <c r="V240" s="19" t="str">
        <f>IF(Tabela32[[#This Row],[% Entrega]]&gt;=96%,"Atendeu a Meta","Não Atendeu a Meta")</f>
        <v>Atendeu a Meta</v>
      </c>
      <c r="W240" s="4" t="s">
        <v>39</v>
      </c>
      <c r="X240" s="4">
        <v>0</v>
      </c>
      <c r="Y240" s="5">
        <v>0</v>
      </c>
    </row>
    <row r="241" spans="1:25" x14ac:dyDescent="0.25">
      <c r="A241" s="8">
        <v>46268</v>
      </c>
      <c r="B241" s="16">
        <f>YEAR(Tabela32[[#This Row],[Data]])</f>
        <v>2026</v>
      </c>
      <c r="C241" s="16">
        <f>MONTH(Tabela32[[#This Row],[Data]])</f>
        <v>9</v>
      </c>
      <c r="D241" s="4" t="s">
        <v>31</v>
      </c>
      <c r="E241" s="4">
        <v>3</v>
      </c>
      <c r="F241" s="4" t="str">
        <f>IFERROR(VLOOKUP(Tabela32[[#This Row],[Placa]],Planilha2!$A$1:$B$12,2,0),"")</f>
        <v>Jerson</v>
      </c>
      <c r="G241" s="10">
        <v>7983.97</v>
      </c>
      <c r="H241" s="10">
        <v>84635.8</v>
      </c>
      <c r="I241" s="4">
        <v>1622</v>
      </c>
      <c r="J241" s="17">
        <f>IFERROR(Tabela32[[#This Row],[Valor Frete]]/Tabela32[[#This Row],[Valor Mercadoria]],"")</f>
        <v>9.433324905063814E-2</v>
      </c>
      <c r="K241" s="11">
        <v>0.31944444444444442</v>
      </c>
      <c r="L241" s="15">
        <v>0.75624999999999998</v>
      </c>
      <c r="M241" s="15">
        <f>Tabela32[[#This Row],[Hr Chegada]]-Tabela32[[#This Row],[Hr Saida]]</f>
        <v>0.43680555555555556</v>
      </c>
      <c r="N241" s="4">
        <v>280095</v>
      </c>
      <c r="O241" s="4">
        <v>280154</v>
      </c>
      <c r="P241" s="4">
        <f>Tabela32[[#This Row],[Km Chegada]]-Tabela32[[#This Row],[Km Saída]]</f>
        <v>59</v>
      </c>
      <c r="Q241" s="4">
        <v>131</v>
      </c>
      <c r="R241" s="4">
        <v>14</v>
      </c>
      <c r="S241" s="4">
        <v>14</v>
      </c>
      <c r="T241" s="12">
        <f>Tabela32[[#This Row],[Entregas]]-Tabela32[[#This Row],[Realizadas]]</f>
        <v>0</v>
      </c>
      <c r="U241" s="18">
        <f>Tabela32[[#This Row],[Realizadas]]/Tabela32[[#This Row],[Entregas]]</f>
        <v>1</v>
      </c>
      <c r="V241" s="19" t="str">
        <f>IF(Tabela32[[#This Row],[% Entrega]]&gt;=96%,"Atendeu a Meta","Não Atendeu a Meta")</f>
        <v>Atendeu a Meta</v>
      </c>
      <c r="W241" s="4" t="s">
        <v>39</v>
      </c>
      <c r="X241" s="4">
        <v>0</v>
      </c>
      <c r="Y241" s="5">
        <v>0</v>
      </c>
    </row>
    <row r="242" spans="1:25" x14ac:dyDescent="0.25">
      <c r="A242" s="8">
        <v>46268</v>
      </c>
      <c r="B242" s="16">
        <f>YEAR(Tabela32[[#This Row],[Data]])</f>
        <v>2026</v>
      </c>
      <c r="C242" s="16">
        <f>MONTH(Tabela32[[#This Row],[Data]])</f>
        <v>9</v>
      </c>
      <c r="D242" s="4" t="s">
        <v>27</v>
      </c>
      <c r="E242" s="4">
        <v>1</v>
      </c>
      <c r="F242" s="4" t="str">
        <f>IFERROR(VLOOKUP(Tabela32[[#This Row],[Placa]],Planilha2!$A$1:$B$12,2,0),"")</f>
        <v>Rosinaldo</v>
      </c>
      <c r="G242" s="10">
        <v>3588.06</v>
      </c>
      <c r="H242" s="10">
        <v>39576.42</v>
      </c>
      <c r="I242" s="4">
        <v>326</v>
      </c>
      <c r="J242" s="17">
        <f>IFERROR(Tabela32[[#This Row],[Valor Frete]]/Tabela32[[#This Row],[Valor Mercadoria]],"")</f>
        <v>9.0661560595930613E-2</v>
      </c>
      <c r="K242" s="11">
        <v>0.29166666666666669</v>
      </c>
      <c r="L242" s="15">
        <v>0.79166666666666663</v>
      </c>
      <c r="M242" s="15">
        <f>Tabela32[[#This Row],[Hr Chegada]]-Tabela32[[#This Row],[Hr Saida]]</f>
        <v>0.49999999999999994</v>
      </c>
      <c r="N242" s="4">
        <v>291032</v>
      </c>
      <c r="O242" s="4">
        <v>291074</v>
      </c>
      <c r="P242" s="4">
        <f>Tabela32[[#This Row],[Km Chegada]]-Tabela32[[#This Row],[Km Saída]]</f>
        <v>42</v>
      </c>
      <c r="Q242" s="4">
        <v>45</v>
      </c>
      <c r="R242" s="4">
        <v>3</v>
      </c>
      <c r="S242" s="4">
        <v>3</v>
      </c>
      <c r="T242" s="12">
        <f>Tabela32[[#This Row],[Entregas]]-Tabela32[[#This Row],[Realizadas]]</f>
        <v>0</v>
      </c>
      <c r="U242" s="18">
        <f>Tabela32[[#This Row],[Realizadas]]/Tabela32[[#This Row],[Entregas]]</f>
        <v>1</v>
      </c>
      <c r="V242" s="19" t="str">
        <f>IF(Tabela32[[#This Row],[% Entrega]]&gt;=96%,"Atendeu a Meta","Não Atendeu a Meta")</f>
        <v>Atendeu a Meta</v>
      </c>
      <c r="W242" s="4" t="s">
        <v>40</v>
      </c>
      <c r="X242" s="4">
        <v>0</v>
      </c>
      <c r="Y242" s="5">
        <v>0</v>
      </c>
    </row>
    <row r="243" spans="1:25" x14ac:dyDescent="0.25">
      <c r="A243" s="8">
        <v>46269</v>
      </c>
      <c r="B243" s="16">
        <f>YEAR(Tabela32[[#This Row],[Data]])</f>
        <v>2026</v>
      </c>
      <c r="C243" s="16">
        <f>MONTH(Tabela32[[#This Row],[Data]])</f>
        <v>9</v>
      </c>
      <c r="D243" s="4" t="s">
        <v>23</v>
      </c>
      <c r="E243" s="4">
        <v>4</v>
      </c>
      <c r="F243" s="4" t="str">
        <f>IFERROR(VLOOKUP(Tabela32[[#This Row],[Placa]],Planilha2!$A$1:$B$12,2,0),"")</f>
        <v>William</v>
      </c>
      <c r="G243" s="10">
        <v>6774.06</v>
      </c>
      <c r="H243" s="10">
        <v>127133.29</v>
      </c>
      <c r="I243" s="4">
        <v>635</v>
      </c>
      <c r="J243" s="17">
        <f>IFERROR(Tabela32[[#This Row],[Valor Frete]]/Tabela32[[#This Row],[Valor Mercadoria]],"")</f>
        <v>5.3283133001592271E-2</v>
      </c>
      <c r="K243" s="11">
        <v>0.29166666666666669</v>
      </c>
      <c r="L243" s="15">
        <v>0.74652777777777779</v>
      </c>
      <c r="M243" s="15">
        <f>Tabela32[[#This Row],[Hr Chegada]]-Tabela32[[#This Row],[Hr Saida]]</f>
        <v>0.4548611111111111</v>
      </c>
      <c r="N243" s="4">
        <v>124827</v>
      </c>
      <c r="O243" s="4">
        <v>124897</v>
      </c>
      <c r="P243" s="4">
        <f>Tabela32[[#This Row],[Km Chegada]]-Tabela32[[#This Row],[Km Saída]]</f>
        <v>70</v>
      </c>
      <c r="Q243" s="4">
        <v>166</v>
      </c>
      <c r="R243" s="4">
        <v>22</v>
      </c>
      <c r="S243" s="4">
        <v>22</v>
      </c>
      <c r="T243" s="12">
        <f>Tabela32[[#This Row],[Entregas]]-Tabela32[[#This Row],[Realizadas]]</f>
        <v>0</v>
      </c>
      <c r="U243" s="18">
        <f>Tabela32[[#This Row],[Realizadas]]/Tabela32[[#This Row],[Entregas]]</f>
        <v>1</v>
      </c>
      <c r="V243" s="19" t="str">
        <f>IF(Tabela32[[#This Row],[% Entrega]]&gt;=96%,"Atendeu a Meta","Não Atendeu a Meta")</f>
        <v>Atendeu a Meta</v>
      </c>
      <c r="W243" s="4" t="s">
        <v>39</v>
      </c>
      <c r="X243" s="4">
        <v>0</v>
      </c>
      <c r="Y243" s="5">
        <v>0</v>
      </c>
    </row>
    <row r="244" spans="1:25" x14ac:dyDescent="0.25">
      <c r="A244" s="8">
        <v>46269</v>
      </c>
      <c r="B244" s="16">
        <f>YEAR(Tabela32[[#This Row],[Data]])</f>
        <v>2026</v>
      </c>
      <c r="C244" s="16">
        <f>MONTH(Tabela32[[#This Row],[Data]])</f>
        <v>9</v>
      </c>
      <c r="D244" s="4" t="s">
        <v>29</v>
      </c>
      <c r="E244" s="4">
        <v>1</v>
      </c>
      <c r="F244" s="4" t="str">
        <f>IFERROR(VLOOKUP(Tabela32[[#This Row],[Placa]],Planilha2!$A$1:$B$12,2,0),"")</f>
        <v>Sandro</v>
      </c>
      <c r="G244" s="10">
        <v>7614.5</v>
      </c>
      <c r="H244" s="10">
        <v>153601.28</v>
      </c>
      <c r="I244" s="4">
        <v>1581</v>
      </c>
      <c r="J244" s="17">
        <f>IFERROR(Tabela32[[#This Row],[Valor Frete]]/Tabela32[[#This Row],[Valor Mercadoria]],"")</f>
        <v>4.9573154598711679E-2</v>
      </c>
      <c r="K244" s="11">
        <v>0.29166666666666669</v>
      </c>
      <c r="L244" s="15">
        <v>0.75694444444444442</v>
      </c>
      <c r="M244" s="15">
        <f>Tabela32[[#This Row],[Hr Chegada]]-Tabela32[[#This Row],[Hr Saida]]</f>
        <v>0.46527777777777773</v>
      </c>
      <c r="N244" s="4">
        <v>275420</v>
      </c>
      <c r="O244" s="4">
        <v>275489</v>
      </c>
      <c r="P244" s="4">
        <f>Tabela32[[#This Row],[Km Chegada]]-Tabela32[[#This Row],[Km Saída]]</f>
        <v>69</v>
      </c>
      <c r="Q244" s="4">
        <v>157</v>
      </c>
      <c r="R244" s="4">
        <v>18</v>
      </c>
      <c r="S244" s="4">
        <v>18</v>
      </c>
      <c r="T244" s="12">
        <f>Tabela32[[#This Row],[Entregas]]-Tabela32[[#This Row],[Realizadas]]</f>
        <v>0</v>
      </c>
      <c r="U244" s="18">
        <f>Tabela32[[#This Row],[Realizadas]]/Tabela32[[#This Row],[Entregas]]</f>
        <v>1</v>
      </c>
      <c r="V244" s="19" t="str">
        <f>IF(Tabela32[[#This Row],[% Entrega]]&gt;=96%,"Atendeu a Meta","Não Atendeu a Meta")</f>
        <v>Atendeu a Meta</v>
      </c>
      <c r="W244" s="4" t="s">
        <v>43</v>
      </c>
      <c r="X244" s="4">
        <v>0</v>
      </c>
      <c r="Y244" s="5">
        <v>0</v>
      </c>
    </row>
    <row r="245" spans="1:25" x14ac:dyDescent="0.25">
      <c r="A245" s="8">
        <v>46269</v>
      </c>
      <c r="B245" s="16">
        <f>YEAR(Tabela32[[#This Row],[Data]])</f>
        <v>2026</v>
      </c>
      <c r="C245" s="16">
        <f>MONTH(Tabela32[[#This Row],[Data]])</f>
        <v>9</v>
      </c>
      <c r="D245" s="4" t="s">
        <v>25</v>
      </c>
      <c r="E245" s="4">
        <v>2</v>
      </c>
      <c r="F245" s="4" t="str">
        <f>IFERROR(VLOOKUP(Tabela32[[#This Row],[Placa]],Planilha2!$A$1:$B$12,2,0),"")</f>
        <v>Gilberto</v>
      </c>
      <c r="G245" s="10">
        <v>7360.28</v>
      </c>
      <c r="H245" s="10">
        <v>135750.18</v>
      </c>
      <c r="I245" s="4">
        <v>1580</v>
      </c>
      <c r="J245" s="17">
        <f>IFERROR(Tabela32[[#This Row],[Valor Frete]]/Tabela32[[#This Row],[Valor Mercadoria]],"")</f>
        <v>5.4219301955990042E-2</v>
      </c>
      <c r="K245" s="11">
        <v>0.29166666666666669</v>
      </c>
      <c r="L245" s="15">
        <v>0.67708333333333337</v>
      </c>
      <c r="M245" s="15">
        <f>Tabela32[[#This Row],[Hr Chegada]]-Tabela32[[#This Row],[Hr Saida]]</f>
        <v>0.38541666666666669</v>
      </c>
      <c r="N245" s="4">
        <v>119276</v>
      </c>
      <c r="O245" s="4">
        <v>119324</v>
      </c>
      <c r="P245" s="4">
        <f>Tabela32[[#This Row],[Km Chegada]]-Tabela32[[#This Row],[Km Saída]]</f>
        <v>48</v>
      </c>
      <c r="Q245" s="4">
        <v>399</v>
      </c>
      <c r="R245" s="4">
        <v>22</v>
      </c>
      <c r="S245" s="4">
        <v>22</v>
      </c>
      <c r="T245" s="12">
        <f>Tabela32[[#This Row],[Entregas]]-Tabela32[[#This Row],[Realizadas]]</f>
        <v>0</v>
      </c>
      <c r="U245" s="18">
        <f>Tabela32[[#This Row],[Realizadas]]/Tabela32[[#This Row],[Entregas]]</f>
        <v>1</v>
      </c>
      <c r="V245" s="19" t="str">
        <f>IF(Tabela32[[#This Row],[% Entrega]]&gt;=96%,"Atendeu a Meta","Não Atendeu a Meta")</f>
        <v>Atendeu a Meta</v>
      </c>
      <c r="W245" s="4" t="s">
        <v>39</v>
      </c>
      <c r="X245" s="4">
        <v>0</v>
      </c>
      <c r="Y245" s="5">
        <v>0</v>
      </c>
    </row>
    <row r="246" spans="1:25" x14ac:dyDescent="0.25">
      <c r="A246" s="8">
        <v>46269</v>
      </c>
      <c r="B246" s="16">
        <f>YEAR(Tabela32[[#This Row],[Data]])</f>
        <v>2026</v>
      </c>
      <c r="C246" s="16">
        <f>MONTH(Tabela32[[#This Row],[Data]])</f>
        <v>9</v>
      </c>
      <c r="D246" s="4" t="s">
        <v>53</v>
      </c>
      <c r="E246" s="4">
        <v>5</v>
      </c>
      <c r="F246" s="4" t="str">
        <f>IFERROR(VLOOKUP(Tabela32[[#This Row],[Placa]],Planilha2!$A$1:$B$12,2,0),"")</f>
        <v>Arnaldo</v>
      </c>
      <c r="G246" s="10">
        <v>6620.29</v>
      </c>
      <c r="H246" s="10">
        <v>80748.009999999995</v>
      </c>
      <c r="I246" s="4">
        <v>650</v>
      </c>
      <c r="J246" s="17">
        <f>IFERROR(Tabela32[[#This Row],[Valor Frete]]/Tabela32[[#This Row],[Valor Mercadoria]],"")</f>
        <v>8.198703596534454E-2</v>
      </c>
      <c r="K246" s="11">
        <v>0.30208333333333331</v>
      </c>
      <c r="L246" s="15">
        <v>0.80694444444444446</v>
      </c>
      <c r="M246" s="15">
        <f>Tabela32[[#This Row],[Hr Chegada]]-Tabela32[[#This Row],[Hr Saida]]</f>
        <v>0.5048611111111112</v>
      </c>
      <c r="N246" s="4">
        <v>13010</v>
      </c>
      <c r="O246" s="4">
        <v>13124</v>
      </c>
      <c r="P246" s="4">
        <f>Tabela32[[#This Row],[Km Chegada]]-Tabela32[[#This Row],[Km Saída]]</f>
        <v>114</v>
      </c>
      <c r="Q246" s="4">
        <v>104</v>
      </c>
      <c r="R246" s="4">
        <v>22</v>
      </c>
      <c r="S246" s="4">
        <v>22</v>
      </c>
      <c r="T246" s="12">
        <f>Tabela32[[#This Row],[Entregas]]-Tabela32[[#This Row],[Realizadas]]</f>
        <v>0</v>
      </c>
      <c r="U246" s="18">
        <f>Tabela32[[#This Row],[Realizadas]]/Tabela32[[#This Row],[Entregas]]</f>
        <v>1</v>
      </c>
      <c r="V246" s="19" t="str">
        <f>IF(Tabela32[[#This Row],[% Entrega]]&gt;=96%,"Atendeu a Meta","Não Atendeu a Meta")</f>
        <v>Atendeu a Meta</v>
      </c>
      <c r="W246" s="4" t="s">
        <v>39</v>
      </c>
      <c r="X246" s="4">
        <v>0</v>
      </c>
      <c r="Y246" s="5">
        <v>38</v>
      </c>
    </row>
    <row r="247" spans="1:25" x14ac:dyDescent="0.25">
      <c r="A247" s="8">
        <v>46269</v>
      </c>
      <c r="B247" s="16">
        <f>YEAR(Tabela32[[#This Row],[Data]])</f>
        <v>2026</v>
      </c>
      <c r="C247" s="16">
        <f>MONTH(Tabela32[[#This Row],[Data]])</f>
        <v>9</v>
      </c>
      <c r="D247" s="4" t="s">
        <v>27</v>
      </c>
      <c r="E247" s="4">
        <v>1</v>
      </c>
      <c r="F247" s="4" t="str">
        <f>IFERROR(VLOOKUP(Tabela32[[#This Row],[Placa]],Planilha2!$A$1:$B$12,2,0),"")</f>
        <v>Rosinaldo</v>
      </c>
      <c r="G247" s="10">
        <v>9678.7000000000007</v>
      </c>
      <c r="H247" s="10">
        <v>69994.460000000006</v>
      </c>
      <c r="I247" s="4">
        <v>1492</v>
      </c>
      <c r="J247" s="17">
        <f>IFERROR(Tabela32[[#This Row],[Valor Frete]]/Tabela32[[#This Row],[Valor Mercadoria]],"")</f>
        <v>0.13827808657999505</v>
      </c>
      <c r="K247" s="11">
        <v>0.3125</v>
      </c>
      <c r="L247" s="15">
        <v>0.69444444444444442</v>
      </c>
      <c r="M247" s="15">
        <f>Tabela32[[#This Row],[Hr Chegada]]-Tabela32[[#This Row],[Hr Saida]]</f>
        <v>0.38194444444444442</v>
      </c>
      <c r="N247" s="4">
        <v>304114</v>
      </c>
      <c r="O247" s="4">
        <v>304178</v>
      </c>
      <c r="P247" s="4">
        <f>Tabela32[[#This Row],[Km Chegada]]-Tabela32[[#This Row],[Km Saída]]</f>
        <v>64</v>
      </c>
      <c r="Q247" s="4">
        <v>176</v>
      </c>
      <c r="R247" s="4">
        <v>16</v>
      </c>
      <c r="S247" s="4">
        <v>16</v>
      </c>
      <c r="T247" s="12">
        <f>Tabela32[[#This Row],[Entregas]]-Tabela32[[#This Row],[Realizadas]]</f>
        <v>0</v>
      </c>
      <c r="U247" s="18">
        <f>Tabela32[[#This Row],[Realizadas]]/Tabela32[[#This Row],[Entregas]]</f>
        <v>1</v>
      </c>
      <c r="V247" s="19" t="str">
        <f>IF(Tabela32[[#This Row],[% Entrega]]&gt;=96%,"Atendeu a Meta","Não Atendeu a Meta")</f>
        <v>Atendeu a Meta</v>
      </c>
      <c r="W247" s="4" t="s">
        <v>43</v>
      </c>
      <c r="X247" s="4">
        <v>0</v>
      </c>
      <c r="Y247" s="5">
        <v>0</v>
      </c>
    </row>
    <row r="248" spans="1:25" x14ac:dyDescent="0.25">
      <c r="A248" s="8">
        <v>46269</v>
      </c>
      <c r="B248" s="16">
        <f>YEAR(Tabela32[[#This Row],[Data]])</f>
        <v>2026</v>
      </c>
      <c r="C248" s="16">
        <f>MONTH(Tabela32[[#This Row],[Data]])</f>
        <v>9</v>
      </c>
      <c r="D248" s="4" t="s">
        <v>27</v>
      </c>
      <c r="E248" s="4">
        <v>1</v>
      </c>
      <c r="F248" s="4" t="str">
        <f>IFERROR(VLOOKUP(Tabela32[[#This Row],[Placa]],Planilha2!$A$1:$B$12,2,0),"")</f>
        <v>Rosinaldo</v>
      </c>
      <c r="G248" s="10">
        <v>13683.27</v>
      </c>
      <c r="H248" s="10">
        <v>404291.08</v>
      </c>
      <c r="I248" s="4">
        <v>2046</v>
      </c>
      <c r="J248" s="17">
        <f>IFERROR(Tabela32[[#This Row],[Valor Frete]]/Tabela32[[#This Row],[Valor Mercadoria]],"")</f>
        <v>3.3845094974640548E-2</v>
      </c>
      <c r="K248" s="11">
        <v>0.29166666666666669</v>
      </c>
      <c r="L248" s="15">
        <v>0.76388888888888884</v>
      </c>
      <c r="M248" s="15">
        <f>Tabela32[[#This Row],[Hr Chegada]]-Tabela32[[#This Row],[Hr Saida]]</f>
        <v>0.47222222222222215</v>
      </c>
      <c r="N248" s="4">
        <v>291074</v>
      </c>
      <c r="O248" s="4">
        <v>291117</v>
      </c>
      <c r="P248" s="4">
        <f>Tabela32[[#This Row],[Km Chegada]]-Tabela32[[#This Row],[Km Saída]]</f>
        <v>43</v>
      </c>
      <c r="Q248" s="4">
        <v>368</v>
      </c>
      <c r="R248" s="4">
        <v>7</v>
      </c>
      <c r="S248" s="4">
        <v>7</v>
      </c>
      <c r="T248" s="12">
        <f>Tabela32[[#This Row],[Entregas]]-Tabela32[[#This Row],[Realizadas]]</f>
        <v>0</v>
      </c>
      <c r="U248" s="18">
        <f>Tabela32[[#This Row],[Realizadas]]/Tabela32[[#This Row],[Entregas]]</f>
        <v>1</v>
      </c>
      <c r="V248" s="19" t="str">
        <f>IF(Tabela32[[#This Row],[% Entrega]]&gt;=96%,"Atendeu a Meta","Não Atendeu a Meta")</f>
        <v>Atendeu a Meta</v>
      </c>
      <c r="W248" s="4" t="s">
        <v>63</v>
      </c>
      <c r="X248" s="4">
        <v>0</v>
      </c>
      <c r="Y248" s="5">
        <v>38.380000000000003</v>
      </c>
    </row>
    <row r="249" spans="1:25" x14ac:dyDescent="0.25">
      <c r="A249" s="8">
        <v>46269</v>
      </c>
      <c r="B249" s="16">
        <f>YEAR(Tabela32[[#This Row],[Data]])</f>
        <v>2026</v>
      </c>
      <c r="C249" s="16">
        <f>MONTH(Tabela32[[#This Row],[Data]])</f>
        <v>9</v>
      </c>
      <c r="D249" s="4" t="s">
        <v>33</v>
      </c>
      <c r="E249" s="4">
        <v>1</v>
      </c>
      <c r="F249" s="4" t="str">
        <f>IFERROR(VLOOKUP(Tabela32[[#This Row],[Placa]],Planilha2!$A$1:$B$12,2,0),"")</f>
        <v>Paulo</v>
      </c>
      <c r="G249" s="10">
        <v>5115.93</v>
      </c>
      <c r="H249" s="10">
        <v>80920.03</v>
      </c>
      <c r="I249" s="4">
        <v>772</v>
      </c>
      <c r="J249" s="17">
        <f>IFERROR(Tabela32[[#This Row],[Valor Frete]]/Tabela32[[#This Row],[Valor Mercadoria]],"")</f>
        <v>6.3222047742691148E-2</v>
      </c>
      <c r="K249" s="11">
        <v>0.27083333333333331</v>
      </c>
      <c r="L249" s="15">
        <v>0.65833333333333333</v>
      </c>
      <c r="M249" s="15">
        <f>Tabela32[[#This Row],[Hr Chegada]]-Tabela32[[#This Row],[Hr Saida]]</f>
        <v>0.38750000000000001</v>
      </c>
      <c r="N249" s="4">
        <v>154949</v>
      </c>
      <c r="O249" s="4">
        <v>155111</v>
      </c>
      <c r="P249" s="4">
        <f>Tabela32[[#This Row],[Km Chegada]]-Tabela32[[#This Row],[Km Saída]]</f>
        <v>162</v>
      </c>
      <c r="Q249" s="4">
        <v>121</v>
      </c>
      <c r="R249" s="4">
        <v>16</v>
      </c>
      <c r="S249" s="4">
        <v>16</v>
      </c>
      <c r="T249" s="12">
        <f>Tabela32[[#This Row],[Entregas]]-Tabela32[[#This Row],[Realizadas]]</f>
        <v>0</v>
      </c>
      <c r="U249" s="18">
        <f>Tabela32[[#This Row],[Realizadas]]/Tabela32[[#This Row],[Entregas]]</f>
        <v>1</v>
      </c>
      <c r="V249" s="19" t="str">
        <f>IF(Tabela32[[#This Row],[% Entrega]]&gt;=96%,"Atendeu a Meta","Não Atendeu a Meta")</f>
        <v>Atendeu a Meta</v>
      </c>
      <c r="W249" s="4" t="s">
        <v>40</v>
      </c>
      <c r="X249" s="4">
        <v>0</v>
      </c>
      <c r="Y249" s="5">
        <v>38</v>
      </c>
    </row>
    <row r="250" spans="1:25" x14ac:dyDescent="0.25">
      <c r="A250" s="8">
        <v>46269</v>
      </c>
      <c r="B250" s="16">
        <f>YEAR(Tabela32[[#This Row],[Data]])</f>
        <v>2026</v>
      </c>
      <c r="C250" s="16">
        <f>MONTH(Tabela32[[#This Row],[Data]])</f>
        <v>9</v>
      </c>
      <c r="D250" s="4" t="s">
        <v>23</v>
      </c>
      <c r="E250" s="4">
        <v>11</v>
      </c>
      <c r="F250" s="4" t="str">
        <f>IFERROR(VLOOKUP(Tabela32[[#This Row],[Placa]],Planilha2!$A$1:$B$12,2,0),"")</f>
        <v>William</v>
      </c>
      <c r="G250" s="10">
        <v>13686.92</v>
      </c>
      <c r="H250" s="10">
        <v>172691.62</v>
      </c>
      <c r="I250" s="4">
        <v>2972</v>
      </c>
      <c r="J250" s="17">
        <f>IFERROR(Tabela32[[#This Row],[Valor Frete]]/Tabela32[[#This Row],[Valor Mercadoria]],"")</f>
        <v>7.9256422517780548E-2</v>
      </c>
      <c r="K250" s="11">
        <v>0.27083333333333331</v>
      </c>
      <c r="L250" s="15">
        <v>0.66041666666666665</v>
      </c>
      <c r="M250" s="15">
        <f>Tabela32[[#This Row],[Hr Chegada]]-Tabela32[[#This Row],[Hr Saida]]</f>
        <v>0.38958333333333334</v>
      </c>
      <c r="N250" s="4">
        <v>142732</v>
      </c>
      <c r="O250" s="4">
        <v>142876</v>
      </c>
      <c r="P250" s="4">
        <f>Tabela32[[#This Row],[Km Chegada]]-Tabela32[[#This Row],[Km Saída]]</f>
        <v>144</v>
      </c>
      <c r="Q250" s="4">
        <v>478</v>
      </c>
      <c r="R250" s="4">
        <v>35</v>
      </c>
      <c r="S250" s="4">
        <v>35</v>
      </c>
      <c r="T250" s="12">
        <f>Tabela32[[#This Row],[Entregas]]-Tabela32[[#This Row],[Realizadas]]</f>
        <v>0</v>
      </c>
      <c r="U250" s="18">
        <f>Tabela32[[#This Row],[Realizadas]]/Tabela32[[#This Row],[Entregas]]</f>
        <v>1</v>
      </c>
      <c r="V250" s="19" t="str">
        <f>IF(Tabela32[[#This Row],[% Entrega]]&gt;=96%,"Atendeu a Meta","Não Atendeu a Meta")</f>
        <v>Atendeu a Meta</v>
      </c>
      <c r="W250" s="4" t="s">
        <v>41</v>
      </c>
      <c r="X250" s="4">
        <v>0</v>
      </c>
      <c r="Y250" s="5">
        <v>0</v>
      </c>
    </row>
    <row r="251" spans="1:25" x14ac:dyDescent="0.25">
      <c r="A251" s="8">
        <v>46269</v>
      </c>
      <c r="B251" s="16">
        <f>YEAR(Tabela32[[#This Row],[Data]])</f>
        <v>2026</v>
      </c>
      <c r="C251" s="16">
        <f>MONTH(Tabela32[[#This Row],[Data]])</f>
        <v>9</v>
      </c>
      <c r="D251" s="4" t="s">
        <v>28</v>
      </c>
      <c r="E251" s="4">
        <v>5</v>
      </c>
      <c r="F251" s="4" t="str">
        <f>IFERROR(VLOOKUP(Tabela32[[#This Row],[Placa]],Planilha2!$A$1:$B$12,2,0),"")</f>
        <v>Edilson</v>
      </c>
      <c r="G251" s="10">
        <v>15341.53</v>
      </c>
      <c r="H251" s="10">
        <v>277171.03000000003</v>
      </c>
      <c r="I251" s="4">
        <v>2647</v>
      </c>
      <c r="J251" s="17">
        <f>IFERROR(Tabela32[[#This Row],[Valor Frete]]/Tabela32[[#This Row],[Valor Mercadoria]],"")</f>
        <v>5.5350409456572713E-2</v>
      </c>
      <c r="K251" s="11">
        <v>0.27361111111111114</v>
      </c>
      <c r="L251" s="15">
        <v>0.71250000000000002</v>
      </c>
      <c r="M251" s="15">
        <f>Tabela32[[#This Row],[Hr Chegada]]-Tabela32[[#This Row],[Hr Saida]]</f>
        <v>0.43888888888888888</v>
      </c>
      <c r="N251" s="4">
        <v>104895</v>
      </c>
      <c r="O251" s="4">
        <v>104935</v>
      </c>
      <c r="P251" s="4">
        <f>Tabela32[[#This Row],[Km Chegada]]-Tabela32[[#This Row],[Km Saída]]</f>
        <v>40</v>
      </c>
      <c r="Q251" s="4">
        <v>351</v>
      </c>
      <c r="R251" s="4">
        <v>15</v>
      </c>
      <c r="S251" s="4">
        <v>15</v>
      </c>
      <c r="T251" s="12">
        <f>Tabela32[[#This Row],[Entregas]]-Tabela32[[#This Row],[Realizadas]]</f>
        <v>0</v>
      </c>
      <c r="U251" s="18">
        <f>Tabela32[[#This Row],[Realizadas]]/Tabela32[[#This Row],[Entregas]]</f>
        <v>1</v>
      </c>
      <c r="V251" s="19" t="str">
        <f>IF(Tabela32[[#This Row],[% Entrega]]&gt;=96%,"Atendeu a Meta","Não Atendeu a Meta")</f>
        <v>Atendeu a Meta</v>
      </c>
      <c r="W251" s="4" t="s">
        <v>39</v>
      </c>
      <c r="X251" s="4">
        <v>0</v>
      </c>
      <c r="Y251" s="5">
        <v>0</v>
      </c>
    </row>
    <row r="252" spans="1:25" x14ac:dyDescent="0.25">
      <c r="A252" s="8">
        <v>46269</v>
      </c>
      <c r="B252" s="16">
        <f>YEAR(Tabela32[[#This Row],[Data]])</f>
        <v>2026</v>
      </c>
      <c r="C252" s="16">
        <f>MONTH(Tabela32[[#This Row],[Data]])</f>
        <v>9</v>
      </c>
      <c r="D252" s="4" t="s">
        <v>31</v>
      </c>
      <c r="E252" s="4">
        <v>3</v>
      </c>
      <c r="F252" s="4" t="str">
        <f>IFERROR(VLOOKUP(Tabela32[[#This Row],[Placa]],Planilha2!$A$1:$B$12,2,0),"")</f>
        <v>Jerson</v>
      </c>
      <c r="G252" s="10">
        <v>9489.41</v>
      </c>
      <c r="H252" s="10">
        <v>112265.27</v>
      </c>
      <c r="I252" s="4">
        <v>850</v>
      </c>
      <c r="J252" s="17">
        <f>IFERROR(Tabela32[[#This Row],[Valor Frete]]/Tabela32[[#This Row],[Valor Mercadoria]],"")</f>
        <v>8.4526675079479155E-2</v>
      </c>
      <c r="K252" s="11">
        <v>0.32291666666666669</v>
      </c>
      <c r="L252" s="15">
        <v>0.71527777777777779</v>
      </c>
      <c r="M252" s="15">
        <f>Tabela32[[#This Row],[Hr Chegada]]-Tabela32[[#This Row],[Hr Saida]]</f>
        <v>0.3923611111111111</v>
      </c>
      <c r="N252" s="4">
        <v>280154</v>
      </c>
      <c r="O252" s="4">
        <v>280202</v>
      </c>
      <c r="P252" s="4">
        <f>Tabela32[[#This Row],[Km Chegada]]-Tabela32[[#This Row],[Km Saída]]</f>
        <v>48</v>
      </c>
      <c r="Q252" s="4">
        <v>162</v>
      </c>
      <c r="R252" s="4">
        <v>28</v>
      </c>
      <c r="S252" s="4">
        <v>26</v>
      </c>
      <c r="T252" s="12">
        <f>Tabela32[[#This Row],[Entregas]]-Tabela32[[#This Row],[Realizadas]]</f>
        <v>2</v>
      </c>
      <c r="U252" s="18">
        <f>Tabela32[[#This Row],[Realizadas]]/Tabela32[[#This Row],[Entregas]]</f>
        <v>0.9285714285714286</v>
      </c>
      <c r="V252" s="19" t="str">
        <f>IF(Tabela32[[#This Row],[% Entrega]]&gt;=96%,"Atendeu a Meta","Não Atendeu a Meta")</f>
        <v>Não Atendeu a Meta</v>
      </c>
      <c r="W252" s="4" t="s">
        <v>39</v>
      </c>
      <c r="X252" s="4">
        <v>2</v>
      </c>
      <c r="Y252" s="5" t="s">
        <v>75</v>
      </c>
    </row>
    <row r="253" spans="1:25" x14ac:dyDescent="0.25">
      <c r="A253" s="8">
        <v>46270</v>
      </c>
      <c r="B253" s="16">
        <f>YEAR(Tabela32[[#This Row],[Data]])</f>
        <v>2026</v>
      </c>
      <c r="C253" s="16">
        <f>MONTH(Tabela32[[#This Row],[Data]])</f>
        <v>9</v>
      </c>
      <c r="D253" s="4" t="s">
        <v>25</v>
      </c>
      <c r="E253" s="4">
        <v>11</v>
      </c>
      <c r="F253" s="4" t="str">
        <f>IFERROR(VLOOKUP(Tabela32[[#This Row],[Placa]],Planilha2!$A$1:$B$12,2,0),"")</f>
        <v>Gilberto</v>
      </c>
      <c r="G253" s="10">
        <v>6635.38</v>
      </c>
      <c r="H253" s="10">
        <v>76221.34</v>
      </c>
      <c r="I253" s="4">
        <v>649</v>
      </c>
      <c r="J253" s="17">
        <f>IFERROR(Tabela32[[#This Row],[Valor Frete]]/Tabela32[[#This Row],[Valor Mercadoria]],"")</f>
        <v>8.705409797308733E-2</v>
      </c>
      <c r="K253" s="11">
        <v>0.29166666666666669</v>
      </c>
      <c r="L253" s="15">
        <v>0.57986111111111116</v>
      </c>
      <c r="M253" s="15">
        <f>Tabela32[[#This Row],[Hr Chegada]]-Tabela32[[#This Row],[Hr Saida]]</f>
        <v>0.28819444444444448</v>
      </c>
      <c r="N253" s="4">
        <v>119324</v>
      </c>
      <c r="O253" s="4">
        <v>119471</v>
      </c>
      <c r="P253" s="4">
        <f>Tabela32[[#This Row],[Km Chegada]]-Tabela32[[#This Row],[Km Saída]]</f>
        <v>147</v>
      </c>
      <c r="Q253" s="4">
        <v>89</v>
      </c>
      <c r="R253" s="4">
        <v>33</v>
      </c>
      <c r="S253" s="4">
        <v>33</v>
      </c>
      <c r="T253" s="12">
        <f>Tabela32[[#This Row],[Entregas]]-Tabela32[[#This Row],[Realizadas]]</f>
        <v>0</v>
      </c>
      <c r="U253" s="18">
        <f>Tabela32[[#This Row],[Realizadas]]/Tabela32[[#This Row],[Entregas]]</f>
        <v>1</v>
      </c>
      <c r="V253" s="19" t="str">
        <f>IF(Tabela32[[#This Row],[% Entrega]]&gt;=96%,"Atendeu a Meta","Não Atendeu a Meta")</f>
        <v>Atendeu a Meta</v>
      </c>
      <c r="W253" s="4" t="s">
        <v>41</v>
      </c>
      <c r="X253" s="4">
        <v>0</v>
      </c>
      <c r="Y253" s="5">
        <v>0</v>
      </c>
    </row>
    <row r="254" spans="1:25" x14ac:dyDescent="0.25">
      <c r="A254" s="8">
        <v>46270</v>
      </c>
      <c r="B254" s="16">
        <f>YEAR(Tabela32[[#This Row],[Data]])</f>
        <v>2026</v>
      </c>
      <c r="C254" s="16">
        <f>MONTH(Tabela32[[#This Row],[Data]])</f>
        <v>9</v>
      </c>
      <c r="D254" s="4" t="s">
        <v>53</v>
      </c>
      <c r="E254" s="4">
        <v>3</v>
      </c>
      <c r="F254" s="4" t="str">
        <f>IFERROR(VLOOKUP(Tabela32[[#This Row],[Placa]],Planilha2!$A$1:$B$12,2,0),"")</f>
        <v>Arnaldo</v>
      </c>
      <c r="G254" s="10">
        <v>2820.94</v>
      </c>
      <c r="H254" s="10">
        <v>134648.97</v>
      </c>
      <c r="I254" s="4">
        <v>414</v>
      </c>
      <c r="J254" s="17">
        <f>IFERROR(Tabela32[[#This Row],[Valor Frete]]/Tabela32[[#This Row],[Valor Mercadoria]],"")</f>
        <v>2.0950327358612547E-2</v>
      </c>
      <c r="K254" s="11">
        <v>0.31527777777777777</v>
      </c>
      <c r="L254" s="15">
        <v>0.52083333333333337</v>
      </c>
      <c r="M254" s="15">
        <f>Tabela32[[#This Row],[Hr Chegada]]-Tabela32[[#This Row],[Hr Saida]]</f>
        <v>0.2055555555555556</v>
      </c>
      <c r="N254" s="4">
        <v>13124</v>
      </c>
      <c r="O254" s="4">
        <v>13171</v>
      </c>
      <c r="P254" s="4">
        <f>Tabela32[[#This Row],[Km Chegada]]-Tabela32[[#This Row],[Km Saída]]</f>
        <v>47</v>
      </c>
      <c r="Q254" s="4">
        <v>138</v>
      </c>
      <c r="R254" s="4">
        <v>7</v>
      </c>
      <c r="S254" s="4">
        <v>7</v>
      </c>
      <c r="T254" s="12">
        <f>Tabela32[[#This Row],[Entregas]]-Tabela32[[#This Row],[Realizadas]]</f>
        <v>0</v>
      </c>
      <c r="U254" s="18">
        <f>Tabela32[[#This Row],[Realizadas]]/Tabela32[[#This Row],[Entregas]]</f>
        <v>1</v>
      </c>
      <c r="V254" s="19" t="str">
        <f>IF(Tabela32[[#This Row],[% Entrega]]&gt;=96%,"Atendeu a Meta","Não Atendeu a Meta")</f>
        <v>Atendeu a Meta</v>
      </c>
      <c r="W254" s="4" t="s">
        <v>39</v>
      </c>
      <c r="X254" s="4">
        <v>0</v>
      </c>
      <c r="Y254" s="5">
        <v>0</v>
      </c>
    </row>
    <row r="255" spans="1:25" x14ac:dyDescent="0.25">
      <c r="A255" s="8">
        <v>46273</v>
      </c>
      <c r="B255" s="16">
        <f>YEAR(Tabela32[[#This Row],[Data]])</f>
        <v>2026</v>
      </c>
      <c r="C255" s="16">
        <f>MONTH(Tabela32[[#This Row],[Data]])</f>
        <v>9</v>
      </c>
      <c r="D255" s="4" t="s">
        <v>28</v>
      </c>
      <c r="E255" s="4">
        <v>11</v>
      </c>
      <c r="F255" s="4" t="str">
        <f>IFERROR(VLOOKUP(Tabela32[[#This Row],[Placa]],Planilha2!$A$1:$B$12,2,0),"")</f>
        <v>Edilson</v>
      </c>
      <c r="G255" s="10">
        <v>23365.5</v>
      </c>
      <c r="H255" s="10">
        <v>451090.2</v>
      </c>
      <c r="I255" s="4">
        <v>3867</v>
      </c>
      <c r="J255" s="17">
        <f>IFERROR(Tabela32[[#This Row],[Valor Frete]]/Tabela32[[#This Row],[Valor Mercadoria]],"")</f>
        <v>5.1797844422246372E-2</v>
      </c>
      <c r="K255" s="11">
        <v>0.27083333333333331</v>
      </c>
      <c r="L255" s="15">
        <v>0.75694444444444442</v>
      </c>
      <c r="M255" s="15">
        <f>Tabela32[[#This Row],[Hr Chegada]]-Tabela32[[#This Row],[Hr Saida]]</f>
        <v>0.4861111111111111</v>
      </c>
      <c r="N255" s="4">
        <v>104946</v>
      </c>
      <c r="O255" s="4">
        <v>105079</v>
      </c>
      <c r="P255" s="4">
        <f>Tabela32[[#This Row],[Km Chegada]]-Tabela32[[#This Row],[Km Saída]]</f>
        <v>133</v>
      </c>
      <c r="Q255" s="4">
        <v>258</v>
      </c>
      <c r="R255" s="4">
        <v>33</v>
      </c>
      <c r="S255" s="4">
        <v>33</v>
      </c>
      <c r="T255" s="12">
        <f>Tabela32[[#This Row],[Entregas]]-Tabela32[[#This Row],[Realizadas]]</f>
        <v>0</v>
      </c>
      <c r="U255" s="18">
        <f>Tabela32[[#This Row],[Realizadas]]/Tabela32[[#This Row],[Entregas]]</f>
        <v>1</v>
      </c>
      <c r="V255" s="19" t="str">
        <f>IF(Tabela32[[#This Row],[% Entrega]]&gt;=96%,"Atendeu a Meta","Não Atendeu a Meta")</f>
        <v>Atendeu a Meta</v>
      </c>
      <c r="W255" s="4" t="s">
        <v>41</v>
      </c>
      <c r="X255" s="4">
        <v>0</v>
      </c>
      <c r="Y255" s="5" t="s">
        <v>76</v>
      </c>
    </row>
    <row r="256" spans="1:25" x14ac:dyDescent="0.25">
      <c r="A256" s="8">
        <v>46273</v>
      </c>
      <c r="B256" s="16">
        <f>YEAR(Tabela32[[#This Row],[Data]])</f>
        <v>2026</v>
      </c>
      <c r="C256" s="16">
        <f>MONTH(Tabela32[[#This Row],[Data]])</f>
        <v>9</v>
      </c>
      <c r="D256" s="4" t="s">
        <v>31</v>
      </c>
      <c r="E256" s="4">
        <v>5</v>
      </c>
      <c r="F256" s="4" t="str">
        <f>IFERROR(VLOOKUP(Tabela32[[#This Row],[Placa]],Planilha2!$A$1:$B$12,2,0),"")</f>
        <v>Jerson</v>
      </c>
      <c r="G256" s="10">
        <v>11347.38</v>
      </c>
      <c r="H256" s="10">
        <v>232310.73</v>
      </c>
      <c r="I256" s="4">
        <v>2674</v>
      </c>
      <c r="J256" s="17">
        <f>IFERROR(Tabela32[[#This Row],[Valor Frete]]/Tabela32[[#This Row],[Valor Mercadoria]],"")</f>
        <v>4.8845699034220237E-2</v>
      </c>
      <c r="K256" s="11">
        <v>0.32291666666666669</v>
      </c>
      <c r="L256" s="15">
        <v>0.83819444444444446</v>
      </c>
      <c r="M256" s="15">
        <f>Tabela32[[#This Row],[Hr Chegada]]-Tabela32[[#This Row],[Hr Saida]]</f>
        <v>0.51527777777777772</v>
      </c>
      <c r="N256" s="4">
        <v>280202</v>
      </c>
      <c r="O256" s="4">
        <v>280284</v>
      </c>
      <c r="P256" s="4">
        <f>Tabela32[[#This Row],[Km Chegada]]-Tabela32[[#This Row],[Km Saída]]</f>
        <v>82</v>
      </c>
      <c r="Q256" s="4">
        <v>513</v>
      </c>
      <c r="R256" s="4">
        <v>30</v>
      </c>
      <c r="S256" s="4">
        <v>21</v>
      </c>
      <c r="T256" s="12">
        <f>Tabela32[[#This Row],[Entregas]]-Tabela32[[#This Row],[Realizadas]]</f>
        <v>9</v>
      </c>
      <c r="U256" s="18">
        <f>Tabela32[[#This Row],[Realizadas]]/Tabela32[[#This Row],[Entregas]]</f>
        <v>0.7</v>
      </c>
      <c r="V256" s="19" t="str">
        <f>IF(Tabela32[[#This Row],[% Entrega]]&gt;=96%,"Atendeu a Meta","Não Atendeu a Meta")</f>
        <v>Não Atendeu a Meta</v>
      </c>
      <c r="W256" s="4" t="s">
        <v>39</v>
      </c>
      <c r="X256" s="4">
        <v>9</v>
      </c>
      <c r="Y256" s="5" t="s">
        <v>77</v>
      </c>
    </row>
    <row r="257" spans="1:25" x14ac:dyDescent="0.25">
      <c r="A257" s="8">
        <v>46273</v>
      </c>
      <c r="B257" s="16">
        <f>YEAR(Tabela32[[#This Row],[Data]])</f>
        <v>2026</v>
      </c>
      <c r="C257" s="16">
        <f>MONTH(Tabela32[[#This Row],[Data]])</f>
        <v>9</v>
      </c>
      <c r="D257" s="4" t="s">
        <v>33</v>
      </c>
      <c r="E257" s="4">
        <v>1</v>
      </c>
      <c r="F257" s="4" t="str">
        <f>IFERROR(VLOOKUP(Tabela32[[#This Row],[Placa]],Planilha2!$A$1:$B$12,2,0),"")</f>
        <v>Paulo</v>
      </c>
      <c r="G257" s="10">
        <v>1646.69</v>
      </c>
      <c r="H257" s="10">
        <v>65738.399999999994</v>
      </c>
      <c r="I257" s="4">
        <v>92</v>
      </c>
      <c r="J257" s="17">
        <f>IFERROR(Tabela32[[#This Row],[Valor Frete]]/Tabela32[[#This Row],[Valor Mercadoria]],"")</f>
        <v>2.5049134143818531E-2</v>
      </c>
      <c r="K257" s="11">
        <v>0.29166666666666669</v>
      </c>
      <c r="L257" s="15">
        <v>0.51527777777777772</v>
      </c>
      <c r="M257" s="15">
        <f>Tabela32[[#This Row],[Hr Chegada]]-Tabela32[[#This Row],[Hr Saida]]</f>
        <v>0.22361111111111104</v>
      </c>
      <c r="N257" s="4">
        <v>155111</v>
      </c>
      <c r="O257" s="4">
        <v>155166</v>
      </c>
      <c r="P257" s="4">
        <f>Tabela32[[#This Row],[Km Chegada]]-Tabela32[[#This Row],[Km Saída]]</f>
        <v>55</v>
      </c>
      <c r="Q257" s="4">
        <v>1</v>
      </c>
      <c r="R257" s="4">
        <v>1</v>
      </c>
      <c r="S257" s="4">
        <v>1</v>
      </c>
      <c r="T257" s="12">
        <f>Tabela32[[#This Row],[Entregas]]-Tabela32[[#This Row],[Realizadas]]</f>
        <v>0</v>
      </c>
      <c r="U257" s="18">
        <f>Tabela32[[#This Row],[Realizadas]]/Tabela32[[#This Row],[Entregas]]</f>
        <v>1</v>
      </c>
      <c r="V257" s="19" t="str">
        <f>IF(Tabela32[[#This Row],[% Entrega]]&gt;=96%,"Atendeu a Meta","Não Atendeu a Meta")</f>
        <v>Atendeu a Meta</v>
      </c>
      <c r="W257" s="4" t="s">
        <v>40</v>
      </c>
      <c r="X257" s="4">
        <v>0</v>
      </c>
      <c r="Y257" s="5">
        <v>0</v>
      </c>
    </row>
    <row r="258" spans="1:25" x14ac:dyDescent="0.25">
      <c r="A258" s="8">
        <v>46273</v>
      </c>
      <c r="B258" s="16">
        <f>YEAR(Tabela32[[#This Row],[Data]])</f>
        <v>2026</v>
      </c>
      <c r="C258" s="16">
        <f>MONTH(Tabela32[[#This Row],[Data]])</f>
        <v>9</v>
      </c>
      <c r="D258" s="4" t="s">
        <v>33</v>
      </c>
      <c r="E258" s="4">
        <v>2</v>
      </c>
      <c r="F258" s="4" t="str">
        <f>IFERROR(VLOOKUP(Tabela32[[#This Row],[Placa]],Planilha2!$A$1:$B$12,2,0),"")</f>
        <v>Paulo</v>
      </c>
      <c r="G258" s="10">
        <v>1519.38</v>
      </c>
      <c r="H258" s="10">
        <v>27295.91</v>
      </c>
      <c r="I258" s="4">
        <v>295</v>
      </c>
      <c r="J258" s="17">
        <f>IFERROR(Tabela32[[#This Row],[Valor Frete]]/Tabela32[[#This Row],[Valor Mercadoria]],"")</f>
        <v>5.5663284352857265E-2</v>
      </c>
      <c r="K258" s="11">
        <v>0.57638888888888884</v>
      </c>
      <c r="L258" s="15">
        <v>0.71458333333333335</v>
      </c>
      <c r="M258" s="15">
        <f>Tabela32[[#This Row],[Hr Chegada]]-Tabela32[[#This Row],[Hr Saida]]</f>
        <v>0.13819444444444451</v>
      </c>
      <c r="N258" s="4">
        <v>155166</v>
      </c>
      <c r="O258" s="4">
        <v>155216</v>
      </c>
      <c r="P258" s="4">
        <f>Tabela32[[#This Row],[Km Chegada]]-Tabela32[[#This Row],[Km Saída]]</f>
        <v>50</v>
      </c>
      <c r="Q258" s="4">
        <v>61</v>
      </c>
      <c r="R258" s="4">
        <v>3</v>
      </c>
      <c r="S258" s="4">
        <v>3</v>
      </c>
      <c r="T258" s="12">
        <f>Tabela32[[#This Row],[Entregas]]-Tabela32[[#This Row],[Realizadas]]</f>
        <v>0</v>
      </c>
      <c r="U258" s="18">
        <f>Tabela32[[#This Row],[Realizadas]]/Tabela32[[#This Row],[Entregas]]</f>
        <v>1</v>
      </c>
      <c r="V258" s="19" t="str">
        <f>IF(Tabela32[[#This Row],[% Entrega]]&gt;=96%,"Atendeu a Meta","Não Atendeu a Meta")</f>
        <v>Atendeu a Meta</v>
      </c>
      <c r="W258" s="4" t="s">
        <v>39</v>
      </c>
      <c r="X258" s="4">
        <v>0</v>
      </c>
      <c r="Y258" s="5">
        <v>0</v>
      </c>
    </row>
    <row r="259" spans="1:25" x14ac:dyDescent="0.25">
      <c r="A259" s="8">
        <v>46273</v>
      </c>
      <c r="B259" s="16">
        <f>YEAR(Tabela32[[#This Row],[Data]])</f>
        <v>2026</v>
      </c>
      <c r="C259" s="16">
        <f>MONTH(Tabela32[[#This Row],[Data]])</f>
        <v>9</v>
      </c>
      <c r="D259" s="4" t="s">
        <v>27</v>
      </c>
      <c r="E259" s="4">
        <v>3</v>
      </c>
      <c r="F259" s="4" t="str">
        <f>IFERROR(VLOOKUP(Tabela32[[#This Row],[Placa]],Planilha2!$A$1:$B$12,2,0),"")</f>
        <v>Rosinaldo</v>
      </c>
      <c r="G259" s="10">
        <v>10547.9</v>
      </c>
      <c r="H259" s="10">
        <v>164711</v>
      </c>
      <c r="I259" s="4">
        <v>3106</v>
      </c>
      <c r="J259" s="17">
        <f>IFERROR(Tabela32[[#This Row],[Valor Frete]]/Tabela32[[#This Row],[Valor Mercadoria]],"")</f>
        <v>6.4038831650587991E-2</v>
      </c>
      <c r="K259" s="11">
        <v>0.29166666666666669</v>
      </c>
      <c r="L259" s="15">
        <v>0.75416666666666665</v>
      </c>
      <c r="M259" s="15">
        <f>Tabela32[[#This Row],[Hr Chegada]]-Tabela32[[#This Row],[Hr Saida]]</f>
        <v>0.46249999999999997</v>
      </c>
      <c r="N259" s="4">
        <v>291117</v>
      </c>
      <c r="O259" s="4">
        <v>291171</v>
      </c>
      <c r="P259" s="4">
        <f>Tabela32[[#This Row],[Km Chegada]]-Tabela32[[#This Row],[Km Saída]]</f>
        <v>54</v>
      </c>
      <c r="Q259" s="4">
        <v>351</v>
      </c>
      <c r="R259" s="4">
        <v>16</v>
      </c>
      <c r="S259" s="4">
        <v>16</v>
      </c>
      <c r="T259" s="12">
        <f>Tabela32[[#This Row],[Entregas]]-Tabela32[[#This Row],[Realizadas]]</f>
        <v>0</v>
      </c>
      <c r="U259" s="18">
        <f>Tabela32[[#This Row],[Realizadas]]/Tabela32[[#This Row],[Entregas]]</f>
        <v>1</v>
      </c>
      <c r="V259" s="19" t="str">
        <f>IF(Tabela32[[#This Row],[% Entrega]]&gt;=96%,"Atendeu a Meta","Não Atendeu a Meta")</f>
        <v>Atendeu a Meta</v>
      </c>
      <c r="W259" s="4" t="s">
        <v>39</v>
      </c>
      <c r="X259" s="4">
        <v>1</v>
      </c>
      <c r="Y259" s="5">
        <v>9</v>
      </c>
    </row>
    <row r="260" spans="1:25" x14ac:dyDescent="0.25">
      <c r="A260" s="8">
        <v>46273</v>
      </c>
      <c r="B260" s="16">
        <f>YEAR(Tabela32[[#This Row],[Data]])</f>
        <v>2026</v>
      </c>
      <c r="C260" s="16">
        <f>MONTH(Tabela32[[#This Row],[Data]])</f>
        <v>9</v>
      </c>
      <c r="D260" s="4" t="s">
        <v>22</v>
      </c>
      <c r="E260" s="4">
        <v>1</v>
      </c>
      <c r="F260" s="4" t="str">
        <f>IFERROR(VLOOKUP(Tabela32[[#This Row],[Placa]],Planilha2!$A$1:$B$12,2,0),"")</f>
        <v>Wesley</v>
      </c>
      <c r="G260" s="10">
        <v>8483.69</v>
      </c>
      <c r="H260" s="10">
        <v>135088.44</v>
      </c>
      <c r="I260" s="4">
        <v>1182</v>
      </c>
      <c r="J260" s="17">
        <f>IFERROR(Tabela32[[#This Row],[Valor Frete]]/Tabela32[[#This Row],[Valor Mercadoria]],"")</f>
        <v>6.2801006510993837E-2</v>
      </c>
      <c r="K260" s="11">
        <v>0.3125</v>
      </c>
      <c r="L260" s="15">
        <v>0.75</v>
      </c>
      <c r="M260" s="15">
        <f>Tabela32[[#This Row],[Hr Chegada]]-Tabela32[[#This Row],[Hr Saida]]</f>
        <v>0.4375</v>
      </c>
      <c r="N260" s="4">
        <v>304179</v>
      </c>
      <c r="O260" s="4">
        <v>304242</v>
      </c>
      <c r="P260" s="4">
        <f>Tabela32[[#This Row],[Km Chegada]]-Tabela32[[#This Row],[Km Saída]]</f>
        <v>63</v>
      </c>
      <c r="Q260" s="4">
        <v>177</v>
      </c>
      <c r="R260" s="4">
        <v>21</v>
      </c>
      <c r="S260" s="4">
        <v>21</v>
      </c>
      <c r="T260" s="12">
        <f>Tabela32[[#This Row],[Entregas]]-Tabela32[[#This Row],[Realizadas]]</f>
        <v>0</v>
      </c>
      <c r="U260" s="18">
        <f>Tabela32[[#This Row],[Realizadas]]/Tabela32[[#This Row],[Entregas]]</f>
        <v>1</v>
      </c>
      <c r="V260" s="19" t="str">
        <f>IF(Tabela32[[#This Row],[% Entrega]]&gt;=96%,"Atendeu a Meta","Não Atendeu a Meta")</f>
        <v>Atendeu a Meta</v>
      </c>
      <c r="W260" s="4" t="s">
        <v>43</v>
      </c>
      <c r="X260" s="4">
        <v>0</v>
      </c>
      <c r="Y260" s="5">
        <v>0</v>
      </c>
    </row>
    <row r="261" spans="1:25" x14ac:dyDescent="0.25">
      <c r="A261" s="8">
        <v>46273</v>
      </c>
      <c r="B261" s="16">
        <f>YEAR(Tabela32[[#This Row],[Data]])</f>
        <v>2026</v>
      </c>
      <c r="C261" s="16">
        <f>MONTH(Tabela32[[#This Row],[Data]])</f>
        <v>9</v>
      </c>
      <c r="D261" s="4" t="s">
        <v>53</v>
      </c>
      <c r="E261" s="4">
        <v>1</v>
      </c>
      <c r="F261" s="4" t="str">
        <f>IFERROR(VLOOKUP(Tabela32[[#This Row],[Placa]],Planilha2!$A$1:$B$12,2,0),"")</f>
        <v>Arnaldo</v>
      </c>
      <c r="G261" s="10">
        <v>4900.75</v>
      </c>
      <c r="H261" s="10">
        <v>150112.95000000001</v>
      </c>
      <c r="I261" s="4">
        <v>1018</v>
      </c>
      <c r="J261" s="17">
        <f>IFERROR(Tabela32[[#This Row],[Valor Frete]]/Tabela32[[#This Row],[Valor Mercadoria]],"")</f>
        <v>3.2647083412856784E-2</v>
      </c>
      <c r="K261" s="11">
        <v>0.30208333333333331</v>
      </c>
      <c r="L261" s="15">
        <v>0.72222222222222221</v>
      </c>
      <c r="M261" s="15">
        <f>Tabela32[[#This Row],[Hr Chegada]]-Tabela32[[#This Row],[Hr Saida]]</f>
        <v>0.4201388888888889</v>
      </c>
      <c r="N261" s="4">
        <v>13171</v>
      </c>
      <c r="O261" s="4">
        <v>13214</v>
      </c>
      <c r="P261" s="4">
        <f>Tabela32[[#This Row],[Km Chegada]]-Tabela32[[#This Row],[Km Saída]]</f>
        <v>43</v>
      </c>
      <c r="Q261" s="4">
        <v>2</v>
      </c>
      <c r="R261" s="4">
        <v>1</v>
      </c>
      <c r="S261" s="4">
        <v>1</v>
      </c>
      <c r="T261" s="12">
        <f>Tabela32[[#This Row],[Entregas]]-Tabela32[[#This Row],[Realizadas]]</f>
        <v>0</v>
      </c>
      <c r="U261" s="18">
        <f>Tabela32[[#This Row],[Realizadas]]/Tabela32[[#This Row],[Entregas]]</f>
        <v>1</v>
      </c>
      <c r="V261" s="19" t="str">
        <f>IF(Tabela32[[#This Row],[% Entrega]]&gt;=96%,"Atendeu a Meta","Não Atendeu a Meta")</f>
        <v>Atendeu a Meta</v>
      </c>
      <c r="W261" s="4" t="s">
        <v>40</v>
      </c>
      <c r="X261" s="4">
        <v>0</v>
      </c>
      <c r="Y261" s="5">
        <v>0</v>
      </c>
    </row>
    <row r="262" spans="1:25" x14ac:dyDescent="0.25">
      <c r="A262" s="8">
        <v>46273</v>
      </c>
      <c r="B262" s="16">
        <f>YEAR(Tabela32[[#This Row],[Data]])</f>
        <v>2026</v>
      </c>
      <c r="C262" s="16">
        <f>MONTH(Tabela32[[#This Row],[Data]])</f>
        <v>9</v>
      </c>
      <c r="D262" s="4" t="s">
        <v>25</v>
      </c>
      <c r="E262" s="4">
        <v>1</v>
      </c>
      <c r="F262" s="4" t="str">
        <f>IFERROR(VLOOKUP(Tabela32[[#This Row],[Placa]],Planilha2!$A$1:$B$12,2,0),"")</f>
        <v>Gilberto</v>
      </c>
      <c r="G262" s="10">
        <v>5507.61</v>
      </c>
      <c r="H262" s="10">
        <v>63027.56</v>
      </c>
      <c r="I262" s="4">
        <v>1394</v>
      </c>
      <c r="J262" s="17">
        <f>IFERROR(Tabela32[[#This Row],[Valor Frete]]/Tabela32[[#This Row],[Valor Mercadoria]],"")</f>
        <v>8.7384153852695545E-2</v>
      </c>
      <c r="K262" s="11">
        <v>0.30208333333333331</v>
      </c>
      <c r="L262" s="15">
        <v>0.69444444444444442</v>
      </c>
      <c r="M262" s="15">
        <f>Tabela32[[#This Row],[Hr Chegada]]-Tabela32[[#This Row],[Hr Saida]]</f>
        <v>0.3923611111111111</v>
      </c>
      <c r="N262" s="4">
        <v>119471</v>
      </c>
      <c r="O262" s="4">
        <v>119603</v>
      </c>
      <c r="P262" s="4">
        <f>Tabela32[[#This Row],[Km Chegada]]-Tabela32[[#This Row],[Km Saída]]</f>
        <v>132</v>
      </c>
      <c r="Q262" s="4">
        <v>131</v>
      </c>
      <c r="R262" s="4">
        <v>8</v>
      </c>
      <c r="S262" s="4">
        <v>8</v>
      </c>
      <c r="T262" s="12">
        <f>Tabela32[[#This Row],[Entregas]]-Tabela32[[#This Row],[Realizadas]]</f>
        <v>0</v>
      </c>
      <c r="U262" s="18">
        <f>Tabela32[[#This Row],[Realizadas]]/Tabela32[[#This Row],[Entregas]]</f>
        <v>1</v>
      </c>
      <c r="V262" s="19" t="str">
        <f>IF(Tabela32[[#This Row],[% Entrega]]&gt;=96%,"Atendeu a Meta","Não Atendeu a Meta")</f>
        <v>Atendeu a Meta</v>
      </c>
      <c r="W262" s="4" t="s">
        <v>43</v>
      </c>
      <c r="X262" s="4">
        <v>0</v>
      </c>
      <c r="Y262" s="5">
        <v>0</v>
      </c>
    </row>
    <row r="263" spans="1:25" x14ac:dyDescent="0.25">
      <c r="A263" s="8">
        <v>46273</v>
      </c>
      <c r="B263" s="16">
        <f>YEAR(Tabela32[[#This Row],[Data]])</f>
        <v>2026</v>
      </c>
      <c r="C263" s="16">
        <f>MONTH(Tabela32[[#This Row],[Data]])</f>
        <v>9</v>
      </c>
      <c r="D263" s="4" t="s">
        <v>29</v>
      </c>
      <c r="E263" s="4">
        <v>1</v>
      </c>
      <c r="F263" s="4" t="str">
        <f>IFERROR(VLOOKUP(Tabela32[[#This Row],[Placa]],Planilha2!$A$1:$B$12,2,0),"")</f>
        <v>Sandro</v>
      </c>
      <c r="G263" s="10">
        <v>8389.24</v>
      </c>
      <c r="H263" s="10">
        <v>348817.6</v>
      </c>
      <c r="I263" s="4">
        <v>944</v>
      </c>
      <c r="J263" s="17">
        <f>IFERROR(Tabela32[[#This Row],[Valor Frete]]/Tabela32[[#This Row],[Valor Mercadoria]],"")</f>
        <v>2.405050662581246E-2</v>
      </c>
      <c r="K263" s="11">
        <v>0.29166666666666669</v>
      </c>
      <c r="L263" s="15">
        <v>0.79236111111111107</v>
      </c>
      <c r="M263" s="15">
        <f>Tabela32[[#This Row],[Hr Chegada]]-Tabela32[[#This Row],[Hr Saida]]</f>
        <v>0.50069444444444433</v>
      </c>
      <c r="N263" s="4">
        <v>275489</v>
      </c>
      <c r="O263" s="4">
        <v>275543</v>
      </c>
      <c r="P263" s="4">
        <f>Tabela32[[#This Row],[Km Chegada]]-Tabela32[[#This Row],[Km Saída]]</f>
        <v>54</v>
      </c>
      <c r="Q263" s="4">
        <v>242</v>
      </c>
      <c r="R263" s="4">
        <v>5</v>
      </c>
      <c r="S263" s="4">
        <v>5</v>
      </c>
      <c r="T263" s="12">
        <f>Tabela32[[#This Row],[Entregas]]-Tabela32[[#This Row],[Realizadas]]</f>
        <v>0</v>
      </c>
      <c r="U263" s="18">
        <f>Tabela32[[#This Row],[Realizadas]]/Tabela32[[#This Row],[Entregas]]</f>
        <v>1</v>
      </c>
      <c r="V263" s="19" t="str">
        <f>IF(Tabela32[[#This Row],[% Entrega]]&gt;=96%,"Atendeu a Meta","Não Atendeu a Meta")</f>
        <v>Atendeu a Meta</v>
      </c>
      <c r="W263" s="4" t="s">
        <v>40</v>
      </c>
      <c r="X263" s="4">
        <v>0</v>
      </c>
      <c r="Y263" s="5">
        <v>0</v>
      </c>
    </row>
    <row r="264" spans="1:25" x14ac:dyDescent="0.25">
      <c r="A264" s="8">
        <v>46273</v>
      </c>
      <c r="B264" s="16">
        <f>YEAR(Tabela32[[#This Row],[Data]])</f>
        <v>2026</v>
      </c>
      <c r="C264" s="16">
        <f>MONTH(Tabela32[[#This Row],[Data]])</f>
        <v>9</v>
      </c>
      <c r="D264" s="4" t="s">
        <v>23</v>
      </c>
      <c r="E264" s="4">
        <v>5</v>
      </c>
      <c r="F264" s="4" t="str">
        <f>IFERROR(VLOOKUP(Tabela32[[#This Row],[Placa]],Planilha2!$A$1:$B$12,2,0),"")</f>
        <v>William</v>
      </c>
      <c r="G264" s="10">
        <v>15317.32</v>
      </c>
      <c r="H264" s="10">
        <v>221667.21</v>
      </c>
      <c r="I264" s="4">
        <v>3157</v>
      </c>
      <c r="J264" s="17">
        <f>IFERROR(Tabela32[[#This Row],[Valor Frete]]/Tabela32[[#This Row],[Valor Mercadoria]],"")</f>
        <v>6.9100522355110619E-2</v>
      </c>
      <c r="K264" s="11">
        <v>0.3125</v>
      </c>
      <c r="L264" s="15">
        <v>0.78819444444444442</v>
      </c>
      <c r="M264" s="15">
        <f>Tabela32[[#This Row],[Hr Chegada]]-Tabela32[[#This Row],[Hr Saida]]</f>
        <v>0.47569444444444442</v>
      </c>
      <c r="N264" s="4">
        <v>124897</v>
      </c>
      <c r="O264" s="4">
        <v>124972</v>
      </c>
      <c r="P264" s="4">
        <f>Tabela32[[#This Row],[Km Chegada]]-Tabela32[[#This Row],[Km Saída]]</f>
        <v>75</v>
      </c>
      <c r="Q264" s="4">
        <v>391</v>
      </c>
      <c r="R264" s="4">
        <v>27</v>
      </c>
      <c r="S264" s="4">
        <v>27</v>
      </c>
      <c r="T264" s="12">
        <f>Tabela32[[#This Row],[Entregas]]-Tabela32[[#This Row],[Realizadas]]</f>
        <v>0</v>
      </c>
      <c r="U264" s="18">
        <f>Tabela32[[#This Row],[Realizadas]]/Tabela32[[#This Row],[Entregas]]</f>
        <v>1</v>
      </c>
      <c r="V264" s="19" t="str">
        <f>IF(Tabela32[[#This Row],[% Entrega]]&gt;=96%,"Atendeu a Meta","Não Atendeu a Meta")</f>
        <v>Atendeu a Meta</v>
      </c>
      <c r="W264" s="4" t="s">
        <v>39</v>
      </c>
      <c r="X264" s="4">
        <v>0</v>
      </c>
      <c r="Y264" s="5">
        <v>0</v>
      </c>
    </row>
    <row r="265" spans="1:25" x14ac:dyDescent="0.25">
      <c r="A265" s="8">
        <v>46273</v>
      </c>
      <c r="B265" s="16">
        <f>YEAR(Tabela32[[#This Row],[Data]])</f>
        <v>2026</v>
      </c>
      <c r="C265" s="16">
        <f>MONTH(Tabela32[[#This Row],[Data]])</f>
        <v>9</v>
      </c>
      <c r="D265" s="4" t="s">
        <v>35</v>
      </c>
      <c r="E265" s="4">
        <v>2</v>
      </c>
      <c r="F265" s="4" t="str">
        <f>IFERROR(VLOOKUP(Tabela32[[#This Row],[Placa]],Planilha2!$A$1:$B$12,2,0),"")</f>
        <v>Osvaldo</v>
      </c>
      <c r="G265" s="10">
        <v>9200.61</v>
      </c>
      <c r="H265" s="10">
        <v>273734.77</v>
      </c>
      <c r="I265" s="4">
        <v>1694</v>
      </c>
      <c r="J265" s="17">
        <f>IFERROR(Tabela32[[#This Row],[Valor Frete]]/Tabela32[[#This Row],[Valor Mercadoria]],"")</f>
        <v>3.3611404207072412E-2</v>
      </c>
      <c r="K265" s="11">
        <v>0.27083333333333331</v>
      </c>
      <c r="L265" s="15">
        <v>0.77777777777777779</v>
      </c>
      <c r="M265" s="15">
        <f>Tabela32[[#This Row],[Hr Chegada]]-Tabela32[[#This Row],[Hr Saida]]</f>
        <v>0.50694444444444442</v>
      </c>
      <c r="N265" s="4">
        <v>142899</v>
      </c>
      <c r="O265" s="4">
        <v>142979</v>
      </c>
      <c r="P265" s="4">
        <f>Tabela32[[#This Row],[Km Chegada]]-Tabela32[[#This Row],[Km Saída]]</f>
        <v>80</v>
      </c>
      <c r="Q265" s="4">
        <v>224</v>
      </c>
      <c r="R265" s="4">
        <v>31</v>
      </c>
      <c r="S265" s="4">
        <v>31</v>
      </c>
      <c r="T265" s="12">
        <f>Tabela32[[#This Row],[Entregas]]-Tabela32[[#This Row],[Realizadas]]</f>
        <v>0</v>
      </c>
      <c r="U265" s="18">
        <f>Tabela32[[#This Row],[Realizadas]]/Tabela32[[#This Row],[Entregas]]</f>
        <v>1</v>
      </c>
      <c r="V265" s="19" t="str">
        <f>IF(Tabela32[[#This Row],[% Entrega]]&gt;=96%,"Atendeu a Meta","Não Atendeu a Meta")</f>
        <v>Atendeu a Meta</v>
      </c>
      <c r="W265" s="4" t="s">
        <v>39</v>
      </c>
      <c r="X265" s="4">
        <v>0</v>
      </c>
      <c r="Y265" s="5">
        <v>0</v>
      </c>
    </row>
    <row r="266" spans="1:25" x14ac:dyDescent="0.25">
      <c r="A266" s="8">
        <v>46274</v>
      </c>
      <c r="B266" s="16">
        <f>YEAR(Tabela32[[#This Row],[Data]])</f>
        <v>2026</v>
      </c>
      <c r="C266" s="16">
        <f>MONTH(Tabela32[[#This Row],[Data]])</f>
        <v>9</v>
      </c>
      <c r="D266" s="4" t="s">
        <v>25</v>
      </c>
      <c r="E266" s="4">
        <v>3</v>
      </c>
      <c r="F266" s="4" t="str">
        <f>IFERROR(VLOOKUP(Tabela32[[#This Row],[Placa]],Planilha2!$A$1:$B$12,2,0),"")</f>
        <v>Gilberto</v>
      </c>
      <c r="G266" s="10">
        <v>6363.45</v>
      </c>
      <c r="H266" s="10">
        <v>192714.53</v>
      </c>
      <c r="I266" s="4">
        <v>1387</v>
      </c>
      <c r="J266" s="17">
        <f>IFERROR(Tabela32[[#This Row],[Valor Frete]]/Tabela32[[#This Row],[Valor Mercadoria]],"")</f>
        <v>3.3020084162828825E-2</v>
      </c>
      <c r="K266" s="11">
        <v>0.29166666666666669</v>
      </c>
      <c r="L266" s="15">
        <v>0.74305555555555558</v>
      </c>
      <c r="M266" s="15">
        <f>Tabela32[[#This Row],[Hr Chegada]]-Tabela32[[#This Row],[Hr Saida]]</f>
        <v>0.4513888888888889</v>
      </c>
      <c r="N266" s="4">
        <v>119633</v>
      </c>
      <c r="O266" s="4">
        <v>119690</v>
      </c>
      <c r="P266" s="4">
        <f>Tabela32[[#This Row],[Km Chegada]]-Tabela32[[#This Row],[Km Saída]]</f>
        <v>57</v>
      </c>
      <c r="Q266" s="4">
        <v>316</v>
      </c>
      <c r="R266" s="4">
        <v>16</v>
      </c>
      <c r="S266" s="4">
        <v>16</v>
      </c>
      <c r="T266" s="12">
        <f>Tabela32[[#This Row],[Entregas]]-Tabela32[[#This Row],[Realizadas]]</f>
        <v>0</v>
      </c>
      <c r="U266" s="18">
        <f>Tabela32[[#This Row],[Realizadas]]/Tabela32[[#This Row],[Entregas]]</f>
        <v>1</v>
      </c>
      <c r="V266" s="19" t="str">
        <f>IF(Tabela32[[#This Row],[% Entrega]]&gt;=96%,"Atendeu a Meta","Não Atendeu a Meta")</f>
        <v>Atendeu a Meta</v>
      </c>
      <c r="W266" s="4" t="s">
        <v>39</v>
      </c>
      <c r="X266" s="4">
        <v>0</v>
      </c>
      <c r="Y266" s="5">
        <v>0</v>
      </c>
    </row>
    <row r="267" spans="1:25" x14ac:dyDescent="0.25">
      <c r="A267" s="8">
        <v>46274</v>
      </c>
      <c r="B267" s="16">
        <f>YEAR(Tabela32[[#This Row],[Data]])</f>
        <v>2026</v>
      </c>
      <c r="C267" s="16">
        <f>MONTH(Tabela32[[#This Row],[Data]])</f>
        <v>9</v>
      </c>
      <c r="D267" s="4" t="s">
        <v>31</v>
      </c>
      <c r="E267" s="4">
        <v>5</v>
      </c>
      <c r="F267" s="4" t="str">
        <f>IFERROR(VLOOKUP(Tabela32[[#This Row],[Placa]],Planilha2!$A$1:$B$12,2,0),"")</f>
        <v>Jerson</v>
      </c>
      <c r="G267" s="10">
        <v>8630.99</v>
      </c>
      <c r="H267" s="10">
        <v>188763.4</v>
      </c>
      <c r="I267" s="4">
        <v>2529</v>
      </c>
      <c r="J267" s="17">
        <f>IFERROR(Tabela32[[#This Row],[Valor Frete]]/Tabela32[[#This Row],[Valor Mercadoria]],"")</f>
        <v>4.5723853246974783E-2</v>
      </c>
      <c r="K267" s="11">
        <v>0.30208333333333331</v>
      </c>
      <c r="L267" s="15">
        <v>0.72916666666666663</v>
      </c>
      <c r="M267" s="15">
        <f>Tabela32[[#This Row],[Hr Chegada]]-Tabela32[[#This Row],[Hr Saida]]</f>
        <v>0.42708333333333331</v>
      </c>
      <c r="N267" s="4">
        <v>280284</v>
      </c>
      <c r="O267" s="4">
        <v>280306</v>
      </c>
      <c r="P267" s="4">
        <f>Tabela32[[#This Row],[Km Chegada]]-Tabela32[[#This Row],[Km Saída]]</f>
        <v>22</v>
      </c>
      <c r="Q267" s="4">
        <v>415</v>
      </c>
      <c r="R267" s="4">
        <v>28</v>
      </c>
      <c r="S267" s="4">
        <v>28</v>
      </c>
      <c r="T267" s="12">
        <f>Tabela32[[#This Row],[Entregas]]-Tabela32[[#This Row],[Realizadas]]</f>
        <v>0</v>
      </c>
      <c r="U267" s="18">
        <f>Tabela32[[#This Row],[Realizadas]]/Tabela32[[#This Row],[Entregas]]</f>
        <v>1</v>
      </c>
      <c r="V267" s="19" t="str">
        <f>IF(Tabela32[[#This Row],[% Entrega]]&gt;=96%,"Atendeu a Meta","Não Atendeu a Meta")</f>
        <v>Atendeu a Meta</v>
      </c>
      <c r="W267" s="4" t="s">
        <v>39</v>
      </c>
      <c r="X267" s="4">
        <v>0</v>
      </c>
      <c r="Y267" s="5">
        <v>0</v>
      </c>
    </row>
    <row r="268" spans="1:25" x14ac:dyDescent="0.25">
      <c r="A268" s="8">
        <v>46274</v>
      </c>
      <c r="B268" s="16">
        <f>YEAR(Tabela32[[#This Row],[Data]])</f>
        <v>2026</v>
      </c>
      <c r="C268" s="16">
        <f>MONTH(Tabela32[[#This Row],[Data]])</f>
        <v>9</v>
      </c>
      <c r="D268" s="4" t="s">
        <v>28</v>
      </c>
      <c r="E268" s="4">
        <v>11</v>
      </c>
      <c r="F268" s="4" t="str">
        <f>IFERROR(VLOOKUP(Tabela32[[#This Row],[Placa]],Planilha2!$A$1:$B$12,2,0),"")</f>
        <v>Edilson</v>
      </c>
      <c r="G268" s="10">
        <v>23231.13</v>
      </c>
      <c r="H268" s="10">
        <v>568767.07999999996</v>
      </c>
      <c r="I268" s="4">
        <v>3937</v>
      </c>
      <c r="J268" s="17">
        <f>IFERROR(Tabela32[[#This Row],[Valor Frete]]/Tabela32[[#This Row],[Valor Mercadoria]],"")</f>
        <v>4.0844716258894596E-2</v>
      </c>
      <c r="K268" s="11">
        <v>0.27083333333333331</v>
      </c>
      <c r="L268" s="15">
        <v>0.79652777777777772</v>
      </c>
      <c r="M268" s="15">
        <f>Tabela32[[#This Row],[Hr Chegada]]-Tabela32[[#This Row],[Hr Saida]]</f>
        <v>0.52569444444444446</v>
      </c>
      <c r="N268" s="4">
        <v>105079</v>
      </c>
      <c r="O268" s="4">
        <v>105230</v>
      </c>
      <c r="P268" s="4">
        <f>Tabela32[[#This Row],[Km Chegada]]-Tabela32[[#This Row],[Km Saída]]</f>
        <v>151</v>
      </c>
      <c r="Q268" s="4">
        <v>219</v>
      </c>
      <c r="R268" s="4">
        <v>19</v>
      </c>
      <c r="S268" s="4">
        <v>19</v>
      </c>
      <c r="T268" s="12">
        <f>Tabela32[[#This Row],[Entregas]]-Tabela32[[#This Row],[Realizadas]]</f>
        <v>0</v>
      </c>
      <c r="U268" s="18">
        <f>Tabela32[[#This Row],[Realizadas]]/Tabela32[[#This Row],[Entregas]]</f>
        <v>1</v>
      </c>
      <c r="V268" s="19" t="str">
        <f>IF(Tabela32[[#This Row],[% Entrega]]&gt;=96%,"Atendeu a Meta","Não Atendeu a Meta")</f>
        <v>Atendeu a Meta</v>
      </c>
      <c r="W268" s="4" t="s">
        <v>41</v>
      </c>
      <c r="X268" s="4">
        <v>0</v>
      </c>
      <c r="Y268" s="5">
        <v>0</v>
      </c>
    </row>
    <row r="269" spans="1:25" x14ac:dyDescent="0.25">
      <c r="A269" s="8">
        <v>46274</v>
      </c>
      <c r="B269" s="16">
        <f>YEAR(Tabela32[[#This Row],[Data]])</f>
        <v>2026</v>
      </c>
      <c r="C269" s="16">
        <f>MONTH(Tabela32[[#This Row],[Data]])</f>
        <v>9</v>
      </c>
      <c r="D269" s="4" t="s">
        <v>53</v>
      </c>
      <c r="E269" s="4">
        <v>5</v>
      </c>
      <c r="F269" s="4" t="str">
        <f>IFERROR(VLOOKUP(Tabela32[[#This Row],[Placa]],Planilha2!$A$1:$B$12,2,0),"")</f>
        <v>Arnaldo</v>
      </c>
      <c r="G269" s="10">
        <v>6408.08</v>
      </c>
      <c r="H269" s="10">
        <v>114752.32000000001</v>
      </c>
      <c r="I269" s="4">
        <v>1427</v>
      </c>
      <c r="J269" s="17">
        <f>IFERROR(Tabela32[[#This Row],[Valor Frete]]/Tabela32[[#This Row],[Valor Mercadoria]],"")</f>
        <v>5.5842705402383147E-2</v>
      </c>
      <c r="K269" s="11">
        <v>0.2986111111111111</v>
      </c>
      <c r="L269" s="15">
        <v>0.78125</v>
      </c>
      <c r="M269" s="15">
        <f>Tabela32[[#This Row],[Hr Chegada]]-Tabela32[[#This Row],[Hr Saida]]</f>
        <v>0.4826388888888889</v>
      </c>
      <c r="N269" s="4">
        <v>13214</v>
      </c>
      <c r="O269" s="4">
        <v>13253</v>
      </c>
      <c r="P269" s="4">
        <f>Tabela32[[#This Row],[Km Chegada]]-Tabela32[[#This Row],[Km Saída]]</f>
        <v>39</v>
      </c>
      <c r="Q269" s="4">
        <v>599</v>
      </c>
      <c r="R269" s="4">
        <v>3</v>
      </c>
      <c r="S269" s="4">
        <v>3</v>
      </c>
      <c r="T269" s="12">
        <f>Tabela32[[#This Row],[Entregas]]-Tabela32[[#This Row],[Realizadas]]</f>
        <v>0</v>
      </c>
      <c r="U269" s="18">
        <f>Tabela32[[#This Row],[Realizadas]]/Tabela32[[#This Row],[Entregas]]</f>
        <v>1</v>
      </c>
      <c r="V269" s="19" t="str">
        <f>IF(Tabela32[[#This Row],[% Entrega]]&gt;=96%,"Atendeu a Meta","Não Atendeu a Meta")</f>
        <v>Atendeu a Meta</v>
      </c>
      <c r="W269" s="4" t="s">
        <v>39</v>
      </c>
      <c r="X269" s="4">
        <v>0</v>
      </c>
      <c r="Y269" s="5">
        <v>0</v>
      </c>
    </row>
    <row r="270" spans="1:25" x14ac:dyDescent="0.25">
      <c r="A270" s="8">
        <v>46274</v>
      </c>
      <c r="B270" s="16">
        <f>YEAR(Tabela32[[#This Row],[Data]])</f>
        <v>2026</v>
      </c>
      <c r="C270" s="16">
        <f>MONTH(Tabela32[[#This Row],[Data]])</f>
        <v>9</v>
      </c>
      <c r="D270" s="4" t="s">
        <v>22</v>
      </c>
      <c r="E270" s="4">
        <v>1</v>
      </c>
      <c r="F270" s="4" t="str">
        <f>IFERROR(VLOOKUP(Tabela32[[#This Row],[Placa]],Planilha2!$A$1:$B$12,2,0),"")</f>
        <v>Wesley</v>
      </c>
      <c r="G270" s="10">
        <v>12077</v>
      </c>
      <c r="H270" s="10">
        <v>194565.5</v>
      </c>
      <c r="I270" s="4">
        <v>2323</v>
      </c>
      <c r="J270" s="17">
        <f>IFERROR(Tabela32[[#This Row],[Valor Frete]]/Tabela32[[#This Row],[Valor Mercadoria]],"")</f>
        <v>6.2071641683648954E-2</v>
      </c>
      <c r="K270" s="11">
        <v>0.29166666666666669</v>
      </c>
      <c r="L270" s="15">
        <v>0.80763888888888891</v>
      </c>
      <c r="M270" s="15">
        <f>Tabela32[[#This Row],[Hr Chegada]]-Tabela32[[#This Row],[Hr Saida]]</f>
        <v>0.51597222222222228</v>
      </c>
      <c r="N270" s="4">
        <v>304242</v>
      </c>
      <c r="O270" s="4">
        <v>304326</v>
      </c>
      <c r="P270" s="4">
        <f>Tabela32[[#This Row],[Km Chegada]]-Tabela32[[#This Row],[Km Saída]]</f>
        <v>84</v>
      </c>
      <c r="Q270" s="4">
        <v>229</v>
      </c>
      <c r="R270" s="4">
        <v>41</v>
      </c>
      <c r="S270" s="4">
        <v>41</v>
      </c>
      <c r="T270" s="12">
        <f>Tabela32[[#This Row],[Entregas]]-Tabela32[[#This Row],[Realizadas]]</f>
        <v>0</v>
      </c>
      <c r="U270" s="18">
        <f>Tabela32[[#This Row],[Realizadas]]/Tabela32[[#This Row],[Entregas]]</f>
        <v>1</v>
      </c>
      <c r="V270" s="19" t="str">
        <f>IF(Tabela32[[#This Row],[% Entrega]]&gt;=96%,"Atendeu a Meta","Não Atendeu a Meta")</f>
        <v>Atendeu a Meta</v>
      </c>
      <c r="W270" s="4" t="s">
        <v>43</v>
      </c>
      <c r="X270" s="4">
        <v>0</v>
      </c>
      <c r="Y270" s="5">
        <v>0</v>
      </c>
    </row>
    <row r="271" spans="1:25" x14ac:dyDescent="0.25">
      <c r="A271" s="8">
        <v>46274</v>
      </c>
      <c r="B271" s="16">
        <f>YEAR(Tabela32[[#This Row],[Data]])</f>
        <v>2026</v>
      </c>
      <c r="C271" s="16">
        <f>MONTH(Tabela32[[#This Row],[Data]])</f>
        <v>9</v>
      </c>
      <c r="D271" s="4" t="s">
        <v>37</v>
      </c>
      <c r="E271" s="4">
        <v>1</v>
      </c>
      <c r="F271" s="4" t="str">
        <f>IFERROR(VLOOKUP(Tabela32[[#This Row],[Placa]],Planilha2!$A$1:$B$12,2,0),"")</f>
        <v>Manoel</v>
      </c>
      <c r="G271" s="10">
        <v>512.91</v>
      </c>
      <c r="H271" s="10">
        <v>4311.4799999999996</v>
      </c>
      <c r="I271" s="4">
        <v>9.1</v>
      </c>
      <c r="J271" s="17">
        <f>IFERROR(Tabela32[[#This Row],[Valor Frete]]/Tabela32[[#This Row],[Valor Mercadoria]],"")</f>
        <v>0.11896378969634558</v>
      </c>
      <c r="K271" s="11">
        <v>0.51041666666666663</v>
      </c>
      <c r="L271" s="15">
        <v>0.73124999999999996</v>
      </c>
      <c r="M271" s="15">
        <f>Tabela32[[#This Row],[Hr Chegada]]-Tabela32[[#This Row],[Hr Saida]]</f>
        <v>0.22083333333333333</v>
      </c>
      <c r="N271" s="4">
        <v>11930</v>
      </c>
      <c r="O271" s="4">
        <v>11968</v>
      </c>
      <c r="P271" s="4">
        <f>Tabela32[[#This Row],[Km Chegada]]-Tabela32[[#This Row],[Km Saída]]</f>
        <v>38</v>
      </c>
      <c r="Q271" s="4">
        <v>10</v>
      </c>
      <c r="R271" s="4">
        <v>1</v>
      </c>
      <c r="S271" s="4">
        <v>1</v>
      </c>
      <c r="T271" s="12">
        <f>Tabela32[[#This Row],[Entregas]]-Tabela32[[#This Row],[Realizadas]]</f>
        <v>0</v>
      </c>
      <c r="U271" s="18">
        <f>Tabela32[[#This Row],[Realizadas]]/Tabela32[[#This Row],[Entregas]]</f>
        <v>1</v>
      </c>
      <c r="V271" s="19" t="str">
        <f>IF(Tabela32[[#This Row],[% Entrega]]&gt;=96%,"Atendeu a Meta","Não Atendeu a Meta")</f>
        <v>Atendeu a Meta</v>
      </c>
      <c r="W271" s="4" t="s">
        <v>39</v>
      </c>
      <c r="X271" s="4">
        <v>0</v>
      </c>
      <c r="Y271" s="5">
        <v>0</v>
      </c>
    </row>
    <row r="272" spans="1:25" x14ac:dyDescent="0.25">
      <c r="A272" s="8">
        <v>46274</v>
      </c>
      <c r="B272" s="16">
        <f>YEAR(Tabela32[[#This Row],[Data]])</f>
        <v>2026</v>
      </c>
      <c r="C272" s="16">
        <f>MONTH(Tabela32[[#This Row],[Data]])</f>
        <v>9</v>
      </c>
      <c r="D272" s="4" t="s">
        <v>29</v>
      </c>
      <c r="E272" s="4">
        <v>1</v>
      </c>
      <c r="F272" s="4" t="str">
        <f>IFERROR(VLOOKUP(Tabela32[[#This Row],[Placa]],Planilha2!$A$1:$B$12,2,0),"")</f>
        <v>Sandro</v>
      </c>
      <c r="G272" s="10">
        <v>2603.98</v>
      </c>
      <c r="H272" s="10">
        <v>52384.78</v>
      </c>
      <c r="I272" s="4">
        <v>199</v>
      </c>
      <c r="J272" s="17">
        <f>IFERROR(Tabela32[[#This Row],[Valor Frete]]/Tabela32[[#This Row],[Valor Mercadoria]],"")</f>
        <v>4.9708713103309779E-2</v>
      </c>
      <c r="K272" s="11">
        <v>0.29166666666666669</v>
      </c>
      <c r="L272" s="15">
        <v>0.73958333333333337</v>
      </c>
      <c r="M272" s="15">
        <f>Tabela32[[#This Row],[Hr Chegada]]-Tabela32[[#This Row],[Hr Saida]]</f>
        <v>0.44791666666666669</v>
      </c>
      <c r="N272" s="4">
        <v>275543</v>
      </c>
      <c r="O272" s="4">
        <v>275573</v>
      </c>
      <c r="P272" s="4">
        <f>Tabela32[[#This Row],[Km Chegada]]-Tabela32[[#This Row],[Km Saída]]</f>
        <v>30</v>
      </c>
      <c r="Q272" s="4">
        <v>47</v>
      </c>
      <c r="R272" s="4">
        <v>2</v>
      </c>
      <c r="S272" s="4">
        <v>2</v>
      </c>
      <c r="T272" s="12">
        <f>Tabela32[[#This Row],[Entregas]]-Tabela32[[#This Row],[Realizadas]]</f>
        <v>0</v>
      </c>
      <c r="U272" s="18">
        <f>Tabela32[[#This Row],[Realizadas]]/Tabela32[[#This Row],[Entregas]]</f>
        <v>1</v>
      </c>
      <c r="V272" s="19" t="str">
        <f>IF(Tabela32[[#This Row],[% Entrega]]&gt;=96%,"Atendeu a Meta","Não Atendeu a Meta")</f>
        <v>Atendeu a Meta</v>
      </c>
      <c r="W272" s="4" t="s">
        <v>40</v>
      </c>
      <c r="X272" s="4">
        <v>0</v>
      </c>
      <c r="Y272" s="5">
        <v>0</v>
      </c>
    </row>
    <row r="273" spans="1:25" x14ac:dyDescent="0.25">
      <c r="A273" s="8">
        <v>46274</v>
      </c>
      <c r="B273" s="16">
        <f>YEAR(Tabela32[[#This Row],[Data]])</f>
        <v>2026</v>
      </c>
      <c r="C273" s="16">
        <f>MONTH(Tabela32[[#This Row],[Data]])</f>
        <v>9</v>
      </c>
      <c r="D273" s="4" t="s">
        <v>33</v>
      </c>
      <c r="E273" s="4">
        <v>1</v>
      </c>
      <c r="F273" s="4" t="str">
        <f>IFERROR(VLOOKUP(Tabela32[[#This Row],[Placa]],Planilha2!$A$1:$B$12,2,0),"")</f>
        <v>Paulo</v>
      </c>
      <c r="G273" s="10">
        <v>692.88</v>
      </c>
      <c r="H273" s="10">
        <v>7644</v>
      </c>
      <c r="I273" s="4">
        <v>51</v>
      </c>
      <c r="J273" s="17">
        <f>IFERROR(Tabela32[[#This Row],[Valor Frete]]/Tabela32[[#This Row],[Valor Mercadoria]],"")</f>
        <v>9.0643642072213496E-2</v>
      </c>
      <c r="K273" s="11">
        <v>0.29166666666666669</v>
      </c>
      <c r="L273" s="15">
        <v>0.72777777777777775</v>
      </c>
      <c r="M273" s="15">
        <f>Tabela32[[#This Row],[Hr Chegada]]-Tabela32[[#This Row],[Hr Saida]]</f>
        <v>0.43611111111111106</v>
      </c>
      <c r="N273" s="4">
        <v>155216</v>
      </c>
      <c r="O273" s="4">
        <v>155311</v>
      </c>
      <c r="P273" s="4">
        <f>Tabela32[[#This Row],[Km Chegada]]-Tabela32[[#This Row],[Km Saída]]</f>
        <v>95</v>
      </c>
      <c r="Q273" s="4">
        <v>1</v>
      </c>
      <c r="R273" s="4">
        <v>1</v>
      </c>
      <c r="S273" s="4">
        <v>1</v>
      </c>
      <c r="T273" s="12">
        <f>Tabela32[[#This Row],[Entregas]]-Tabela32[[#This Row],[Realizadas]]</f>
        <v>0</v>
      </c>
      <c r="U273" s="18">
        <f>Tabela32[[#This Row],[Realizadas]]/Tabela32[[#This Row],[Entregas]]</f>
        <v>1</v>
      </c>
      <c r="V273" s="19" t="str">
        <f>IF(Tabela32[[#This Row],[% Entrega]]&gt;=96%,"Atendeu a Meta","Não Atendeu a Meta")</f>
        <v>Atendeu a Meta</v>
      </c>
      <c r="W273" s="4" t="s">
        <v>40</v>
      </c>
      <c r="X273" s="4">
        <v>0</v>
      </c>
      <c r="Y273" s="5">
        <v>0</v>
      </c>
    </row>
    <row r="274" spans="1:25" x14ac:dyDescent="0.25">
      <c r="A274" s="8">
        <v>46274</v>
      </c>
      <c r="B274" s="16">
        <f>YEAR(Tabela32[[#This Row],[Data]])</f>
        <v>2026</v>
      </c>
      <c r="C274" s="16">
        <f>MONTH(Tabela32[[#This Row],[Data]])</f>
        <v>9</v>
      </c>
      <c r="D274" s="4" t="s">
        <v>23</v>
      </c>
      <c r="E274" s="4">
        <v>4</v>
      </c>
      <c r="F274" s="4" t="str">
        <f>IFERROR(VLOOKUP(Tabela32[[#This Row],[Placa]],Planilha2!$A$1:$B$12,2,0),"")</f>
        <v>William</v>
      </c>
      <c r="G274" s="10">
        <v>3712.6</v>
      </c>
      <c r="H274" s="10">
        <v>97729.68</v>
      </c>
      <c r="I274" s="4">
        <v>1241</v>
      </c>
      <c r="J274" s="17">
        <f>IFERROR(Tabela32[[#This Row],[Valor Frete]]/Tabela32[[#This Row],[Valor Mercadoria]],"")</f>
        <v>3.7988459595897583E-2</v>
      </c>
      <c r="K274" s="11">
        <v>0.29166666666666669</v>
      </c>
      <c r="L274" s="15">
        <v>0.73611111111111116</v>
      </c>
      <c r="M274" s="15">
        <f>Tabela32[[#This Row],[Hr Chegada]]-Tabela32[[#This Row],[Hr Saida]]</f>
        <v>0.44444444444444448</v>
      </c>
      <c r="N274" s="4">
        <v>124972</v>
      </c>
      <c r="O274" s="4">
        <v>125031</v>
      </c>
      <c r="P274" s="4">
        <f>Tabela32[[#This Row],[Km Chegada]]-Tabela32[[#This Row],[Km Saída]]</f>
        <v>59</v>
      </c>
      <c r="Q274" s="4">
        <v>227</v>
      </c>
      <c r="R274" s="4">
        <v>11</v>
      </c>
      <c r="S274" s="4">
        <v>11</v>
      </c>
      <c r="T274" s="12">
        <f>Tabela32[[#This Row],[Entregas]]-Tabela32[[#This Row],[Realizadas]]</f>
        <v>0</v>
      </c>
      <c r="U274" s="18">
        <f>Tabela32[[#This Row],[Realizadas]]/Tabela32[[#This Row],[Entregas]]</f>
        <v>1</v>
      </c>
      <c r="V274" s="19" t="str">
        <f>IF(Tabela32[[#This Row],[% Entrega]]&gt;=96%,"Atendeu a Meta","Não Atendeu a Meta")</f>
        <v>Atendeu a Meta</v>
      </c>
      <c r="W274" s="4" t="s">
        <v>39</v>
      </c>
      <c r="X274" s="4">
        <v>0</v>
      </c>
      <c r="Y274" s="5">
        <v>0</v>
      </c>
    </row>
    <row r="275" spans="1:25" x14ac:dyDescent="0.25">
      <c r="A275" s="8">
        <v>46274</v>
      </c>
      <c r="B275" s="16">
        <f>YEAR(Tabela32[[#This Row],[Data]])</f>
        <v>2026</v>
      </c>
      <c r="C275" s="16">
        <f>MONTH(Tabela32[[#This Row],[Data]])</f>
        <v>9</v>
      </c>
      <c r="D275" s="4" t="s">
        <v>35</v>
      </c>
      <c r="E275" s="4">
        <v>2</v>
      </c>
      <c r="F275" s="4" t="str">
        <f>IFERROR(VLOOKUP(Tabela32[[#This Row],[Placa]],Planilha2!$A$1:$B$12,2,0),"")</f>
        <v>Osvaldo</v>
      </c>
      <c r="G275" s="10">
        <v>11696.65</v>
      </c>
      <c r="H275" s="10">
        <v>239969.72</v>
      </c>
      <c r="I275" s="4">
        <v>1889</v>
      </c>
      <c r="J275" s="17">
        <f>IFERROR(Tabela32[[#This Row],[Valor Frete]]/Tabela32[[#This Row],[Valor Mercadoria]],"")</f>
        <v>4.8742191306469833E-2</v>
      </c>
      <c r="K275" s="11">
        <v>0.29166666666666669</v>
      </c>
      <c r="L275" s="15">
        <v>0.69791666666666663</v>
      </c>
      <c r="M275" s="15">
        <f>Tabela32[[#This Row],[Hr Chegada]]-Tabela32[[#This Row],[Hr Saida]]</f>
        <v>0.40624999999999994</v>
      </c>
      <c r="N275" s="4">
        <v>142979</v>
      </c>
      <c r="O275" s="4">
        <v>143039</v>
      </c>
      <c r="P275" s="4">
        <f>Tabela32[[#This Row],[Km Chegada]]-Tabela32[[#This Row],[Km Saída]]</f>
        <v>60</v>
      </c>
      <c r="Q275" s="4">
        <v>370</v>
      </c>
      <c r="R275" s="4">
        <v>31</v>
      </c>
      <c r="S275" s="4">
        <v>31</v>
      </c>
      <c r="T275" s="12">
        <f>Tabela32[[#This Row],[Entregas]]-Tabela32[[#This Row],[Realizadas]]</f>
        <v>0</v>
      </c>
      <c r="U275" s="18">
        <f>Tabela32[[#This Row],[Realizadas]]/Tabela32[[#This Row],[Entregas]]</f>
        <v>1</v>
      </c>
      <c r="V275" s="19" t="str">
        <f>IF(Tabela32[[#This Row],[% Entrega]]&gt;=96%,"Atendeu a Meta","Não Atendeu a Meta")</f>
        <v>Atendeu a Meta</v>
      </c>
      <c r="W275" s="4" t="s">
        <v>39</v>
      </c>
      <c r="X275" s="4">
        <v>0</v>
      </c>
      <c r="Y275" s="5">
        <v>0</v>
      </c>
    </row>
    <row r="276" spans="1:25" x14ac:dyDescent="0.25">
      <c r="A276" s="8">
        <v>46274</v>
      </c>
      <c r="B276" s="16">
        <f>YEAR(Tabela32[[#This Row],[Data]])</f>
        <v>2026</v>
      </c>
      <c r="C276" s="16">
        <f>MONTH(Tabela32[[#This Row],[Data]])</f>
        <v>9</v>
      </c>
      <c r="D276" s="4" t="s">
        <v>27</v>
      </c>
      <c r="E276" s="4">
        <v>2</v>
      </c>
      <c r="F276" s="4" t="str">
        <f>IFERROR(VLOOKUP(Tabela32[[#This Row],[Placa]],Planilha2!$A$1:$B$12,2,0),"")</f>
        <v>Rosinaldo</v>
      </c>
      <c r="G276" s="10">
        <v>7083.64</v>
      </c>
      <c r="H276" s="10">
        <v>128076.66</v>
      </c>
      <c r="I276" s="4">
        <v>2148</v>
      </c>
      <c r="J276" s="17">
        <f>IFERROR(Tabela32[[#This Row],[Valor Frete]]/Tabela32[[#This Row],[Valor Mercadoria]],"")</f>
        <v>5.5307813304937843E-2</v>
      </c>
      <c r="K276" s="11">
        <v>0.29166666666666669</v>
      </c>
      <c r="L276" s="15">
        <v>0.74305555555555558</v>
      </c>
      <c r="M276" s="15">
        <f>Tabela32[[#This Row],[Hr Chegada]]-Tabela32[[#This Row],[Hr Saida]]</f>
        <v>0.4513888888888889</v>
      </c>
      <c r="N276" s="4">
        <v>291172</v>
      </c>
      <c r="O276" s="4">
        <v>291225</v>
      </c>
      <c r="P276" s="4">
        <f>Tabela32[[#This Row],[Km Chegada]]-Tabela32[[#This Row],[Km Saída]]</f>
        <v>53</v>
      </c>
      <c r="Q276" s="4">
        <v>468</v>
      </c>
      <c r="R276" s="4">
        <v>26</v>
      </c>
      <c r="S276" s="4">
        <v>26</v>
      </c>
      <c r="T276" s="12">
        <f>Tabela32[[#This Row],[Entregas]]-Tabela32[[#This Row],[Realizadas]]</f>
        <v>0</v>
      </c>
      <c r="U276" s="18">
        <f>Tabela32[[#This Row],[Realizadas]]/Tabela32[[#This Row],[Entregas]]</f>
        <v>1</v>
      </c>
      <c r="V276" s="19" t="str">
        <f>IF(Tabela32[[#This Row],[% Entrega]]&gt;=96%,"Atendeu a Meta","Não Atendeu a Meta")</f>
        <v>Atendeu a Meta</v>
      </c>
      <c r="W276" s="4" t="s">
        <v>39</v>
      </c>
      <c r="X276" s="4">
        <v>0</v>
      </c>
      <c r="Y276" s="5">
        <v>0</v>
      </c>
    </row>
    <row r="277" spans="1:25" x14ac:dyDescent="0.25">
      <c r="A277" s="8">
        <v>46275</v>
      </c>
      <c r="B277" s="16">
        <f>YEAR(Tabela32[[#This Row],[Data]])</f>
        <v>2026</v>
      </c>
      <c r="C277" s="16">
        <f>MONTH(Tabela32[[#This Row],[Data]])</f>
        <v>9</v>
      </c>
      <c r="D277" s="4" t="s">
        <v>31</v>
      </c>
      <c r="E277" s="4">
        <v>5</v>
      </c>
      <c r="F277" s="4" t="str">
        <f>IFERROR(VLOOKUP(Tabela32[[#This Row],[Placa]],Planilha2!$A$1:$B$12,2,0),"")</f>
        <v>Jerson</v>
      </c>
      <c r="G277" s="10">
        <v>11188.55</v>
      </c>
      <c r="H277" s="10">
        <v>300110.93</v>
      </c>
      <c r="I277" s="4">
        <v>2883</v>
      </c>
      <c r="J277" s="17">
        <f>IFERROR(Tabela32[[#This Row],[Valor Frete]]/Tabela32[[#This Row],[Valor Mercadoria]],"")</f>
        <v>3.7281381254591427E-2</v>
      </c>
      <c r="K277" s="11">
        <v>0.29166666666666669</v>
      </c>
      <c r="L277" s="15">
        <v>0.74652777777777779</v>
      </c>
      <c r="M277" s="15">
        <f>Tabela32[[#This Row],[Hr Chegada]]-Tabela32[[#This Row],[Hr Saida]]</f>
        <v>0.4548611111111111</v>
      </c>
      <c r="N277" s="4">
        <v>280306</v>
      </c>
      <c r="O277" s="4">
        <v>280434</v>
      </c>
      <c r="P277" s="4">
        <f>Tabela32[[#This Row],[Km Chegada]]-Tabela32[[#This Row],[Km Saída]]</f>
        <v>128</v>
      </c>
      <c r="Q277" s="4">
        <v>549</v>
      </c>
      <c r="R277" s="4">
        <v>30</v>
      </c>
      <c r="S277" s="4">
        <v>30</v>
      </c>
      <c r="T277" s="12">
        <f>Tabela32[[#This Row],[Entregas]]-Tabela32[[#This Row],[Realizadas]]</f>
        <v>0</v>
      </c>
      <c r="U277" s="18">
        <f>Tabela32[[#This Row],[Realizadas]]/Tabela32[[#This Row],[Entregas]]</f>
        <v>1</v>
      </c>
      <c r="V277" s="19" t="str">
        <f>IF(Tabela32[[#This Row],[% Entrega]]&gt;=96%,"Atendeu a Meta","Não Atendeu a Meta")</f>
        <v>Atendeu a Meta</v>
      </c>
      <c r="W277" s="4" t="s">
        <v>39</v>
      </c>
      <c r="X277" s="4">
        <v>0</v>
      </c>
      <c r="Y277" s="5">
        <v>0</v>
      </c>
    </row>
    <row r="278" spans="1:25" x14ac:dyDescent="0.25">
      <c r="A278" s="8">
        <v>46275</v>
      </c>
      <c r="B278" s="16">
        <f>YEAR(Tabela32[[#This Row],[Data]])</f>
        <v>2026</v>
      </c>
      <c r="C278" s="16">
        <f>MONTH(Tabela32[[#This Row],[Data]])</f>
        <v>9</v>
      </c>
      <c r="D278" s="4" t="s">
        <v>22</v>
      </c>
      <c r="E278" s="4">
        <v>1</v>
      </c>
      <c r="F278" s="4" t="str">
        <f>IFERROR(VLOOKUP(Tabela32[[#This Row],[Placa]],Planilha2!$A$1:$B$12,2,0),"")</f>
        <v>Wesley</v>
      </c>
      <c r="G278" s="10">
        <v>11866.81</v>
      </c>
      <c r="H278" s="10">
        <v>161792.17000000001</v>
      </c>
      <c r="I278" s="4">
        <v>2922</v>
      </c>
      <c r="J278" s="17">
        <f>IFERROR(Tabela32[[#This Row],[Valor Frete]]/Tabela32[[#This Row],[Valor Mercadoria]],"")</f>
        <v>7.3346009266084991E-2</v>
      </c>
      <c r="K278" s="11">
        <v>0.29166666666666669</v>
      </c>
      <c r="L278" s="15">
        <v>0.76388888888888884</v>
      </c>
      <c r="M278" s="15">
        <f>Tabela32[[#This Row],[Hr Chegada]]-Tabela32[[#This Row],[Hr Saida]]</f>
        <v>0.47222222222222215</v>
      </c>
      <c r="N278" s="4">
        <v>304326</v>
      </c>
      <c r="O278" s="4">
        <v>304416</v>
      </c>
      <c r="P278" s="4">
        <f>Tabela32[[#This Row],[Km Chegada]]-Tabela32[[#This Row],[Km Saída]]</f>
        <v>90</v>
      </c>
      <c r="Q278" s="4">
        <v>382</v>
      </c>
      <c r="R278" s="4">
        <v>26</v>
      </c>
      <c r="S278" s="4">
        <v>26</v>
      </c>
      <c r="T278" s="12">
        <f>Tabela32[[#This Row],[Entregas]]-Tabela32[[#This Row],[Realizadas]]</f>
        <v>0</v>
      </c>
      <c r="U278" s="18">
        <f>Tabela32[[#This Row],[Realizadas]]/Tabela32[[#This Row],[Entregas]]</f>
        <v>1</v>
      </c>
      <c r="V278" s="19" t="str">
        <f>IF(Tabela32[[#This Row],[% Entrega]]&gt;=96%,"Atendeu a Meta","Não Atendeu a Meta")</f>
        <v>Atendeu a Meta</v>
      </c>
      <c r="W278" s="4" t="s">
        <v>43</v>
      </c>
      <c r="X278" s="4">
        <v>0</v>
      </c>
      <c r="Y278" s="5">
        <v>0</v>
      </c>
    </row>
    <row r="279" spans="1:25" x14ac:dyDescent="0.25">
      <c r="A279" s="8">
        <v>46275</v>
      </c>
      <c r="B279" s="16">
        <f>YEAR(Tabela32[[#This Row],[Data]])</f>
        <v>2026</v>
      </c>
      <c r="C279" s="16">
        <f>MONTH(Tabela32[[#This Row],[Data]])</f>
        <v>9</v>
      </c>
      <c r="D279" s="4" t="s">
        <v>28</v>
      </c>
      <c r="E279" s="4">
        <v>11</v>
      </c>
      <c r="F279" s="4" t="str">
        <f>IFERROR(VLOOKUP(Tabela32[[#This Row],[Placa]],Planilha2!$A$1:$B$12,2,0),"")</f>
        <v>Edilson</v>
      </c>
      <c r="G279" s="10">
        <v>15619.95</v>
      </c>
      <c r="H279" s="10">
        <v>325047.38</v>
      </c>
      <c r="I279" s="4">
        <v>2613</v>
      </c>
      <c r="J279" s="17">
        <f>IFERROR(Tabela32[[#This Row],[Valor Frete]]/Tabela32[[#This Row],[Valor Mercadoria]],"")</f>
        <v>4.8054379026220735E-2</v>
      </c>
      <c r="K279" s="11">
        <v>0.27083333333333331</v>
      </c>
      <c r="L279" s="15">
        <v>0.75763888888888886</v>
      </c>
      <c r="M279" s="15">
        <f>Tabela32[[#This Row],[Hr Chegada]]-Tabela32[[#This Row],[Hr Saida]]</f>
        <v>0.48680555555555555</v>
      </c>
      <c r="N279" s="4">
        <v>105230</v>
      </c>
      <c r="O279" s="4">
        <v>105359</v>
      </c>
      <c r="P279" s="4">
        <f>Tabela32[[#This Row],[Km Chegada]]-Tabela32[[#This Row],[Km Saída]]</f>
        <v>129</v>
      </c>
      <c r="Q279" s="4">
        <v>315</v>
      </c>
      <c r="R279" s="4">
        <v>37</v>
      </c>
      <c r="S279" s="4">
        <v>37</v>
      </c>
      <c r="T279" s="12">
        <f>Tabela32[[#This Row],[Entregas]]-Tabela32[[#This Row],[Realizadas]]</f>
        <v>0</v>
      </c>
      <c r="U279" s="18">
        <f>Tabela32[[#This Row],[Realizadas]]/Tabela32[[#This Row],[Entregas]]</f>
        <v>1</v>
      </c>
      <c r="V279" s="19" t="str">
        <f>IF(Tabela32[[#This Row],[% Entrega]]&gt;=96%,"Atendeu a Meta","Não Atendeu a Meta")</f>
        <v>Atendeu a Meta</v>
      </c>
      <c r="W279" s="4" t="s">
        <v>41</v>
      </c>
      <c r="X279" s="4">
        <v>0</v>
      </c>
      <c r="Y279" s="5">
        <v>0</v>
      </c>
    </row>
    <row r="280" spans="1:25" x14ac:dyDescent="0.25">
      <c r="A280" s="8">
        <v>46275</v>
      </c>
      <c r="B280" s="16">
        <f>YEAR(Tabela32[[#This Row],[Data]])</f>
        <v>2026</v>
      </c>
      <c r="C280" s="16">
        <f>MONTH(Tabela32[[#This Row],[Data]])</f>
        <v>9</v>
      </c>
      <c r="D280" s="4" t="s">
        <v>53</v>
      </c>
      <c r="E280" s="4">
        <v>11</v>
      </c>
      <c r="F280" s="4" t="str">
        <f>IFERROR(VLOOKUP(Tabela32[[#This Row],[Placa]],Planilha2!$A$1:$B$12,2,0),"")</f>
        <v>Arnaldo</v>
      </c>
      <c r="G280" s="10">
        <v>11376.6</v>
      </c>
      <c r="H280" s="10">
        <v>255027.26</v>
      </c>
      <c r="I280" s="4">
        <v>2886</v>
      </c>
      <c r="J280" s="17">
        <f>IFERROR(Tabela32[[#This Row],[Valor Frete]]/Tabela32[[#This Row],[Valor Mercadoria]],"")</f>
        <v>4.460934882020063E-2</v>
      </c>
      <c r="K280" s="11">
        <v>0.27430555555555558</v>
      </c>
      <c r="L280" s="15">
        <v>0.79374999999999996</v>
      </c>
      <c r="M280" s="15">
        <f>Tabela32[[#This Row],[Hr Chegada]]-Tabela32[[#This Row],[Hr Saida]]</f>
        <v>0.51944444444444438</v>
      </c>
      <c r="N280" s="4">
        <v>13253</v>
      </c>
      <c r="O280" s="4">
        <v>13402</v>
      </c>
      <c r="P280" s="4">
        <f>Tabela32[[#This Row],[Km Chegada]]-Tabela32[[#This Row],[Km Saída]]</f>
        <v>149</v>
      </c>
      <c r="Q280" s="4">
        <v>298</v>
      </c>
      <c r="R280" s="4">
        <v>20</v>
      </c>
      <c r="S280" s="4">
        <v>20</v>
      </c>
      <c r="T280" s="12">
        <f>Tabela32[[#This Row],[Entregas]]-Tabela32[[#This Row],[Realizadas]]</f>
        <v>0</v>
      </c>
      <c r="U280" s="18">
        <f>Tabela32[[#This Row],[Realizadas]]/Tabela32[[#This Row],[Entregas]]</f>
        <v>1</v>
      </c>
      <c r="V280" s="19" t="str">
        <f>IF(Tabela32[[#This Row],[% Entrega]]&gt;=96%,"Atendeu a Meta","Não Atendeu a Meta")</f>
        <v>Atendeu a Meta</v>
      </c>
      <c r="W280" s="4" t="s">
        <v>41</v>
      </c>
      <c r="X280" s="4">
        <v>0</v>
      </c>
      <c r="Y280" s="5">
        <v>0</v>
      </c>
    </row>
    <row r="281" spans="1:25" x14ac:dyDescent="0.25">
      <c r="A281" s="8">
        <v>46275</v>
      </c>
      <c r="B281" s="16">
        <f>YEAR(Tabela32[[#This Row],[Data]])</f>
        <v>2026</v>
      </c>
      <c r="C281" s="16">
        <f>MONTH(Tabela32[[#This Row],[Data]])</f>
        <v>9</v>
      </c>
      <c r="D281" s="4" t="s">
        <v>35</v>
      </c>
      <c r="E281" s="4">
        <v>2</v>
      </c>
      <c r="F281" s="4" t="str">
        <f>IFERROR(VLOOKUP(Tabela32[[#This Row],[Placa]],Planilha2!$A$1:$B$12,2,0),"")</f>
        <v>Osvaldo</v>
      </c>
      <c r="G281" s="10">
        <v>6643.12</v>
      </c>
      <c r="H281" s="10">
        <v>124444.41</v>
      </c>
      <c r="I281" s="4">
        <v>2173</v>
      </c>
      <c r="J281" s="17">
        <f>IFERROR(Tabela32[[#This Row],[Valor Frete]]/Tabela32[[#This Row],[Valor Mercadoria]],"")</f>
        <v>5.3382229061152683E-2</v>
      </c>
      <c r="K281" s="11">
        <v>0.27083333333333331</v>
      </c>
      <c r="L281" s="15">
        <v>0.69444444444444442</v>
      </c>
      <c r="M281" s="15">
        <f>Tabela32[[#This Row],[Hr Chegada]]-Tabela32[[#This Row],[Hr Saida]]</f>
        <v>0.4236111111111111</v>
      </c>
      <c r="N281" s="4">
        <v>143039</v>
      </c>
      <c r="O281" s="4">
        <v>143088</v>
      </c>
      <c r="P281" s="4">
        <f>Tabela32[[#This Row],[Km Chegada]]-Tabela32[[#This Row],[Km Saída]]</f>
        <v>49</v>
      </c>
      <c r="Q281" s="4">
        <v>405</v>
      </c>
      <c r="R281" s="4">
        <v>16</v>
      </c>
      <c r="S281" s="4">
        <v>16</v>
      </c>
      <c r="T281" s="12">
        <f>Tabela32[[#This Row],[Entregas]]-Tabela32[[#This Row],[Realizadas]]</f>
        <v>0</v>
      </c>
      <c r="U281" s="18">
        <f>Tabela32[[#This Row],[Realizadas]]/Tabela32[[#This Row],[Entregas]]</f>
        <v>1</v>
      </c>
      <c r="V281" s="19" t="str">
        <f>IF(Tabela32[[#This Row],[% Entrega]]&gt;=96%,"Atendeu a Meta","Não Atendeu a Meta")</f>
        <v>Atendeu a Meta</v>
      </c>
      <c r="W281" s="4" t="s">
        <v>39</v>
      </c>
      <c r="X281" s="4">
        <v>0</v>
      </c>
      <c r="Y281" s="5">
        <v>0</v>
      </c>
    </row>
    <row r="282" spans="1:25" x14ac:dyDescent="0.25">
      <c r="A282" s="8">
        <v>46275</v>
      </c>
      <c r="B282" s="16">
        <f>YEAR(Tabela32[[#This Row],[Data]])</f>
        <v>2026</v>
      </c>
      <c r="C282" s="16">
        <f>MONTH(Tabela32[[#This Row],[Data]])</f>
        <v>9</v>
      </c>
      <c r="D282" s="4" t="s">
        <v>29</v>
      </c>
      <c r="E282" s="4">
        <v>1</v>
      </c>
      <c r="F282" s="4" t="str">
        <f>IFERROR(VLOOKUP(Tabela32[[#This Row],[Placa]],Planilha2!$A$1:$B$12,2,0),"")</f>
        <v>Sandro</v>
      </c>
      <c r="G282" s="10">
        <v>3912.33</v>
      </c>
      <c r="H282" s="10">
        <v>99851.520000000004</v>
      </c>
      <c r="I282" s="4">
        <v>796</v>
      </c>
      <c r="J282" s="17">
        <f>IFERROR(Tabela32[[#This Row],[Valor Frete]]/Tabela32[[#This Row],[Valor Mercadoria]],"")</f>
        <v>3.9181476656539628E-2</v>
      </c>
      <c r="K282" s="11">
        <v>0.49305555555555558</v>
      </c>
      <c r="L282" s="15">
        <v>0.76111111111111107</v>
      </c>
      <c r="M282" s="15">
        <f>Tabela32[[#This Row],[Hr Chegada]]-Tabela32[[#This Row],[Hr Saida]]</f>
        <v>0.26805555555555549</v>
      </c>
      <c r="N282" s="4">
        <v>275543</v>
      </c>
      <c r="O282" s="4">
        <v>275626</v>
      </c>
      <c r="P282" s="4">
        <f>Tabela32[[#This Row],[Km Chegada]]-Tabela32[[#This Row],[Km Saída]]</f>
        <v>83</v>
      </c>
      <c r="Q282" s="4">
        <v>9</v>
      </c>
      <c r="R282" s="4">
        <v>4</v>
      </c>
      <c r="S282" s="4">
        <v>4</v>
      </c>
      <c r="T282" s="12">
        <f>Tabela32[[#This Row],[Entregas]]-Tabela32[[#This Row],[Realizadas]]</f>
        <v>0</v>
      </c>
      <c r="U282" s="18">
        <f>Tabela32[[#This Row],[Realizadas]]/Tabela32[[#This Row],[Entregas]]</f>
        <v>1</v>
      </c>
      <c r="V282" s="19" t="str">
        <f>IF(Tabela32[[#This Row],[% Entrega]]&gt;=96%,"Atendeu a Meta","Não Atendeu a Meta")</f>
        <v>Atendeu a Meta</v>
      </c>
      <c r="W282" s="4" t="s">
        <v>39</v>
      </c>
      <c r="X282" s="4">
        <v>0</v>
      </c>
      <c r="Y282" s="5">
        <v>0</v>
      </c>
    </row>
    <row r="283" spans="1:25" x14ac:dyDescent="0.25">
      <c r="A283" s="8">
        <v>46275</v>
      </c>
      <c r="B283" s="16">
        <f>YEAR(Tabela32[[#This Row],[Data]])</f>
        <v>2026</v>
      </c>
      <c r="C283" s="16">
        <f>MONTH(Tabela32[[#This Row],[Data]])</f>
        <v>9</v>
      </c>
      <c r="D283" s="4" t="s">
        <v>27</v>
      </c>
      <c r="E283" s="4">
        <v>1</v>
      </c>
      <c r="F283" s="4" t="str">
        <f>IFERROR(VLOOKUP(Tabela32[[#This Row],[Placa]],Planilha2!$A$1:$B$12,2,0),"")</f>
        <v>Rosinaldo</v>
      </c>
      <c r="G283" s="10">
        <v>3701.45</v>
      </c>
      <c r="H283" s="10">
        <v>123607.77</v>
      </c>
      <c r="I283" s="4">
        <v>168</v>
      </c>
      <c r="J283" s="17">
        <f>IFERROR(Tabela32[[#This Row],[Valor Frete]]/Tabela32[[#This Row],[Valor Mercadoria]],"")</f>
        <v>2.9945123999890941E-2</v>
      </c>
      <c r="K283" s="11">
        <v>0.29166666666666669</v>
      </c>
      <c r="L283" s="15">
        <v>0.70833333333333337</v>
      </c>
      <c r="M283" s="15">
        <f>Tabela32[[#This Row],[Hr Chegada]]-Tabela32[[#This Row],[Hr Saida]]</f>
        <v>0.41666666666666669</v>
      </c>
      <c r="N283" s="4">
        <v>291225</v>
      </c>
      <c r="O283" s="4">
        <v>291267</v>
      </c>
      <c r="P283" s="4">
        <f>Tabela32[[#This Row],[Km Chegada]]-Tabela32[[#This Row],[Km Saída]]</f>
        <v>42</v>
      </c>
      <c r="Q283" s="4">
        <v>156</v>
      </c>
      <c r="R283" s="4">
        <v>6</v>
      </c>
      <c r="S283" s="4">
        <v>6</v>
      </c>
      <c r="T283" s="12">
        <f>Tabela32[[#This Row],[Entregas]]-Tabela32[[#This Row],[Realizadas]]</f>
        <v>0</v>
      </c>
      <c r="U283" s="18">
        <f>Tabela32[[#This Row],[Realizadas]]/Tabela32[[#This Row],[Entregas]]</f>
        <v>1</v>
      </c>
      <c r="V283" s="19" t="str">
        <f>IF(Tabela32[[#This Row],[% Entrega]]&gt;=96%,"Atendeu a Meta","Não Atendeu a Meta")</f>
        <v>Atendeu a Meta</v>
      </c>
      <c r="W283" s="4" t="s">
        <v>40</v>
      </c>
      <c r="X283" s="4">
        <v>0</v>
      </c>
      <c r="Y283" s="5">
        <v>0</v>
      </c>
    </row>
    <row r="284" spans="1:25" x14ac:dyDescent="0.25">
      <c r="A284" s="8">
        <v>46275</v>
      </c>
      <c r="B284" s="16">
        <f>YEAR(Tabela32[[#This Row],[Data]])</f>
        <v>2026</v>
      </c>
      <c r="C284" s="16">
        <f>MONTH(Tabela32[[#This Row],[Data]])</f>
        <v>9</v>
      </c>
      <c r="D284" s="4" t="s">
        <v>25</v>
      </c>
      <c r="E284" s="4">
        <v>3</v>
      </c>
      <c r="F284" s="4" t="str">
        <f>IFERROR(VLOOKUP(Tabela32[[#This Row],[Placa]],Planilha2!$A$1:$B$12,2,0),"")</f>
        <v>Gilberto</v>
      </c>
      <c r="G284" s="10">
        <v>9120.92</v>
      </c>
      <c r="H284" s="10">
        <v>202548.46</v>
      </c>
      <c r="I284" s="4">
        <v>1212</v>
      </c>
      <c r="J284" s="17">
        <f>IFERROR(Tabela32[[#This Row],[Valor Frete]]/Tabela32[[#This Row],[Valor Mercadoria]],"")</f>
        <v>4.5030803986364547E-2</v>
      </c>
      <c r="K284" s="11">
        <v>0.29166666666666669</v>
      </c>
      <c r="L284" s="15">
        <v>0.6875</v>
      </c>
      <c r="M284" s="15">
        <f>Tabela32[[#This Row],[Hr Chegada]]-Tabela32[[#This Row],[Hr Saida]]</f>
        <v>0.39583333333333331</v>
      </c>
      <c r="N284" s="4">
        <v>119690</v>
      </c>
      <c r="O284" s="4">
        <v>119739</v>
      </c>
      <c r="P284" s="4">
        <f>Tabela32[[#This Row],[Km Chegada]]-Tabela32[[#This Row],[Km Saída]]</f>
        <v>49</v>
      </c>
      <c r="Q284" s="4">
        <v>95</v>
      </c>
      <c r="R284" s="4">
        <v>29</v>
      </c>
      <c r="S284" s="4">
        <v>29</v>
      </c>
      <c r="T284" s="12">
        <f>Tabela32[[#This Row],[Entregas]]-Tabela32[[#This Row],[Realizadas]]</f>
        <v>0</v>
      </c>
      <c r="U284" s="18">
        <f>Tabela32[[#This Row],[Realizadas]]/Tabela32[[#This Row],[Entregas]]</f>
        <v>1</v>
      </c>
      <c r="V284" s="19" t="str">
        <f>IF(Tabela32[[#This Row],[% Entrega]]&gt;=96%,"Atendeu a Meta","Não Atendeu a Meta")</f>
        <v>Atendeu a Meta</v>
      </c>
      <c r="W284" s="4" t="s">
        <v>39</v>
      </c>
      <c r="X284" s="4">
        <v>0</v>
      </c>
      <c r="Y284" s="5">
        <v>0</v>
      </c>
    </row>
    <row r="285" spans="1:25" x14ac:dyDescent="0.25">
      <c r="A285" s="8">
        <v>46275</v>
      </c>
      <c r="B285" s="16">
        <f>YEAR(Tabela32[[#This Row],[Data]])</f>
        <v>2026</v>
      </c>
      <c r="C285" s="16">
        <f>MONTH(Tabela32[[#This Row],[Data]])</f>
        <v>9</v>
      </c>
      <c r="D285" s="4" t="s">
        <v>33</v>
      </c>
      <c r="E285" s="4">
        <v>5</v>
      </c>
      <c r="F285" s="4" t="str">
        <f>IFERROR(VLOOKUP(Tabela32[[#This Row],[Placa]],Planilha2!$A$1:$B$12,2,0),"")</f>
        <v>Paulo</v>
      </c>
      <c r="G285" s="10">
        <v>2961.64</v>
      </c>
      <c r="H285" s="10">
        <v>20513.91</v>
      </c>
      <c r="I285" s="4">
        <v>505</v>
      </c>
      <c r="J285" s="17">
        <f>IFERROR(Tabela32[[#This Row],[Valor Frete]]/Tabela32[[#This Row],[Valor Mercadoria]],"")</f>
        <v>0.14437228202717084</v>
      </c>
      <c r="K285" s="11">
        <v>0.33333333333333331</v>
      </c>
      <c r="L285" s="15">
        <v>0.69652777777777775</v>
      </c>
      <c r="M285" s="15">
        <f>Tabela32[[#This Row],[Hr Chegada]]-Tabela32[[#This Row],[Hr Saida]]</f>
        <v>0.36319444444444443</v>
      </c>
      <c r="N285" s="4">
        <v>155311</v>
      </c>
      <c r="O285" s="4">
        <v>155347</v>
      </c>
      <c r="P285" s="4">
        <f>Tabela32[[#This Row],[Km Chegada]]-Tabela32[[#This Row],[Km Saída]]</f>
        <v>36</v>
      </c>
      <c r="Q285" s="4">
        <v>63</v>
      </c>
      <c r="R285" s="4">
        <v>3</v>
      </c>
      <c r="S285" s="4">
        <v>3</v>
      </c>
      <c r="T285" s="12">
        <f>Tabela32[[#This Row],[Entregas]]-Tabela32[[#This Row],[Realizadas]]</f>
        <v>0</v>
      </c>
      <c r="U285" s="18">
        <f>Tabela32[[#This Row],[Realizadas]]/Tabela32[[#This Row],[Entregas]]</f>
        <v>1</v>
      </c>
      <c r="V285" s="19" t="str">
        <f>IF(Tabela32[[#This Row],[% Entrega]]&gt;=96%,"Atendeu a Meta","Não Atendeu a Meta")</f>
        <v>Atendeu a Meta</v>
      </c>
      <c r="W285" s="4" t="s">
        <v>39</v>
      </c>
      <c r="X285" s="4">
        <v>0</v>
      </c>
      <c r="Y285" s="5">
        <v>0</v>
      </c>
    </row>
    <row r="286" spans="1:25" x14ac:dyDescent="0.25">
      <c r="A286" s="8">
        <v>46275</v>
      </c>
      <c r="B286" s="16">
        <f>YEAR(Tabela32[[#This Row],[Data]])</f>
        <v>2026</v>
      </c>
      <c r="C286" s="16">
        <f>MONTH(Tabela32[[#This Row],[Data]])</f>
        <v>9</v>
      </c>
      <c r="D286" s="4" t="s">
        <v>23</v>
      </c>
      <c r="E286" s="4">
        <v>4</v>
      </c>
      <c r="F286" s="4" t="str">
        <f>IFERROR(VLOOKUP(Tabela32[[#This Row],[Placa]],Planilha2!$A$1:$B$12,2,0),"")</f>
        <v>William</v>
      </c>
      <c r="G286" s="10">
        <v>7116.05</v>
      </c>
      <c r="H286" s="10">
        <v>161134.03</v>
      </c>
      <c r="I286" s="4">
        <v>1216</v>
      </c>
      <c r="J286" s="17">
        <f>IFERROR(Tabela32[[#This Row],[Valor Frete]]/Tabela32[[#This Row],[Valor Mercadoria]],"")</f>
        <v>4.4162303890742383E-2</v>
      </c>
      <c r="K286" s="11">
        <v>0.29166666666666669</v>
      </c>
      <c r="L286" s="15">
        <v>0.71527777777777779</v>
      </c>
      <c r="M286" s="15">
        <f>Tabela32[[#This Row],[Hr Chegada]]-Tabela32[[#This Row],[Hr Saida]]</f>
        <v>0.4236111111111111</v>
      </c>
      <c r="N286" s="4">
        <v>125031</v>
      </c>
      <c r="O286" s="4">
        <v>125105</v>
      </c>
      <c r="P286" s="4">
        <f>Tabela32[[#This Row],[Km Chegada]]-Tabela32[[#This Row],[Km Saída]]</f>
        <v>74</v>
      </c>
      <c r="Q286" s="4">
        <v>177</v>
      </c>
      <c r="R286" s="4">
        <v>37</v>
      </c>
      <c r="S286" s="4">
        <v>37</v>
      </c>
      <c r="T286" s="12">
        <f>Tabela32[[#This Row],[Entregas]]-Tabela32[[#This Row],[Realizadas]]</f>
        <v>0</v>
      </c>
      <c r="U286" s="18">
        <f>Tabela32[[#This Row],[Realizadas]]/Tabela32[[#This Row],[Entregas]]</f>
        <v>1</v>
      </c>
      <c r="V286" s="19" t="str">
        <f>IF(Tabela32[[#This Row],[% Entrega]]&gt;=96%,"Atendeu a Meta","Não Atendeu a Meta")</f>
        <v>Atendeu a Meta</v>
      </c>
      <c r="W286" s="4" t="s">
        <v>39</v>
      </c>
      <c r="X286" s="4">
        <v>0</v>
      </c>
      <c r="Y286" s="5">
        <v>0</v>
      </c>
    </row>
    <row r="287" spans="1:25" x14ac:dyDescent="0.25">
      <c r="A287" s="8">
        <v>46276</v>
      </c>
      <c r="B287" s="16">
        <f>YEAR(Tabela32[[#This Row],[Data]])</f>
        <v>2026</v>
      </c>
      <c r="C287" s="16">
        <f>MONTH(Tabela32[[#This Row],[Data]])</f>
        <v>9</v>
      </c>
      <c r="D287" s="4" t="s">
        <v>31</v>
      </c>
      <c r="E287" s="4">
        <v>5</v>
      </c>
      <c r="F287" s="4" t="str">
        <f>IFERROR(VLOOKUP(Tabela32[[#This Row],[Placa]],Planilha2!$A$1:$B$12,2,0),"")</f>
        <v>Jerson</v>
      </c>
      <c r="G287" s="10">
        <v>5637.02</v>
      </c>
      <c r="H287" s="10">
        <v>109511.97</v>
      </c>
      <c r="I287" s="4">
        <v>1052</v>
      </c>
      <c r="J287" s="17">
        <f>IFERROR(Tabela32[[#This Row],[Valor Frete]]/Tabela32[[#This Row],[Valor Mercadoria]],"")</f>
        <v>5.1474007818506057E-2</v>
      </c>
      <c r="K287" s="11">
        <v>0.32013888888888886</v>
      </c>
      <c r="L287" s="15">
        <v>0.75416666666666665</v>
      </c>
      <c r="M287" s="15">
        <f>Tabela32[[#This Row],[Hr Chegada]]-Tabela32[[#This Row],[Hr Saida]]</f>
        <v>0.43402777777777779</v>
      </c>
      <c r="N287" s="4">
        <v>280434</v>
      </c>
      <c r="O287" s="4">
        <v>280521</v>
      </c>
      <c r="P287" s="4">
        <f>Tabela32[[#This Row],[Km Chegada]]-Tabela32[[#This Row],[Km Saída]]</f>
        <v>87</v>
      </c>
      <c r="Q287" s="4">
        <v>106</v>
      </c>
      <c r="R287" s="4">
        <v>23</v>
      </c>
      <c r="S287" s="4">
        <v>23</v>
      </c>
      <c r="T287" s="12">
        <f>Tabela32[[#This Row],[Entregas]]-Tabela32[[#This Row],[Realizadas]]</f>
        <v>0</v>
      </c>
      <c r="U287" s="18">
        <f>Tabela32[[#This Row],[Realizadas]]/Tabela32[[#This Row],[Entregas]]</f>
        <v>1</v>
      </c>
      <c r="V287" s="19" t="str">
        <f>IF(Tabela32[[#This Row],[% Entrega]]&gt;=96%,"Atendeu a Meta","Não Atendeu a Meta")</f>
        <v>Atendeu a Meta</v>
      </c>
      <c r="W287" s="4" t="s">
        <v>39</v>
      </c>
      <c r="X287" s="4">
        <v>0</v>
      </c>
      <c r="Y287" s="5"/>
    </row>
    <row r="288" spans="1:25" x14ac:dyDescent="0.25">
      <c r="A288" s="8">
        <v>46276</v>
      </c>
      <c r="B288" s="16">
        <f>YEAR(Tabela32[[#This Row],[Data]])</f>
        <v>2026</v>
      </c>
      <c r="C288" s="16">
        <f>MONTH(Tabela32[[#This Row],[Data]])</f>
        <v>9</v>
      </c>
      <c r="D288" s="4" t="s">
        <v>28</v>
      </c>
      <c r="E288" s="4">
        <v>11</v>
      </c>
      <c r="F288" s="4" t="str">
        <f>IFERROR(VLOOKUP(Tabela32[[#This Row],[Placa]],Planilha2!$A$1:$B$12,2,0),"")</f>
        <v>Edilson</v>
      </c>
      <c r="G288" s="10">
        <v>13396.57</v>
      </c>
      <c r="H288" s="10">
        <v>234333.57</v>
      </c>
      <c r="I288" s="4">
        <v>1775</v>
      </c>
      <c r="J288" s="17">
        <f>IFERROR(Tabela32[[#This Row],[Valor Frete]]/Tabela32[[#This Row],[Valor Mercadoria]],"")</f>
        <v>5.7168804281861961E-2</v>
      </c>
      <c r="K288" s="11">
        <v>0.27083333333333331</v>
      </c>
      <c r="L288" s="15">
        <v>0.80555555555555558</v>
      </c>
      <c r="M288" s="15">
        <f>Tabela32[[#This Row],[Hr Chegada]]-Tabela32[[#This Row],[Hr Saida]]</f>
        <v>0.53472222222222232</v>
      </c>
      <c r="N288" s="4">
        <v>105359</v>
      </c>
      <c r="O288" s="4">
        <v>105497</v>
      </c>
      <c r="P288" s="4">
        <f>Tabela32[[#This Row],[Km Chegada]]-Tabela32[[#This Row],[Km Saída]]</f>
        <v>138</v>
      </c>
      <c r="Q288" s="4">
        <v>211</v>
      </c>
      <c r="R288" s="4">
        <v>42</v>
      </c>
      <c r="S288" s="4">
        <v>42</v>
      </c>
      <c r="T288" s="12">
        <f>Tabela32[[#This Row],[Entregas]]-Tabela32[[#This Row],[Realizadas]]</f>
        <v>0</v>
      </c>
      <c r="U288" s="18">
        <f>Tabela32[[#This Row],[Realizadas]]/Tabela32[[#This Row],[Entregas]]</f>
        <v>1</v>
      </c>
      <c r="V288" s="19" t="str">
        <f>IF(Tabela32[[#This Row],[% Entrega]]&gt;=96%,"Atendeu a Meta","Não Atendeu a Meta")</f>
        <v>Atendeu a Meta</v>
      </c>
      <c r="W288" s="4" t="s">
        <v>41</v>
      </c>
      <c r="X288" s="4">
        <v>1</v>
      </c>
      <c r="Y288" s="5">
        <v>42</v>
      </c>
    </row>
    <row r="289" spans="1:25" x14ac:dyDescent="0.25">
      <c r="A289" s="8">
        <v>46276</v>
      </c>
      <c r="B289" s="16">
        <f>YEAR(Tabela32[[#This Row],[Data]])</f>
        <v>2026</v>
      </c>
      <c r="C289" s="16">
        <f>MONTH(Tabela32[[#This Row],[Data]])</f>
        <v>9</v>
      </c>
      <c r="D289" s="4" t="s">
        <v>29</v>
      </c>
      <c r="E289" s="4">
        <v>1</v>
      </c>
      <c r="F289" s="4" t="str">
        <f>IFERROR(VLOOKUP(Tabela32[[#This Row],[Placa]],Planilha2!$A$1:$B$12,2,0),"")</f>
        <v>Sandro</v>
      </c>
      <c r="G289" s="10">
        <v>2741.07</v>
      </c>
      <c r="H289" s="10">
        <v>48246.09</v>
      </c>
      <c r="I289" s="4">
        <v>402</v>
      </c>
      <c r="J289" s="17">
        <f>IFERROR(Tabela32[[#This Row],[Valor Frete]]/Tabela32[[#This Row],[Valor Mercadoria]],"")</f>
        <v>5.6814344955207777E-2</v>
      </c>
      <c r="K289" s="11">
        <v>0.68055555555555558</v>
      </c>
      <c r="L289" s="15">
        <v>0.69791666666666663</v>
      </c>
      <c r="M289" s="15">
        <f>Tabela32[[#This Row],[Hr Chegada]]-Tabela32[[#This Row],[Hr Saida]]</f>
        <v>1.7361111111111049E-2</v>
      </c>
      <c r="N289" s="4">
        <v>275645</v>
      </c>
      <c r="O289" s="4">
        <v>275646</v>
      </c>
      <c r="P289" s="4">
        <f>Tabela32[[#This Row],[Km Chegada]]-Tabela32[[#This Row],[Km Saída]]</f>
        <v>1</v>
      </c>
      <c r="Q289" s="4">
        <v>2</v>
      </c>
      <c r="R289" s="4">
        <v>1</v>
      </c>
      <c r="S289" s="4">
        <v>1</v>
      </c>
      <c r="T289" s="12">
        <f>Tabela32[[#This Row],[Entregas]]-Tabela32[[#This Row],[Realizadas]]</f>
        <v>0</v>
      </c>
      <c r="U289" s="18">
        <f>Tabela32[[#This Row],[Realizadas]]/Tabela32[[#This Row],[Entregas]]</f>
        <v>1</v>
      </c>
      <c r="V289" s="19" t="str">
        <f>IF(Tabela32[[#This Row],[% Entrega]]&gt;=96%,"Atendeu a Meta","Não Atendeu a Meta")</f>
        <v>Atendeu a Meta</v>
      </c>
      <c r="W289" s="4" t="s">
        <v>43</v>
      </c>
      <c r="X289" s="4">
        <v>0</v>
      </c>
      <c r="Y289" s="5">
        <v>0</v>
      </c>
    </row>
    <row r="290" spans="1:25" x14ac:dyDescent="0.25">
      <c r="A290" s="8">
        <v>46276</v>
      </c>
      <c r="B290" s="16">
        <f>YEAR(Tabela32[[#This Row],[Data]])</f>
        <v>2026</v>
      </c>
      <c r="C290" s="16">
        <f>MONTH(Tabela32[[#This Row],[Data]])</f>
        <v>9</v>
      </c>
      <c r="D290" s="4" t="s">
        <v>36</v>
      </c>
      <c r="E290" s="4">
        <v>5</v>
      </c>
      <c r="F290" s="4" t="str">
        <f>IFERROR(VLOOKUP(Tabela32[[#This Row],[Placa]],Planilha2!$A$1:$B$12,2,0),"")</f>
        <v>Heremilton</v>
      </c>
      <c r="G290" s="10">
        <v>26771.97</v>
      </c>
      <c r="H290" s="10">
        <v>623236.66</v>
      </c>
      <c r="I290" s="4">
        <v>4429</v>
      </c>
      <c r="J290" s="17">
        <f>IFERROR(Tabela32[[#This Row],[Valor Frete]]/Tabela32[[#This Row],[Valor Mercadoria]],"")</f>
        <v>4.2956346630828805E-2</v>
      </c>
      <c r="K290" s="11">
        <v>0.29166666666666669</v>
      </c>
      <c r="L290" s="15">
        <v>0.77222222222222225</v>
      </c>
      <c r="M290" s="15">
        <f>Tabela32[[#This Row],[Hr Chegada]]-Tabela32[[#This Row],[Hr Saida]]</f>
        <v>0.48055555555555557</v>
      </c>
      <c r="N290" s="4">
        <v>365685</v>
      </c>
      <c r="O290" s="4">
        <v>365734</v>
      </c>
      <c r="P290" s="4">
        <f>Tabela32[[#This Row],[Km Chegada]]-Tabela32[[#This Row],[Km Saída]]</f>
        <v>49</v>
      </c>
      <c r="Q290" s="4">
        <v>353</v>
      </c>
      <c r="R290" s="4">
        <v>12</v>
      </c>
      <c r="S290" s="4">
        <v>12</v>
      </c>
      <c r="T290" s="12">
        <f>Tabela32[[#This Row],[Entregas]]-Tabela32[[#This Row],[Realizadas]]</f>
        <v>0</v>
      </c>
      <c r="U290" s="18">
        <f>Tabela32[[#This Row],[Realizadas]]/Tabela32[[#This Row],[Entregas]]</f>
        <v>1</v>
      </c>
      <c r="V290" s="19" t="str">
        <f>IF(Tabela32[[#This Row],[% Entrega]]&gt;=96%,"Atendeu a Meta","Não Atendeu a Meta")</f>
        <v>Atendeu a Meta</v>
      </c>
      <c r="W290" s="4" t="s">
        <v>39</v>
      </c>
      <c r="X290" s="4">
        <v>0</v>
      </c>
      <c r="Y290" s="5">
        <v>0</v>
      </c>
    </row>
    <row r="291" spans="1:25" x14ac:dyDescent="0.25">
      <c r="A291" s="8">
        <v>46276</v>
      </c>
      <c r="B291" s="16">
        <f>YEAR(Tabela32[[#This Row],[Data]])</f>
        <v>2026</v>
      </c>
      <c r="C291" s="16">
        <f>MONTH(Tabela32[[#This Row],[Data]])</f>
        <v>9</v>
      </c>
      <c r="D291" s="4" t="s">
        <v>35</v>
      </c>
      <c r="E291" s="4">
        <v>2</v>
      </c>
      <c r="F291" s="4" t="str">
        <f>IFERROR(VLOOKUP(Tabela32[[#This Row],[Placa]],Planilha2!$A$1:$B$12,2,0),"")</f>
        <v>Osvaldo</v>
      </c>
      <c r="G291" s="10">
        <v>10981.94</v>
      </c>
      <c r="H291" s="10">
        <v>205579.85</v>
      </c>
      <c r="I291" s="4">
        <v>2298</v>
      </c>
      <c r="J291" s="17">
        <f>IFERROR(Tabela32[[#This Row],[Valor Frete]]/Tabela32[[#This Row],[Valor Mercadoria]],"")</f>
        <v>5.3419340465517412E-2</v>
      </c>
      <c r="K291" s="11">
        <v>0.27083333333333331</v>
      </c>
      <c r="L291" s="15">
        <v>0.71666666666666667</v>
      </c>
      <c r="M291" s="15">
        <f>Tabela32[[#This Row],[Hr Chegada]]-Tabela32[[#This Row],[Hr Saida]]</f>
        <v>0.44583333333333336</v>
      </c>
      <c r="N291" s="4">
        <v>143088</v>
      </c>
      <c r="O291" s="4">
        <v>143143</v>
      </c>
      <c r="P291" s="4">
        <f>Tabela32[[#This Row],[Km Chegada]]-Tabela32[[#This Row],[Km Saída]]</f>
        <v>55</v>
      </c>
      <c r="Q291" s="4">
        <v>269</v>
      </c>
      <c r="R291" s="4">
        <v>29</v>
      </c>
      <c r="S291" s="4">
        <v>29</v>
      </c>
      <c r="T291" s="12">
        <f>Tabela32[[#This Row],[Entregas]]-Tabela32[[#This Row],[Realizadas]]</f>
        <v>0</v>
      </c>
      <c r="U291" s="18">
        <f>Tabela32[[#This Row],[Realizadas]]/Tabela32[[#This Row],[Entregas]]</f>
        <v>1</v>
      </c>
      <c r="V291" s="19" t="str">
        <f>IF(Tabela32[[#This Row],[% Entrega]]&gt;=96%,"Atendeu a Meta","Não Atendeu a Meta")</f>
        <v>Atendeu a Meta</v>
      </c>
      <c r="W291" s="4" t="s">
        <v>39</v>
      </c>
      <c r="X291" s="4">
        <v>4</v>
      </c>
      <c r="Y291" s="5" t="s">
        <v>79</v>
      </c>
    </row>
    <row r="292" spans="1:25" x14ac:dyDescent="0.25">
      <c r="A292" s="8">
        <v>46276</v>
      </c>
      <c r="B292" s="16">
        <f>YEAR(Tabela32[[#This Row],[Data]])</f>
        <v>2026</v>
      </c>
      <c r="C292" s="16">
        <f>MONTH(Tabela32[[#This Row],[Data]])</f>
        <v>9</v>
      </c>
      <c r="D292" s="4" t="s">
        <v>53</v>
      </c>
      <c r="E292" s="4">
        <v>4</v>
      </c>
      <c r="F292" s="4" t="str">
        <f>IFERROR(VLOOKUP(Tabela32[[#This Row],[Placa]],Planilha2!$A$1:$B$12,2,0),"")</f>
        <v>Arnaldo</v>
      </c>
      <c r="G292" s="10">
        <v>7240.24</v>
      </c>
      <c r="H292" s="10">
        <v>85925</v>
      </c>
      <c r="I292" s="4">
        <v>1276</v>
      </c>
      <c r="J292" s="17">
        <f>IFERROR(Tabela32[[#This Row],[Valor Frete]]/Tabela32[[#This Row],[Valor Mercadoria]],"")</f>
        <v>8.4262321792260689E-2</v>
      </c>
      <c r="K292" s="11">
        <v>0.27777777777777779</v>
      </c>
      <c r="L292" s="15">
        <v>0.76736111111111116</v>
      </c>
      <c r="M292" s="15">
        <f>Tabela32[[#This Row],[Hr Chegada]]-Tabela32[[#This Row],[Hr Saida]]</f>
        <v>0.48958333333333337</v>
      </c>
      <c r="N292" s="4">
        <v>13402</v>
      </c>
      <c r="O292" s="4">
        <v>13471</v>
      </c>
      <c r="P292" s="4">
        <f>Tabela32[[#This Row],[Km Chegada]]-Tabela32[[#This Row],[Km Saída]]</f>
        <v>69</v>
      </c>
      <c r="Q292" s="4">
        <v>212</v>
      </c>
      <c r="R292" s="4">
        <v>13</v>
      </c>
      <c r="S292" s="4">
        <v>13</v>
      </c>
      <c r="T292" s="12">
        <f>Tabela32[[#This Row],[Entregas]]-Tabela32[[#This Row],[Realizadas]]</f>
        <v>0</v>
      </c>
      <c r="U292" s="18">
        <f>Tabela32[[#This Row],[Realizadas]]/Tabela32[[#This Row],[Entregas]]</f>
        <v>1</v>
      </c>
      <c r="V292" s="19" t="str">
        <f>IF(Tabela32[[#This Row],[% Entrega]]&gt;=96%,"Atendeu a Meta","Não Atendeu a Meta")</f>
        <v>Atendeu a Meta</v>
      </c>
      <c r="W292" s="4" t="s">
        <v>39</v>
      </c>
      <c r="X292" s="4">
        <v>0</v>
      </c>
      <c r="Y292" s="5">
        <v>38</v>
      </c>
    </row>
    <row r="293" spans="1:25" x14ac:dyDescent="0.25">
      <c r="A293" s="8">
        <v>46276</v>
      </c>
      <c r="B293" s="16">
        <f>YEAR(Tabela32[[#This Row],[Data]])</f>
        <v>2026</v>
      </c>
      <c r="C293" s="16">
        <f>MONTH(Tabela32[[#This Row],[Data]])</f>
        <v>9</v>
      </c>
      <c r="D293" s="4" t="s">
        <v>25</v>
      </c>
      <c r="E293" s="4">
        <v>3</v>
      </c>
      <c r="F293" s="4" t="str">
        <f>IFERROR(VLOOKUP(Tabela32[[#This Row],[Placa]],Planilha2!$A$1:$B$12,2,0),"")</f>
        <v>Gilberto</v>
      </c>
      <c r="G293" s="10">
        <v>13353.33</v>
      </c>
      <c r="H293" s="10">
        <v>191629.74</v>
      </c>
      <c r="I293" s="4">
        <v>4000</v>
      </c>
      <c r="J293" s="17">
        <f>IFERROR(Tabela32[[#This Row],[Valor Frete]]/Tabela32[[#This Row],[Valor Mercadoria]],"")</f>
        <v>6.9682973008260624E-2</v>
      </c>
      <c r="K293" s="11">
        <v>0.29166666666666669</v>
      </c>
      <c r="L293" s="15">
        <v>0.73611111111111116</v>
      </c>
      <c r="M293" s="15">
        <f>Tabela32[[#This Row],[Hr Chegada]]-Tabela32[[#This Row],[Hr Saida]]</f>
        <v>0.44444444444444448</v>
      </c>
      <c r="N293" s="4">
        <v>119739</v>
      </c>
      <c r="O293" s="4">
        <v>119789</v>
      </c>
      <c r="P293" s="4">
        <f>Tabela32[[#This Row],[Km Chegada]]-Tabela32[[#This Row],[Km Saída]]</f>
        <v>50</v>
      </c>
      <c r="Q293" s="4">
        <v>442</v>
      </c>
      <c r="R293" s="4">
        <v>17</v>
      </c>
      <c r="S293" s="4">
        <v>17</v>
      </c>
      <c r="T293" s="12">
        <f>Tabela32[[#This Row],[Entregas]]-Tabela32[[#This Row],[Realizadas]]</f>
        <v>0</v>
      </c>
      <c r="U293" s="18">
        <f>Tabela32[[#This Row],[Realizadas]]/Tabela32[[#This Row],[Entregas]]</f>
        <v>1</v>
      </c>
      <c r="V293" s="19" t="str">
        <f>IF(Tabela32[[#This Row],[% Entrega]]&gt;=96%,"Atendeu a Meta","Não Atendeu a Meta")</f>
        <v>Atendeu a Meta</v>
      </c>
      <c r="W293" s="4" t="s">
        <v>39</v>
      </c>
      <c r="X293" s="4">
        <v>0</v>
      </c>
      <c r="Y293" s="5">
        <v>0</v>
      </c>
    </row>
    <row r="294" spans="1:25" x14ac:dyDescent="0.25">
      <c r="A294" s="8">
        <v>46276</v>
      </c>
      <c r="B294" s="16">
        <f>YEAR(Tabela32[[#This Row],[Data]])</f>
        <v>2026</v>
      </c>
      <c r="C294" s="16">
        <f>MONTH(Tabela32[[#This Row],[Data]])</f>
        <v>9</v>
      </c>
      <c r="D294" s="4" t="s">
        <v>22</v>
      </c>
      <c r="E294" s="4">
        <v>1</v>
      </c>
      <c r="F294" s="4" t="str">
        <f>IFERROR(VLOOKUP(Tabela32[[#This Row],[Placa]],Planilha2!$A$1:$B$12,2,0),"")</f>
        <v>Wesley</v>
      </c>
      <c r="G294" s="10">
        <v>6797.35</v>
      </c>
      <c r="H294" s="10">
        <v>97639.01</v>
      </c>
      <c r="I294" s="4">
        <v>1365</v>
      </c>
      <c r="J294" s="17">
        <f>IFERROR(Tabela32[[#This Row],[Valor Frete]]/Tabela32[[#This Row],[Valor Mercadoria]],"")</f>
        <v>6.9617154045293991E-2</v>
      </c>
      <c r="K294" s="11">
        <v>0.30208333333333331</v>
      </c>
      <c r="L294" s="15">
        <v>0.6875</v>
      </c>
      <c r="M294" s="15">
        <f>Tabela32[[#This Row],[Hr Chegada]]-Tabela32[[#This Row],[Hr Saida]]</f>
        <v>0.38541666666666669</v>
      </c>
      <c r="N294" s="4">
        <v>304416</v>
      </c>
      <c r="O294" s="4">
        <v>304453</v>
      </c>
      <c r="P294" s="4">
        <f>Tabela32[[#This Row],[Km Chegada]]-Tabela32[[#This Row],[Km Saída]]</f>
        <v>37</v>
      </c>
      <c r="Q294" s="4">
        <v>206</v>
      </c>
      <c r="R294" s="4">
        <v>8</v>
      </c>
      <c r="S294" s="4">
        <v>8</v>
      </c>
      <c r="T294" s="12">
        <f>Tabela32[[#This Row],[Entregas]]-Tabela32[[#This Row],[Realizadas]]</f>
        <v>0</v>
      </c>
      <c r="U294" s="18">
        <f>Tabela32[[#This Row],[Realizadas]]/Tabela32[[#This Row],[Entregas]]</f>
        <v>1</v>
      </c>
      <c r="V294" s="19" t="str">
        <f>IF(Tabela32[[#This Row],[% Entrega]]&gt;=96%,"Atendeu a Meta","Não Atendeu a Meta")</f>
        <v>Atendeu a Meta</v>
      </c>
      <c r="W294" s="4" t="s">
        <v>43</v>
      </c>
      <c r="X294" s="4">
        <v>0</v>
      </c>
      <c r="Y294" s="5">
        <v>0</v>
      </c>
    </row>
    <row r="295" spans="1:25" x14ac:dyDescent="0.25">
      <c r="A295" s="8">
        <v>46276</v>
      </c>
      <c r="B295" s="16">
        <f>YEAR(Tabela32[[#This Row],[Data]])</f>
        <v>2026</v>
      </c>
      <c r="C295" s="16">
        <f>MONTH(Tabela32[[#This Row],[Data]])</f>
        <v>9</v>
      </c>
      <c r="D295" s="4" t="s">
        <v>33</v>
      </c>
      <c r="E295" s="4">
        <v>1</v>
      </c>
      <c r="F295" s="4" t="str">
        <f>IFERROR(VLOOKUP(Tabela32[[#This Row],[Placa]],Planilha2!$A$1:$B$12,2,0),"")</f>
        <v>Paulo</v>
      </c>
      <c r="G295" s="10">
        <v>4372.7700000000004</v>
      </c>
      <c r="H295" s="10">
        <v>11638.94</v>
      </c>
      <c r="I295" s="4">
        <v>275</v>
      </c>
      <c r="J295" s="17">
        <f>IFERROR(Tabela32[[#This Row],[Valor Frete]]/Tabela32[[#This Row],[Valor Mercadoria]],"")</f>
        <v>0.37570173916181371</v>
      </c>
      <c r="K295" s="11">
        <v>0.29166666666666669</v>
      </c>
      <c r="L295" s="15">
        <v>0.70486111111111116</v>
      </c>
      <c r="M295" s="15">
        <f>Tabela32[[#This Row],[Hr Chegada]]-Tabela32[[#This Row],[Hr Saida]]</f>
        <v>0.41319444444444448</v>
      </c>
      <c r="N295" s="4">
        <v>155357</v>
      </c>
      <c r="O295" s="4">
        <v>155383</v>
      </c>
      <c r="P295" s="4">
        <f>Tabela32[[#This Row],[Km Chegada]]-Tabela32[[#This Row],[Km Saída]]</f>
        <v>26</v>
      </c>
      <c r="Q295" s="4">
        <v>136</v>
      </c>
      <c r="R295" s="4">
        <v>1</v>
      </c>
      <c r="S295" s="4">
        <v>1</v>
      </c>
      <c r="T295" s="12">
        <f>Tabela32[[#This Row],[Entregas]]-Tabela32[[#This Row],[Realizadas]]</f>
        <v>0</v>
      </c>
      <c r="U295" s="18">
        <f>Tabela32[[#This Row],[Realizadas]]/Tabela32[[#This Row],[Entregas]]</f>
        <v>1</v>
      </c>
      <c r="V295" s="19" t="str">
        <f>IF(Tabela32[[#This Row],[% Entrega]]&gt;=96%,"Atendeu a Meta","Não Atendeu a Meta")</f>
        <v>Atendeu a Meta</v>
      </c>
      <c r="W295" s="4" t="s">
        <v>40</v>
      </c>
      <c r="X295" s="4">
        <v>0</v>
      </c>
      <c r="Y295" s="5">
        <v>0</v>
      </c>
    </row>
    <row r="296" spans="1:25" x14ac:dyDescent="0.25">
      <c r="A296" s="8">
        <v>46276</v>
      </c>
      <c r="B296" s="16">
        <f>YEAR(Tabela32[[#This Row],[Data]])</f>
        <v>2026</v>
      </c>
      <c r="C296" s="16">
        <f>MONTH(Tabela32[[#This Row],[Data]])</f>
        <v>9</v>
      </c>
      <c r="D296" s="4" t="s">
        <v>23</v>
      </c>
      <c r="E296" s="4">
        <v>1</v>
      </c>
      <c r="F296" s="4" t="str">
        <f>IFERROR(VLOOKUP(Tabela32[[#This Row],[Placa]],Planilha2!$A$1:$B$12,2,0),"")</f>
        <v>William</v>
      </c>
      <c r="G296" s="10">
        <v>3879.13</v>
      </c>
      <c r="H296" s="10">
        <v>110429.15</v>
      </c>
      <c r="I296" s="4">
        <v>825</v>
      </c>
      <c r="J296" s="17">
        <f>IFERROR(Tabela32[[#This Row],[Valor Frete]]/Tabela32[[#This Row],[Valor Mercadoria]],"")</f>
        <v>3.51277719696294E-2</v>
      </c>
      <c r="K296" s="11">
        <v>0.33333333333333331</v>
      </c>
      <c r="L296" s="15">
        <v>0.72569444444444442</v>
      </c>
      <c r="M296" s="15">
        <f>Tabela32[[#This Row],[Hr Chegada]]-Tabela32[[#This Row],[Hr Saida]]</f>
        <v>0.3923611111111111</v>
      </c>
      <c r="N296" s="4">
        <v>125105</v>
      </c>
      <c r="O296" s="4">
        <v>125135</v>
      </c>
      <c r="P296" s="4">
        <f>Tabela32[[#This Row],[Km Chegada]]-Tabela32[[#This Row],[Km Saída]]</f>
        <v>30</v>
      </c>
      <c r="Q296" s="4">
        <v>2</v>
      </c>
      <c r="R296" s="4">
        <v>1</v>
      </c>
      <c r="S296" s="4">
        <v>1</v>
      </c>
      <c r="T296" s="12">
        <f>Tabela32[[#This Row],[Entregas]]-Tabela32[[#This Row],[Realizadas]]</f>
        <v>0</v>
      </c>
      <c r="U296" s="18">
        <f>Tabela32[[#This Row],[Realizadas]]/Tabela32[[#This Row],[Entregas]]</f>
        <v>1</v>
      </c>
      <c r="V296" s="19" t="str">
        <f>IF(Tabela32[[#This Row],[% Entrega]]&gt;=96%,"Atendeu a Meta","Não Atendeu a Meta")</f>
        <v>Atendeu a Meta</v>
      </c>
      <c r="W296" s="4" t="s">
        <v>40</v>
      </c>
      <c r="X296" s="4">
        <v>0</v>
      </c>
      <c r="Y296" s="5">
        <v>0</v>
      </c>
    </row>
    <row r="297" spans="1:25" x14ac:dyDescent="0.25">
      <c r="A297" s="8">
        <v>46276</v>
      </c>
      <c r="B297" s="16">
        <f>YEAR(Tabela32[[#This Row],[Data]])</f>
        <v>2026</v>
      </c>
      <c r="C297" s="16">
        <f>MONTH(Tabela32[[#This Row],[Data]])</f>
        <v>9</v>
      </c>
      <c r="D297" s="4" t="s">
        <v>27</v>
      </c>
      <c r="E297" s="4">
        <v>1</v>
      </c>
      <c r="F297" s="4" t="str">
        <f>IFERROR(VLOOKUP(Tabela32[[#This Row],[Placa]],Planilha2!$A$1:$B$12,2,0),"")</f>
        <v>Rosinaldo</v>
      </c>
      <c r="G297" s="10">
        <v>6947.78</v>
      </c>
      <c r="H297" s="10">
        <v>96422.18</v>
      </c>
      <c r="I297" s="4">
        <v>882</v>
      </c>
      <c r="J297" s="17">
        <f>IFERROR(Tabela32[[#This Row],[Valor Frete]]/Tabela32[[#This Row],[Valor Mercadoria]],"")</f>
        <v>7.2055827818869059E-2</v>
      </c>
      <c r="K297" s="11">
        <v>0.29166666666666669</v>
      </c>
      <c r="L297" s="15">
        <v>0.77083333333333337</v>
      </c>
      <c r="M297" s="15">
        <f>Tabela32[[#This Row],[Hr Chegada]]-Tabela32[[#This Row],[Hr Saida]]</f>
        <v>0.47916666666666669</v>
      </c>
      <c r="N297" s="4">
        <v>291267</v>
      </c>
      <c r="O297" s="4">
        <v>291352</v>
      </c>
      <c r="P297" s="4">
        <f>Tabela32[[#This Row],[Km Chegada]]-Tabela32[[#This Row],[Km Saída]]</f>
        <v>85</v>
      </c>
      <c r="Q297" s="4">
        <v>156</v>
      </c>
      <c r="R297" s="4">
        <v>22</v>
      </c>
      <c r="S297" s="4">
        <v>22</v>
      </c>
      <c r="T297" s="12">
        <f>Tabela32[[#This Row],[Entregas]]-Tabela32[[#This Row],[Realizadas]]</f>
        <v>0</v>
      </c>
      <c r="U297" s="18">
        <f>Tabela32[[#This Row],[Realizadas]]/Tabela32[[#This Row],[Entregas]]</f>
        <v>1</v>
      </c>
      <c r="V297" s="19" t="str">
        <f>IF(Tabela32[[#This Row],[% Entrega]]&gt;=96%,"Atendeu a Meta","Não Atendeu a Meta")</f>
        <v>Atendeu a Meta</v>
      </c>
      <c r="W297" s="4" t="s">
        <v>43</v>
      </c>
      <c r="X297" s="4">
        <v>0</v>
      </c>
      <c r="Y297" s="5">
        <v>38.380000000000003</v>
      </c>
    </row>
    <row r="298" spans="1:25" x14ac:dyDescent="0.25">
      <c r="A298" s="8">
        <v>46277</v>
      </c>
      <c r="B298" s="16">
        <f>YEAR(Tabela32[[#This Row],[Data]])</f>
        <v>2026</v>
      </c>
      <c r="C298" s="16">
        <f>MONTH(Tabela32[[#This Row],[Data]])</f>
        <v>9</v>
      </c>
      <c r="D298" s="4" t="s">
        <v>22</v>
      </c>
      <c r="E298" s="4">
        <v>1</v>
      </c>
      <c r="F298" s="4" t="str">
        <f>IFERROR(VLOOKUP(Tabela32[[#This Row],[Placa]],Planilha2!$A$1:$B$12,2,0),"")</f>
        <v>Wesley</v>
      </c>
      <c r="G298" s="10">
        <v>5227.76</v>
      </c>
      <c r="H298" s="10">
        <v>58650.09</v>
      </c>
      <c r="I298" s="4">
        <v>563</v>
      </c>
      <c r="J298" s="17">
        <f>IFERROR(Tabela32[[#This Row],[Valor Frete]]/Tabela32[[#This Row],[Valor Mercadoria]],"")</f>
        <v>8.9134731080549076E-2</v>
      </c>
      <c r="K298" s="11">
        <v>0.29166666666666669</v>
      </c>
      <c r="L298" s="15">
        <v>0.46875</v>
      </c>
      <c r="M298" s="15">
        <f>Tabela32[[#This Row],[Hr Chegada]]-Tabela32[[#This Row],[Hr Saida]]</f>
        <v>0.17708333333333331</v>
      </c>
      <c r="N298" s="4">
        <v>304453</v>
      </c>
      <c r="O298" s="4">
        <v>304578</v>
      </c>
      <c r="P298" s="4">
        <f>Tabela32[[#This Row],[Km Chegada]]-Tabela32[[#This Row],[Km Saída]]</f>
        <v>125</v>
      </c>
      <c r="Q298" s="4">
        <v>79</v>
      </c>
      <c r="R298" s="4">
        <v>22</v>
      </c>
      <c r="S298" s="4">
        <v>22</v>
      </c>
      <c r="T298" s="12">
        <f>Tabela32[[#This Row],[Entregas]]-Tabela32[[#This Row],[Realizadas]]</f>
        <v>0</v>
      </c>
      <c r="U298" s="18">
        <f>Tabela32[[#This Row],[Realizadas]]/Tabela32[[#This Row],[Entregas]]</f>
        <v>1</v>
      </c>
      <c r="V298" s="19" t="str">
        <f>IF(Tabela32[[#This Row],[% Entrega]]&gt;=96%,"Atendeu a Meta","Não Atendeu a Meta")</f>
        <v>Atendeu a Meta</v>
      </c>
      <c r="W298" s="4" t="s">
        <v>40</v>
      </c>
      <c r="X298" s="4">
        <v>0</v>
      </c>
      <c r="Y298" s="5">
        <v>0</v>
      </c>
    </row>
    <row r="299" spans="1:25" x14ac:dyDescent="0.25">
      <c r="A299" s="8">
        <v>46277</v>
      </c>
      <c r="B299" s="16">
        <f>YEAR(Tabela32[[#This Row],[Data]])</f>
        <v>2026</v>
      </c>
      <c r="C299" s="16">
        <f>MONTH(Tabela32[[#This Row],[Data]])</f>
        <v>9</v>
      </c>
      <c r="D299" s="4" t="s">
        <v>53</v>
      </c>
      <c r="E299" s="4">
        <v>11</v>
      </c>
      <c r="F299" s="4" t="str">
        <f>IFERROR(VLOOKUP(Tabela32[[#This Row],[Placa]],Planilha2!$A$1:$B$12,2,0),"")</f>
        <v>Arnaldo</v>
      </c>
      <c r="G299" s="10">
        <v>7173.91</v>
      </c>
      <c r="H299" s="10">
        <v>99979.49</v>
      </c>
      <c r="I299" s="4">
        <v>853</v>
      </c>
      <c r="J299" s="17">
        <f>IFERROR(Tabela32[[#This Row],[Valor Frete]]/Tabela32[[#This Row],[Valor Mercadoria]],"")</f>
        <v>7.175381670780677E-2</v>
      </c>
      <c r="K299" s="11">
        <v>0.28125</v>
      </c>
      <c r="L299" s="15">
        <v>0.59861111111111109</v>
      </c>
      <c r="M299" s="15">
        <f>Tabela32[[#This Row],[Hr Chegada]]-Tabela32[[#This Row],[Hr Saida]]</f>
        <v>0.31736111111111109</v>
      </c>
      <c r="N299" s="4">
        <v>13471</v>
      </c>
      <c r="O299" s="4">
        <v>13592</v>
      </c>
      <c r="P299" s="4">
        <f>Tabela32[[#This Row],[Km Chegada]]-Tabela32[[#This Row],[Km Saída]]</f>
        <v>121</v>
      </c>
      <c r="Q299" s="4">
        <v>134</v>
      </c>
      <c r="R299" s="4">
        <v>28</v>
      </c>
      <c r="S299" s="4">
        <v>28</v>
      </c>
      <c r="T299" s="12">
        <f>Tabela32[[#This Row],[Entregas]]-Tabela32[[#This Row],[Realizadas]]</f>
        <v>0</v>
      </c>
      <c r="U299" s="18">
        <f>Tabela32[[#This Row],[Realizadas]]/Tabela32[[#This Row],[Entregas]]</f>
        <v>1</v>
      </c>
      <c r="V299" s="19" t="str">
        <f>IF(Tabela32[[#This Row],[% Entrega]]&gt;=96%,"Atendeu a Meta","Não Atendeu a Meta")</f>
        <v>Atendeu a Meta</v>
      </c>
      <c r="W299" s="4" t="s">
        <v>41</v>
      </c>
      <c r="X299" s="4">
        <v>0</v>
      </c>
      <c r="Y299" s="5">
        <v>0</v>
      </c>
    </row>
    <row r="300" spans="1:25" x14ac:dyDescent="0.25">
      <c r="A300" s="8">
        <v>46277</v>
      </c>
      <c r="B300" s="16">
        <f>YEAR(Tabela32[[#This Row],[Data]])</f>
        <v>2026</v>
      </c>
      <c r="C300" s="16">
        <f>MONTH(Tabela32[[#This Row],[Data]])</f>
        <v>9</v>
      </c>
      <c r="D300" s="4" t="s">
        <v>25</v>
      </c>
      <c r="E300" s="4">
        <v>3</v>
      </c>
      <c r="F300" s="4" t="str">
        <f>IFERROR(VLOOKUP(Tabela32[[#This Row],[Placa]],Planilha2!$A$1:$B$12,2,0),"")</f>
        <v>Gilberto</v>
      </c>
      <c r="G300" s="10">
        <v>6590.53</v>
      </c>
      <c r="H300" s="10">
        <v>108858.17</v>
      </c>
      <c r="I300" s="4">
        <v>1101</v>
      </c>
      <c r="J300" s="17">
        <f>IFERROR(Tabela32[[#This Row],[Valor Frete]]/Tabela32[[#This Row],[Valor Mercadoria]],"")</f>
        <v>6.0542355249955056E-2</v>
      </c>
      <c r="K300" s="11">
        <v>0.29166666666666669</v>
      </c>
      <c r="L300" s="15">
        <v>0.47222222222222221</v>
      </c>
      <c r="M300" s="15">
        <f>Tabela32[[#This Row],[Hr Chegada]]-Tabela32[[#This Row],[Hr Saida]]</f>
        <v>0.18055555555555552</v>
      </c>
      <c r="N300" s="4">
        <v>119790</v>
      </c>
      <c r="O300" s="4">
        <v>119831</v>
      </c>
      <c r="P300" s="4">
        <f>Tabela32[[#This Row],[Km Chegada]]-Tabela32[[#This Row],[Km Saída]]</f>
        <v>41</v>
      </c>
      <c r="Q300" s="4">
        <v>152</v>
      </c>
      <c r="R300" s="4">
        <v>7</v>
      </c>
      <c r="S300" s="4">
        <v>7</v>
      </c>
      <c r="T300" s="12">
        <f>Tabela32[[#This Row],[Entregas]]-Tabela32[[#This Row],[Realizadas]]</f>
        <v>0</v>
      </c>
      <c r="U300" s="18">
        <f>Tabela32[[#This Row],[Realizadas]]/Tabela32[[#This Row],[Entregas]]</f>
        <v>1</v>
      </c>
      <c r="V300" s="19" t="str">
        <f>IF(Tabela32[[#This Row],[% Entrega]]&gt;=96%,"Atendeu a Meta","Não Atendeu a Meta")</f>
        <v>Atendeu a Meta</v>
      </c>
      <c r="W300" s="4" t="s">
        <v>39</v>
      </c>
      <c r="X300" s="4">
        <v>0</v>
      </c>
      <c r="Y300" s="5">
        <v>0</v>
      </c>
    </row>
    <row r="301" spans="1:25" x14ac:dyDescent="0.25">
      <c r="A301" s="8">
        <v>46279</v>
      </c>
      <c r="B301" s="16">
        <f>YEAR(Tabela32[[#This Row],[Data]])</f>
        <v>2026</v>
      </c>
      <c r="C301" s="16">
        <f>MONTH(Tabela32[[#This Row],[Data]])</f>
        <v>9</v>
      </c>
      <c r="D301" s="4" t="s">
        <v>23</v>
      </c>
      <c r="E301" s="4">
        <v>1</v>
      </c>
      <c r="F301" s="4" t="str">
        <f>IFERROR(VLOOKUP(Tabela32[[#This Row],[Placa]],Planilha2!$A$1:$B$12,2,0),"")</f>
        <v>William</v>
      </c>
      <c r="G301" s="10">
        <v>12518.28</v>
      </c>
      <c r="H301" s="10">
        <v>157704.44</v>
      </c>
      <c r="I301" s="4">
        <v>1771</v>
      </c>
      <c r="J301" s="17">
        <f>IFERROR(Tabela32[[#This Row],[Valor Frete]]/Tabela32[[#This Row],[Valor Mercadoria]],"")</f>
        <v>7.9378107553598365E-2</v>
      </c>
      <c r="K301" s="11">
        <v>0.29166666666666669</v>
      </c>
      <c r="L301" s="15">
        <v>0.78472222222222221</v>
      </c>
      <c r="M301" s="15">
        <f>Tabela32[[#This Row],[Hr Chegada]]-Tabela32[[#This Row],[Hr Saida]]</f>
        <v>0.49305555555555552</v>
      </c>
      <c r="N301" s="4">
        <v>125135</v>
      </c>
      <c r="O301" s="4">
        <v>125211</v>
      </c>
      <c r="P301" s="4">
        <f>Tabela32[[#This Row],[Km Chegada]]-Tabela32[[#This Row],[Km Saída]]</f>
        <v>76</v>
      </c>
      <c r="Q301" s="4">
        <v>196</v>
      </c>
      <c r="R301" s="4">
        <v>21</v>
      </c>
      <c r="S301" s="4">
        <v>19</v>
      </c>
      <c r="T301" s="12">
        <f>Tabela32[[#This Row],[Entregas]]-Tabela32[[#This Row],[Realizadas]]</f>
        <v>2</v>
      </c>
      <c r="U301" s="18">
        <f>Tabela32[[#This Row],[Realizadas]]/Tabela32[[#This Row],[Entregas]]</f>
        <v>0.90476190476190477</v>
      </c>
      <c r="V301" s="19" t="str">
        <f>IF(Tabela32[[#This Row],[% Entrega]]&gt;=96%,"Atendeu a Meta","Não Atendeu a Meta")</f>
        <v>Não Atendeu a Meta</v>
      </c>
      <c r="W301" s="4" t="s">
        <v>43</v>
      </c>
      <c r="X301" s="4">
        <v>2</v>
      </c>
      <c r="Y301" s="5">
        <v>13.13</v>
      </c>
    </row>
    <row r="302" spans="1:25" x14ac:dyDescent="0.25">
      <c r="A302" s="8">
        <v>46279</v>
      </c>
      <c r="B302" s="16">
        <f>YEAR(Tabela32[[#This Row],[Data]])</f>
        <v>2026</v>
      </c>
      <c r="C302" s="16">
        <f>MONTH(Tabela32[[#This Row],[Data]])</f>
        <v>9</v>
      </c>
      <c r="D302" s="4" t="s">
        <v>33</v>
      </c>
      <c r="E302" s="4">
        <v>1</v>
      </c>
      <c r="F302" s="4" t="str">
        <f>IFERROR(VLOOKUP(Tabela32[[#This Row],[Placa]],Planilha2!$A$1:$B$12,2,0),"")</f>
        <v>Paulo</v>
      </c>
      <c r="G302" s="10">
        <v>497.84</v>
      </c>
      <c r="H302" s="10">
        <v>4219.17</v>
      </c>
      <c r="I302" s="4">
        <v>9</v>
      </c>
      <c r="J302" s="17">
        <f>IFERROR(Tabela32[[#This Row],[Valor Frete]]/Tabela32[[#This Row],[Valor Mercadoria]],"")</f>
        <v>0.11799477148349082</v>
      </c>
      <c r="K302" s="11">
        <v>0.29583333333333334</v>
      </c>
      <c r="L302" s="15">
        <v>0.41388888888888886</v>
      </c>
      <c r="M302" s="15">
        <f>Tabela32[[#This Row],[Hr Chegada]]-Tabela32[[#This Row],[Hr Saida]]</f>
        <v>0.11805555555555552</v>
      </c>
      <c r="N302" s="4">
        <v>155395</v>
      </c>
      <c r="O302" s="4">
        <v>155427</v>
      </c>
      <c r="P302" s="4">
        <f>Tabela32[[#This Row],[Km Chegada]]-Tabela32[[#This Row],[Km Saída]]</f>
        <v>32</v>
      </c>
      <c r="Q302" s="4">
        <v>4</v>
      </c>
      <c r="R302" s="4">
        <v>1</v>
      </c>
      <c r="S302" s="4">
        <v>1</v>
      </c>
      <c r="T302" s="12">
        <f>Tabela32[[#This Row],[Entregas]]-Tabela32[[#This Row],[Realizadas]]</f>
        <v>0</v>
      </c>
      <c r="U302" s="18">
        <f>Tabela32[[#This Row],[Realizadas]]/Tabela32[[#This Row],[Entregas]]</f>
        <v>1</v>
      </c>
      <c r="V302" s="19" t="str">
        <f>IF(Tabela32[[#This Row],[% Entrega]]&gt;=96%,"Atendeu a Meta","Não Atendeu a Meta")</f>
        <v>Atendeu a Meta</v>
      </c>
      <c r="W302" s="4" t="s">
        <v>40</v>
      </c>
      <c r="X302" s="4">
        <v>0</v>
      </c>
      <c r="Y302" s="5">
        <v>0</v>
      </c>
    </row>
    <row r="303" spans="1:25" x14ac:dyDescent="0.25">
      <c r="A303" s="8">
        <v>46279</v>
      </c>
      <c r="B303" s="16">
        <f>YEAR(Tabela32[[#This Row],[Data]])</f>
        <v>2026</v>
      </c>
      <c r="C303" s="16">
        <f>MONTH(Tabela32[[#This Row],[Data]])</f>
        <v>9</v>
      </c>
      <c r="D303" s="4" t="s">
        <v>35</v>
      </c>
      <c r="E303" s="4">
        <v>3</v>
      </c>
      <c r="F303" s="4" t="str">
        <f>IFERROR(VLOOKUP(Tabela32[[#This Row],[Placa]],Planilha2!$A$1:$B$12,2,0),"")</f>
        <v>Osvaldo</v>
      </c>
      <c r="G303" s="10">
        <v>12651.35</v>
      </c>
      <c r="H303" s="10">
        <v>173270.99</v>
      </c>
      <c r="I303" s="4">
        <v>2366</v>
      </c>
      <c r="J303" s="17">
        <f>IFERROR(Tabela32[[#This Row],[Valor Frete]]/Tabela32[[#This Row],[Valor Mercadoria]],"")</f>
        <v>7.3014819156974872E-2</v>
      </c>
      <c r="K303" s="11">
        <v>0.29166666666666669</v>
      </c>
      <c r="L303" s="15">
        <v>0.77430555555555558</v>
      </c>
      <c r="M303" s="15">
        <f>Tabela32[[#This Row],[Hr Chegada]]-Tabela32[[#This Row],[Hr Saida]]</f>
        <v>0.4826388888888889</v>
      </c>
      <c r="N303" s="4">
        <v>143154</v>
      </c>
      <c r="O303" s="4">
        <v>143202</v>
      </c>
      <c r="P303" s="4">
        <f>Tabela32[[#This Row],[Km Chegada]]-Tabela32[[#This Row],[Km Saída]]</f>
        <v>48</v>
      </c>
      <c r="Q303" s="4">
        <v>143</v>
      </c>
      <c r="R303" s="4">
        <v>17</v>
      </c>
      <c r="S303" s="4">
        <v>17</v>
      </c>
      <c r="T303" s="12">
        <f>Tabela32[[#This Row],[Entregas]]-Tabela32[[#This Row],[Realizadas]]</f>
        <v>0</v>
      </c>
      <c r="U303" s="18">
        <f>Tabela32[[#This Row],[Realizadas]]/Tabela32[[#This Row],[Entregas]]</f>
        <v>1</v>
      </c>
      <c r="V303" s="19" t="str">
        <f>IF(Tabela32[[#This Row],[% Entrega]]&gt;=96%,"Atendeu a Meta","Não Atendeu a Meta")</f>
        <v>Atendeu a Meta</v>
      </c>
      <c r="W303" s="4" t="s">
        <v>39</v>
      </c>
      <c r="X303" s="4">
        <v>0</v>
      </c>
      <c r="Y303" s="5">
        <v>0</v>
      </c>
    </row>
    <row r="304" spans="1:25" x14ac:dyDescent="0.25">
      <c r="A304" s="8">
        <v>46279</v>
      </c>
      <c r="B304" s="16">
        <f>YEAR(Tabela32[[#This Row],[Data]])</f>
        <v>2026</v>
      </c>
      <c r="C304" s="16">
        <f>MONTH(Tabela32[[#This Row],[Data]])</f>
        <v>9</v>
      </c>
      <c r="D304" s="4" t="s">
        <v>27</v>
      </c>
      <c r="E304" s="4">
        <v>4</v>
      </c>
      <c r="F304" s="4" t="str">
        <f>IFERROR(VLOOKUP(Tabela32[[#This Row],[Placa]],Planilha2!$A$1:$B$12,2,0),"")</f>
        <v>Rosinaldo</v>
      </c>
      <c r="G304" s="10">
        <v>10896.53</v>
      </c>
      <c r="H304" s="10">
        <v>203436.34</v>
      </c>
      <c r="I304" s="4">
        <v>1849</v>
      </c>
      <c r="J304" s="17">
        <f>IFERROR(Tabela32[[#This Row],[Valor Frete]]/Tabela32[[#This Row],[Valor Mercadoria]],"")</f>
        <v>5.3562357639741265E-2</v>
      </c>
      <c r="K304" s="11">
        <v>0.29166666666666669</v>
      </c>
      <c r="L304" s="15">
        <v>0.8125</v>
      </c>
      <c r="M304" s="15">
        <f>Tabela32[[#This Row],[Hr Chegada]]-Tabela32[[#This Row],[Hr Saida]]</f>
        <v>0.52083333333333326</v>
      </c>
      <c r="N304" s="4">
        <v>291352</v>
      </c>
      <c r="O304" s="4">
        <v>291428</v>
      </c>
      <c r="P304" s="4">
        <f>Tabela32[[#This Row],[Km Chegada]]-Tabela32[[#This Row],[Km Saída]]</f>
        <v>76</v>
      </c>
      <c r="Q304" s="4">
        <v>288</v>
      </c>
      <c r="R304" s="4">
        <v>29</v>
      </c>
      <c r="S304" s="4">
        <v>29</v>
      </c>
      <c r="T304" s="12">
        <f>Tabela32[[#This Row],[Entregas]]-Tabela32[[#This Row],[Realizadas]]</f>
        <v>0</v>
      </c>
      <c r="U304" s="18">
        <f>Tabela32[[#This Row],[Realizadas]]/Tabela32[[#This Row],[Entregas]]</f>
        <v>1</v>
      </c>
      <c r="V304" s="19" t="str">
        <f>IF(Tabela32[[#This Row],[% Entrega]]&gt;=96%,"Atendeu a Meta","Não Atendeu a Meta")</f>
        <v>Atendeu a Meta</v>
      </c>
      <c r="W304" s="4" t="s">
        <v>39</v>
      </c>
      <c r="X304" s="4">
        <v>0</v>
      </c>
      <c r="Y304" s="5">
        <v>0</v>
      </c>
    </row>
    <row r="305" spans="1:25" x14ac:dyDescent="0.25">
      <c r="A305" s="8">
        <v>46279</v>
      </c>
      <c r="B305" s="16">
        <f>YEAR(Tabela32[[#This Row],[Data]])</f>
        <v>2026</v>
      </c>
      <c r="C305" s="16">
        <f>MONTH(Tabela32[[#This Row],[Data]])</f>
        <v>9</v>
      </c>
      <c r="D305" s="4" t="s">
        <v>25</v>
      </c>
      <c r="E305" s="4">
        <v>5</v>
      </c>
      <c r="F305" s="4" t="str">
        <f>IFERROR(VLOOKUP(Tabela32[[#This Row],[Placa]],Planilha2!$A$1:$B$12,2,0),"")</f>
        <v>Gilberto</v>
      </c>
      <c r="G305" s="10">
        <v>8298.8700000000008</v>
      </c>
      <c r="H305" s="10">
        <v>141119.21</v>
      </c>
      <c r="I305" s="4">
        <v>1323</v>
      </c>
      <c r="J305" s="17">
        <f>IFERROR(Tabela32[[#This Row],[Valor Frete]]/Tabela32[[#This Row],[Valor Mercadoria]],"")</f>
        <v>5.8807514582883517E-2</v>
      </c>
      <c r="K305" s="11">
        <v>0.31944444444444442</v>
      </c>
      <c r="L305" s="15">
        <v>0.72916666666666663</v>
      </c>
      <c r="M305" s="15">
        <f>Tabela32[[#This Row],[Hr Chegada]]-Tabela32[[#This Row],[Hr Saida]]</f>
        <v>0.40972222222222221</v>
      </c>
      <c r="N305" s="4">
        <v>119831</v>
      </c>
      <c r="O305" s="4">
        <v>119898</v>
      </c>
      <c r="P305" s="4">
        <f>Tabela32[[#This Row],[Km Chegada]]-Tabela32[[#This Row],[Km Saída]]</f>
        <v>67</v>
      </c>
      <c r="Q305" s="4">
        <v>388</v>
      </c>
      <c r="R305" s="4">
        <v>25</v>
      </c>
      <c r="S305" s="4">
        <v>25</v>
      </c>
      <c r="T305" s="12">
        <f>Tabela32[[#This Row],[Entregas]]-Tabela32[[#This Row],[Realizadas]]</f>
        <v>0</v>
      </c>
      <c r="U305" s="18">
        <f>Tabela32[[#This Row],[Realizadas]]/Tabela32[[#This Row],[Entregas]]</f>
        <v>1</v>
      </c>
      <c r="V305" s="19" t="str">
        <f>IF(Tabela32[[#This Row],[% Entrega]]&gt;=96%,"Atendeu a Meta","Não Atendeu a Meta")</f>
        <v>Atendeu a Meta</v>
      </c>
      <c r="W305" s="4" t="s">
        <v>39</v>
      </c>
      <c r="X305" s="4">
        <v>3</v>
      </c>
      <c r="Y305" s="5">
        <v>21</v>
      </c>
    </row>
    <row r="306" spans="1:25" x14ac:dyDescent="0.25">
      <c r="A306" s="8">
        <v>46279</v>
      </c>
      <c r="B306" s="16">
        <f>YEAR(Tabela32[[#This Row],[Data]])</f>
        <v>2026</v>
      </c>
      <c r="C306" s="16">
        <f>MONTH(Tabela32[[#This Row],[Data]])</f>
        <v>9</v>
      </c>
      <c r="D306" s="4" t="s">
        <v>29</v>
      </c>
      <c r="E306" s="4">
        <v>1</v>
      </c>
      <c r="F306" s="4" t="str">
        <f>IFERROR(VLOOKUP(Tabela32[[#This Row],[Placa]],Planilha2!$A$1:$B$12,2,0),"")</f>
        <v>Sandro</v>
      </c>
      <c r="G306" s="10">
        <v>8146.99</v>
      </c>
      <c r="H306" s="10">
        <v>172796.79999999999</v>
      </c>
      <c r="I306" s="4">
        <v>1415</v>
      </c>
      <c r="J306" s="17">
        <f>IFERROR(Tabela32[[#This Row],[Valor Frete]]/Tabela32[[#This Row],[Valor Mercadoria]],"")</f>
        <v>4.7147805977888479E-2</v>
      </c>
      <c r="K306" s="11">
        <v>0.3125</v>
      </c>
      <c r="L306" s="15">
        <v>0.77083333333333337</v>
      </c>
      <c r="M306" s="15">
        <f>Tabela32[[#This Row],[Hr Chegada]]-Tabela32[[#This Row],[Hr Saida]]</f>
        <v>0.45833333333333337</v>
      </c>
      <c r="N306" s="4">
        <v>275645</v>
      </c>
      <c r="O306" s="4">
        <v>275727</v>
      </c>
      <c r="P306" s="4">
        <f>Tabela32[[#This Row],[Km Chegada]]-Tabela32[[#This Row],[Km Saída]]</f>
        <v>82</v>
      </c>
      <c r="Q306" s="4">
        <v>312</v>
      </c>
      <c r="R306" s="4">
        <v>21</v>
      </c>
      <c r="S306" s="4">
        <v>21</v>
      </c>
      <c r="T306" s="12">
        <f>Tabela32[[#This Row],[Entregas]]-Tabela32[[#This Row],[Realizadas]]</f>
        <v>0</v>
      </c>
      <c r="U306" s="18">
        <f>Tabela32[[#This Row],[Realizadas]]/Tabela32[[#This Row],[Entregas]]</f>
        <v>1</v>
      </c>
      <c r="V306" s="19" t="str">
        <f>IF(Tabela32[[#This Row],[% Entrega]]&gt;=96%,"Atendeu a Meta","Não Atendeu a Meta")</f>
        <v>Atendeu a Meta</v>
      </c>
      <c r="W306" s="4" t="s">
        <v>43</v>
      </c>
      <c r="X306" s="4">
        <v>1</v>
      </c>
      <c r="Y306" s="5">
        <v>10</v>
      </c>
    </row>
    <row r="307" spans="1:25" x14ac:dyDescent="0.25">
      <c r="A307" s="8">
        <v>46279</v>
      </c>
      <c r="B307" s="16">
        <f>YEAR(Tabela32[[#This Row],[Data]])</f>
        <v>2026</v>
      </c>
      <c r="C307" s="16">
        <f>MONTH(Tabela32[[#This Row],[Data]])</f>
        <v>9</v>
      </c>
      <c r="D307" s="4" t="s">
        <v>31</v>
      </c>
      <c r="E307" s="4">
        <v>5</v>
      </c>
      <c r="F307" s="4" t="str">
        <f>IFERROR(VLOOKUP(Tabela32[[#This Row],[Placa]],Planilha2!$A$1:$B$12,2,0),"")</f>
        <v>Jerson</v>
      </c>
      <c r="G307" s="10">
        <v>2898.57</v>
      </c>
      <c r="H307" s="10">
        <v>18467.22</v>
      </c>
      <c r="I307" s="4">
        <v>420</v>
      </c>
      <c r="J307" s="17">
        <f>IFERROR(Tabela32[[#This Row],[Valor Frete]]/Tabela32[[#This Row],[Valor Mercadoria]],"")</f>
        <v>0.15695757130743013</v>
      </c>
      <c r="K307" s="11">
        <v>0.30555555555555558</v>
      </c>
      <c r="L307" s="15">
        <v>0.75138888888888888</v>
      </c>
      <c r="M307" s="15">
        <f>Tabela32[[#This Row],[Hr Chegada]]-Tabela32[[#This Row],[Hr Saida]]</f>
        <v>0.4458333333333333</v>
      </c>
      <c r="N307" s="4">
        <v>280521</v>
      </c>
      <c r="O307" s="4">
        <v>280560</v>
      </c>
      <c r="P307" s="4">
        <f>Tabela32[[#This Row],[Km Chegada]]-Tabela32[[#This Row],[Km Saída]]</f>
        <v>39</v>
      </c>
      <c r="Q307" s="4">
        <v>66</v>
      </c>
      <c r="R307" s="4">
        <v>4</v>
      </c>
      <c r="S307" s="4">
        <v>3</v>
      </c>
      <c r="T307" s="12">
        <f>Tabela32[[#This Row],[Entregas]]-Tabela32[[#This Row],[Realizadas]]</f>
        <v>1</v>
      </c>
      <c r="U307" s="18">
        <f>Tabela32[[#This Row],[Realizadas]]/Tabela32[[#This Row],[Entregas]]</f>
        <v>0.75</v>
      </c>
      <c r="V307" s="19" t="str">
        <f>IF(Tabela32[[#This Row],[% Entrega]]&gt;=96%,"Atendeu a Meta","Não Atendeu a Meta")</f>
        <v>Não Atendeu a Meta</v>
      </c>
      <c r="W307" s="4" t="s">
        <v>39</v>
      </c>
      <c r="X307" s="4">
        <v>4</v>
      </c>
      <c r="Y307" s="5" t="s">
        <v>80</v>
      </c>
    </row>
    <row r="308" spans="1:25" x14ac:dyDescent="0.25">
      <c r="A308" s="8">
        <v>46279</v>
      </c>
      <c r="B308" s="16">
        <f>YEAR(Tabela32[[#This Row],[Data]])</f>
        <v>2026</v>
      </c>
      <c r="C308" s="16">
        <f>MONTH(Tabela32[[#This Row],[Data]])</f>
        <v>9</v>
      </c>
      <c r="D308" s="4" t="s">
        <v>33</v>
      </c>
      <c r="E308" s="4">
        <v>1</v>
      </c>
      <c r="F308" s="4" t="str">
        <f>IFERROR(VLOOKUP(Tabela32[[#This Row],[Placa]],Planilha2!$A$1:$B$12,2,0),"")</f>
        <v>Paulo</v>
      </c>
      <c r="G308" s="10">
        <v>2801.01</v>
      </c>
      <c r="H308" s="10">
        <v>44016.45</v>
      </c>
      <c r="I308" s="4">
        <v>305</v>
      </c>
      <c r="J308" s="17">
        <f>IFERROR(Tabela32[[#This Row],[Valor Frete]]/Tabela32[[#This Row],[Valor Mercadoria]],"")</f>
        <v>6.363552717222766E-2</v>
      </c>
      <c r="K308" s="11">
        <v>0.4826388888888889</v>
      </c>
      <c r="L308" s="15">
        <v>0.74791666666666667</v>
      </c>
      <c r="M308" s="15">
        <f>Tabela32[[#This Row],[Hr Chegada]]-Tabela32[[#This Row],[Hr Saida]]</f>
        <v>0.26527777777777778</v>
      </c>
      <c r="N308" s="4">
        <v>155427</v>
      </c>
      <c r="O308" s="4">
        <v>155512</v>
      </c>
      <c r="P308" s="4">
        <f>Tabela32[[#This Row],[Km Chegada]]-Tabela32[[#This Row],[Km Saída]]</f>
        <v>85</v>
      </c>
      <c r="Q308" s="4">
        <v>60</v>
      </c>
      <c r="R308" s="4">
        <v>16</v>
      </c>
      <c r="S308" s="4">
        <v>16</v>
      </c>
      <c r="T308" s="12">
        <f>Tabela32[[#This Row],[Entregas]]-Tabela32[[#This Row],[Realizadas]]</f>
        <v>0</v>
      </c>
      <c r="U308" s="18">
        <f>Tabela32[[#This Row],[Realizadas]]/Tabela32[[#This Row],[Entregas]]</f>
        <v>1</v>
      </c>
      <c r="V308" s="19" t="str">
        <f>IF(Tabela32[[#This Row],[% Entrega]]&gt;=96%,"Atendeu a Meta","Não Atendeu a Meta")</f>
        <v>Atendeu a Meta</v>
      </c>
      <c r="W308" s="4" t="s">
        <v>40</v>
      </c>
      <c r="X308" s="4">
        <v>0</v>
      </c>
      <c r="Y308" s="5">
        <v>0</v>
      </c>
    </row>
    <row r="309" spans="1:25" x14ac:dyDescent="0.25">
      <c r="A309" s="8">
        <v>46279</v>
      </c>
      <c r="B309" s="16">
        <f>YEAR(Tabela32[[#This Row],[Data]])</f>
        <v>2026</v>
      </c>
      <c r="C309" s="16">
        <f>MONTH(Tabela32[[#This Row],[Data]])</f>
        <v>9</v>
      </c>
      <c r="D309" s="4" t="s">
        <v>53</v>
      </c>
      <c r="E309" s="4">
        <v>5</v>
      </c>
      <c r="F309" s="4" t="str">
        <f>IFERROR(VLOOKUP(Tabela32[[#This Row],[Placa]],Planilha2!$A$1:$B$12,2,0),"")</f>
        <v>Arnaldo</v>
      </c>
      <c r="G309" s="10">
        <v>4334.04</v>
      </c>
      <c r="H309" s="10">
        <v>70129.5</v>
      </c>
      <c r="I309" s="4">
        <v>1552</v>
      </c>
      <c r="J309" s="17">
        <f>IFERROR(Tabela32[[#This Row],[Valor Frete]]/Tabela32[[#This Row],[Valor Mercadoria]],"")</f>
        <v>6.1800526169443669E-2</v>
      </c>
      <c r="K309" s="11">
        <v>0.2986111111111111</v>
      </c>
      <c r="L309" s="15">
        <v>0.74097222222222225</v>
      </c>
      <c r="M309" s="15">
        <f>Tabela32[[#This Row],[Hr Chegada]]-Tabela32[[#This Row],[Hr Saida]]</f>
        <v>0.44236111111111115</v>
      </c>
      <c r="N309" s="4">
        <v>13592</v>
      </c>
      <c r="O309" s="4">
        <v>13659</v>
      </c>
      <c r="P309" s="4">
        <f>Tabela32[[#This Row],[Km Chegada]]-Tabela32[[#This Row],[Km Saída]]</f>
        <v>67</v>
      </c>
      <c r="Q309" s="4">
        <v>169</v>
      </c>
      <c r="R309" s="4">
        <v>14</v>
      </c>
      <c r="S309" s="4">
        <v>14</v>
      </c>
      <c r="T309" s="12">
        <f>Tabela32[[#This Row],[Entregas]]-Tabela32[[#This Row],[Realizadas]]</f>
        <v>0</v>
      </c>
      <c r="U309" s="18">
        <f>Tabela32[[#This Row],[Realizadas]]/Tabela32[[#This Row],[Entregas]]</f>
        <v>1</v>
      </c>
      <c r="V309" s="19" t="str">
        <f>IF(Tabela32[[#This Row],[% Entrega]]&gt;=96%,"Atendeu a Meta","Não Atendeu a Meta")</f>
        <v>Atendeu a Meta</v>
      </c>
      <c r="W309" s="4" t="s">
        <v>39</v>
      </c>
      <c r="X309" s="4">
        <v>0</v>
      </c>
      <c r="Y309" s="5">
        <v>0</v>
      </c>
    </row>
    <row r="310" spans="1:25" x14ac:dyDescent="0.25">
      <c r="A310" s="8">
        <v>46279</v>
      </c>
      <c r="B310" s="16">
        <f>YEAR(Tabela32[[#This Row],[Data]])</f>
        <v>2026</v>
      </c>
      <c r="C310" s="16">
        <f>MONTH(Tabela32[[#This Row],[Data]])</f>
        <v>9</v>
      </c>
      <c r="D310" s="4" t="s">
        <v>28</v>
      </c>
      <c r="E310" s="4">
        <v>11</v>
      </c>
      <c r="F310" s="4" t="str">
        <f>IFERROR(VLOOKUP(Tabela32[[#This Row],[Placa]],Planilha2!$A$1:$B$12,2,0),"")</f>
        <v>Edilson</v>
      </c>
      <c r="G310" s="10">
        <v>15187.44</v>
      </c>
      <c r="H310" s="10">
        <v>223919.01</v>
      </c>
      <c r="I310" s="4">
        <v>2397</v>
      </c>
      <c r="J310" s="17">
        <f>IFERROR(Tabela32[[#This Row],[Valor Frete]]/Tabela32[[#This Row],[Valor Mercadoria]],"")</f>
        <v>6.7825594620126273E-2</v>
      </c>
      <c r="K310" s="11">
        <v>0.27083333333333331</v>
      </c>
      <c r="L310" s="15">
        <v>0.77638888888888891</v>
      </c>
      <c r="M310" s="15">
        <f>Tabela32[[#This Row],[Hr Chegada]]-Tabela32[[#This Row],[Hr Saida]]</f>
        <v>0.50555555555555554</v>
      </c>
      <c r="N310" s="4">
        <v>105497</v>
      </c>
      <c r="O310" s="4">
        <v>105634</v>
      </c>
      <c r="P310" s="4">
        <f>Tabela32[[#This Row],[Km Chegada]]-Tabela32[[#This Row],[Km Saída]]</f>
        <v>137</v>
      </c>
      <c r="Q310" s="4">
        <v>253</v>
      </c>
      <c r="R310" s="4">
        <v>40</v>
      </c>
      <c r="S310" s="4">
        <v>40</v>
      </c>
      <c r="T310" s="12">
        <f>Tabela32[[#This Row],[Entregas]]-Tabela32[[#This Row],[Realizadas]]</f>
        <v>0</v>
      </c>
      <c r="U310" s="18">
        <f>Tabela32[[#This Row],[Realizadas]]/Tabela32[[#This Row],[Entregas]]</f>
        <v>1</v>
      </c>
      <c r="V310" s="19" t="str">
        <f>IF(Tabela32[[#This Row],[% Entrega]]&gt;=96%,"Atendeu a Meta","Não Atendeu a Meta")</f>
        <v>Atendeu a Meta</v>
      </c>
      <c r="W310" s="4" t="s">
        <v>41</v>
      </c>
      <c r="X310" s="4">
        <v>0</v>
      </c>
      <c r="Y310" s="5">
        <v>0</v>
      </c>
    </row>
    <row r="311" spans="1:25" x14ac:dyDescent="0.25">
      <c r="A311" s="8">
        <v>46279</v>
      </c>
      <c r="B311" s="16">
        <f>YEAR(Tabela32[[#This Row],[Data]])</f>
        <v>2026</v>
      </c>
      <c r="C311" s="16">
        <f>MONTH(Tabela32[[#This Row],[Data]])</f>
        <v>9</v>
      </c>
      <c r="D311" s="4" t="s">
        <v>22</v>
      </c>
      <c r="E311" s="4">
        <v>2</v>
      </c>
      <c r="F311" s="4" t="str">
        <f>IFERROR(VLOOKUP(Tabela32[[#This Row],[Placa]],Planilha2!$A$1:$B$12,2,0),"")</f>
        <v>Wesley</v>
      </c>
      <c r="G311" s="10">
        <v>7035.69</v>
      </c>
      <c r="H311" s="10">
        <v>162106.54</v>
      </c>
      <c r="I311" s="4">
        <v>1233</v>
      </c>
      <c r="J311" s="17">
        <f>IFERROR(Tabela32[[#This Row],[Valor Frete]]/Tabela32[[#This Row],[Valor Mercadoria]],"")</f>
        <v>4.3401641907846525E-2</v>
      </c>
      <c r="K311" s="11">
        <v>0.27083333333333331</v>
      </c>
      <c r="L311" s="15">
        <v>0.70833333333333337</v>
      </c>
      <c r="M311" s="15">
        <f>Tabela32[[#This Row],[Hr Chegada]]-Tabela32[[#This Row],[Hr Saida]]</f>
        <v>0.43750000000000006</v>
      </c>
      <c r="N311" s="4">
        <v>304578</v>
      </c>
      <c r="O311" s="4">
        <v>304633</v>
      </c>
      <c r="P311" s="4">
        <f>Tabela32[[#This Row],[Km Chegada]]-Tabela32[[#This Row],[Km Saída]]</f>
        <v>55</v>
      </c>
      <c r="Q311" s="4">
        <v>152</v>
      </c>
      <c r="R311" s="4">
        <v>28</v>
      </c>
      <c r="S311" s="4">
        <v>28</v>
      </c>
      <c r="T311" s="12">
        <f>Tabela32[[#This Row],[Entregas]]-Tabela32[[#This Row],[Realizadas]]</f>
        <v>0</v>
      </c>
      <c r="U311" s="18">
        <f>Tabela32[[#This Row],[Realizadas]]/Tabela32[[#This Row],[Entregas]]</f>
        <v>1</v>
      </c>
      <c r="V311" s="19" t="str">
        <f>IF(Tabela32[[#This Row],[% Entrega]]&gt;=96%,"Atendeu a Meta","Não Atendeu a Meta")</f>
        <v>Atendeu a Meta</v>
      </c>
      <c r="W311" s="4" t="s">
        <v>39</v>
      </c>
      <c r="X311" s="4">
        <v>0</v>
      </c>
      <c r="Y311" s="5">
        <v>0</v>
      </c>
    </row>
    <row r="312" spans="1:25" x14ac:dyDescent="0.25">
      <c r="A312" s="8">
        <v>46279</v>
      </c>
      <c r="B312" s="16">
        <f>YEAR(Tabela32[[#This Row],[Data]])</f>
        <v>2026</v>
      </c>
      <c r="C312" s="16">
        <f>MONTH(Tabela32[[#This Row],[Data]])</f>
        <v>9</v>
      </c>
      <c r="D312" s="4" t="s">
        <v>36</v>
      </c>
      <c r="E312" s="4">
        <v>5</v>
      </c>
      <c r="F312" s="4" t="str">
        <f>IFERROR(VLOOKUP(Tabela32[[#This Row],[Placa]],Planilha2!$A$1:$B$12,2,0),"")</f>
        <v>Heremilton</v>
      </c>
      <c r="G312" s="10">
        <v>43098.8</v>
      </c>
      <c r="H312" s="10">
        <v>995354.17</v>
      </c>
      <c r="I312" s="4">
        <v>8352</v>
      </c>
      <c r="J312" s="17">
        <f>IFERROR(Tabela32[[#This Row],[Valor Frete]]/Tabela32[[#This Row],[Valor Mercadoria]],"")</f>
        <v>4.3299964273018521E-2</v>
      </c>
      <c r="K312" s="11">
        <v>0.2673611111111111</v>
      </c>
      <c r="L312" s="15">
        <v>0.77430555555555558</v>
      </c>
      <c r="M312" s="15">
        <f>Tabela32[[#This Row],[Hr Chegada]]-Tabela32[[#This Row],[Hr Saida]]</f>
        <v>0.50694444444444442</v>
      </c>
      <c r="N312" s="4">
        <v>365871</v>
      </c>
      <c r="O312" s="4">
        <v>365909</v>
      </c>
      <c r="P312" s="4">
        <f>Tabela32[[#This Row],[Km Chegada]]-Tabela32[[#This Row],[Km Saída]]</f>
        <v>38</v>
      </c>
      <c r="Q312" s="4">
        <v>312</v>
      </c>
      <c r="R312" s="4">
        <v>29</v>
      </c>
      <c r="S312" s="4">
        <v>29</v>
      </c>
      <c r="T312" s="12">
        <f>Tabela32[[#This Row],[Entregas]]-Tabela32[[#This Row],[Realizadas]]</f>
        <v>0</v>
      </c>
      <c r="U312" s="18">
        <f>Tabela32[[#This Row],[Realizadas]]/Tabela32[[#This Row],[Entregas]]</f>
        <v>1</v>
      </c>
      <c r="V312" s="19" t="str">
        <f>IF(Tabela32[[#This Row],[% Entrega]]&gt;=96%,"Atendeu a Meta","Não Atendeu a Meta")</f>
        <v>Atendeu a Meta</v>
      </c>
      <c r="W312" s="4" t="s">
        <v>39</v>
      </c>
      <c r="X312" s="4">
        <v>0</v>
      </c>
      <c r="Y312" s="5">
        <v>0</v>
      </c>
    </row>
    <row r="313" spans="1:25" x14ac:dyDescent="0.25">
      <c r="A313" s="8">
        <v>46280</v>
      </c>
      <c r="B313" s="16">
        <f>YEAR(Tabela32[[#This Row],[Data]])</f>
        <v>2026</v>
      </c>
      <c r="C313" s="16">
        <f>MONTH(Tabela32[[#This Row],[Data]])</f>
        <v>9</v>
      </c>
      <c r="D313" s="4" t="s">
        <v>28</v>
      </c>
      <c r="E313" s="4">
        <v>5</v>
      </c>
      <c r="F313" s="4" t="str">
        <f>IFERROR(VLOOKUP(Tabela32[[#This Row],[Placa]],Planilha2!$A$1:$B$12,2,0),"")</f>
        <v>Edilson</v>
      </c>
      <c r="G313" s="10">
        <v>18853.400000000001</v>
      </c>
      <c r="H313" s="10">
        <v>324836.46999999997</v>
      </c>
      <c r="I313" s="4">
        <v>2903</v>
      </c>
      <c r="J313" s="17">
        <f>IFERROR(Tabela32[[#This Row],[Valor Frete]]/Tabela32[[#This Row],[Valor Mercadoria]],"")</f>
        <v>5.8039665312210796E-2</v>
      </c>
      <c r="K313" s="11">
        <v>0.27083333333333331</v>
      </c>
      <c r="L313" s="15">
        <v>0.76180555555555551</v>
      </c>
      <c r="M313" s="15">
        <f>Tabela32[[#This Row],[Hr Chegada]]-Tabela32[[#This Row],[Hr Saida]]</f>
        <v>0.4909722222222222</v>
      </c>
      <c r="N313" s="4">
        <v>105634</v>
      </c>
      <c r="O313" s="4">
        <v>105668</v>
      </c>
      <c r="P313" s="4">
        <f>Tabela32[[#This Row],[Km Chegada]]-Tabela32[[#This Row],[Km Saída]]</f>
        <v>34</v>
      </c>
      <c r="Q313" s="4">
        <v>1169</v>
      </c>
      <c r="R313" s="4">
        <v>11</v>
      </c>
      <c r="S313" s="4">
        <v>11</v>
      </c>
      <c r="T313" s="12">
        <f>Tabela32[[#This Row],[Entregas]]-Tabela32[[#This Row],[Realizadas]]</f>
        <v>0</v>
      </c>
      <c r="U313" s="18">
        <f>Tabela32[[#This Row],[Realizadas]]/Tabela32[[#This Row],[Entregas]]</f>
        <v>1</v>
      </c>
      <c r="V313" s="19" t="str">
        <f>IF(Tabela32[[#This Row],[% Entrega]]&gt;=96%,"Atendeu a Meta","Não Atendeu a Meta")</f>
        <v>Atendeu a Meta</v>
      </c>
      <c r="W313" s="4" t="s">
        <v>39</v>
      </c>
      <c r="X313" s="4">
        <v>0</v>
      </c>
      <c r="Y313" s="5">
        <v>0</v>
      </c>
    </row>
    <row r="314" spans="1:25" x14ac:dyDescent="0.25">
      <c r="A314" s="8">
        <v>46280</v>
      </c>
      <c r="B314" s="16">
        <f>YEAR(Tabela32[[#This Row],[Data]])</f>
        <v>2026</v>
      </c>
      <c r="C314" s="16">
        <f>MONTH(Tabela32[[#This Row],[Data]])</f>
        <v>9</v>
      </c>
      <c r="D314" s="4" t="s">
        <v>35</v>
      </c>
      <c r="E314" s="4">
        <v>3</v>
      </c>
      <c r="F314" s="4" t="str">
        <f>IFERROR(VLOOKUP(Tabela32[[#This Row],[Placa]],Planilha2!$A$1:$B$12,2,0),"")</f>
        <v>Osvaldo</v>
      </c>
      <c r="G314" s="10">
        <v>7393.87</v>
      </c>
      <c r="H314" s="10">
        <v>125117.98</v>
      </c>
      <c r="I314" s="4">
        <v>1597</v>
      </c>
      <c r="J314" s="17">
        <f>IFERROR(Tabela32[[#This Row],[Valor Frete]]/Tabela32[[#This Row],[Valor Mercadoria]],"")</f>
        <v>5.9095183601909178E-2</v>
      </c>
      <c r="K314" s="11">
        <v>0.29166666666666669</v>
      </c>
      <c r="L314" s="15">
        <v>0.6875</v>
      </c>
      <c r="M314" s="15">
        <f>Tabela32[[#This Row],[Hr Chegada]]-Tabela32[[#This Row],[Hr Saida]]</f>
        <v>0.39583333333333331</v>
      </c>
      <c r="N314" s="4">
        <v>143202</v>
      </c>
      <c r="O314" s="4">
        <v>143264</v>
      </c>
      <c r="P314" s="4">
        <f>Tabela32[[#This Row],[Km Chegada]]-Tabela32[[#This Row],[Km Saída]]</f>
        <v>62</v>
      </c>
      <c r="Q314" s="4">
        <v>282</v>
      </c>
      <c r="R314" s="4">
        <v>17</v>
      </c>
      <c r="S314" s="4">
        <v>17</v>
      </c>
      <c r="T314" s="12">
        <f>Tabela32[[#This Row],[Entregas]]-Tabela32[[#This Row],[Realizadas]]</f>
        <v>0</v>
      </c>
      <c r="U314" s="18">
        <f>Tabela32[[#This Row],[Realizadas]]/Tabela32[[#This Row],[Entregas]]</f>
        <v>1</v>
      </c>
      <c r="V314" s="19" t="str">
        <f>IF(Tabela32[[#This Row],[% Entrega]]&gt;=96%,"Atendeu a Meta","Não Atendeu a Meta")</f>
        <v>Atendeu a Meta</v>
      </c>
      <c r="W314" s="4" t="s">
        <v>39</v>
      </c>
      <c r="X314" s="4">
        <v>0</v>
      </c>
      <c r="Y314" s="5">
        <v>0</v>
      </c>
    </row>
    <row r="315" spans="1:25" x14ac:dyDescent="0.25">
      <c r="A315" s="8">
        <v>46280</v>
      </c>
      <c r="B315" s="16">
        <f>YEAR(Tabela32[[#This Row],[Data]])</f>
        <v>2026</v>
      </c>
      <c r="C315" s="16">
        <f>MONTH(Tabela32[[#This Row],[Data]])</f>
        <v>9</v>
      </c>
      <c r="D315" s="4" t="s">
        <v>22</v>
      </c>
      <c r="E315" s="4">
        <v>11</v>
      </c>
      <c r="F315" s="4" t="str">
        <f>IFERROR(VLOOKUP(Tabela32[[#This Row],[Placa]],Planilha2!$A$1:$B$12,2,0),"")</f>
        <v>Wesley</v>
      </c>
      <c r="G315" s="10">
        <v>15059.51</v>
      </c>
      <c r="H315" s="10">
        <v>244376.56</v>
      </c>
      <c r="I315" s="4">
        <v>1768</v>
      </c>
      <c r="J315" s="17">
        <f>IFERROR(Tabela32[[#This Row],[Valor Frete]]/Tabela32[[#This Row],[Valor Mercadoria]],"")</f>
        <v>6.1624199964186423E-2</v>
      </c>
      <c r="K315" s="11">
        <v>0.27083333333333331</v>
      </c>
      <c r="L315" s="15">
        <v>0.7993055555555556</v>
      </c>
      <c r="M315" s="15">
        <f>Tabela32[[#This Row],[Hr Chegada]]-Tabela32[[#This Row],[Hr Saida]]</f>
        <v>0.52847222222222223</v>
      </c>
      <c r="N315" s="4">
        <v>304633</v>
      </c>
      <c r="O315" s="4">
        <v>304774</v>
      </c>
      <c r="P315" s="4">
        <f>Tabela32[[#This Row],[Km Chegada]]-Tabela32[[#This Row],[Km Saída]]</f>
        <v>141</v>
      </c>
      <c r="Q315" s="4">
        <v>325</v>
      </c>
      <c r="R315" s="4">
        <v>51</v>
      </c>
      <c r="S315" s="4">
        <v>51</v>
      </c>
      <c r="T315" s="12">
        <f>Tabela32[[#This Row],[Entregas]]-Tabela32[[#This Row],[Realizadas]]</f>
        <v>0</v>
      </c>
      <c r="U315" s="18">
        <f>Tabela32[[#This Row],[Realizadas]]/Tabela32[[#This Row],[Entregas]]</f>
        <v>1</v>
      </c>
      <c r="V315" s="19" t="str">
        <f>IF(Tabela32[[#This Row],[% Entrega]]&gt;=96%,"Atendeu a Meta","Não Atendeu a Meta")</f>
        <v>Atendeu a Meta</v>
      </c>
      <c r="W315" s="4" t="s">
        <v>41</v>
      </c>
      <c r="X315" s="4">
        <v>0</v>
      </c>
      <c r="Y315" s="5">
        <v>0</v>
      </c>
    </row>
    <row r="316" spans="1:25" x14ac:dyDescent="0.25">
      <c r="A316" s="8">
        <v>46280</v>
      </c>
      <c r="B316" s="16">
        <f>YEAR(Tabela32[[#This Row],[Data]])</f>
        <v>2026</v>
      </c>
      <c r="C316" s="16">
        <f>MONTH(Tabela32[[#This Row],[Data]])</f>
        <v>9</v>
      </c>
      <c r="D316" s="4" t="s">
        <v>53</v>
      </c>
      <c r="E316" s="4">
        <v>2</v>
      </c>
      <c r="F316" s="4" t="str">
        <f>IFERROR(VLOOKUP(Tabela32[[#This Row],[Placa]],Planilha2!$A$1:$B$12,2,0),"")</f>
        <v>Arnaldo</v>
      </c>
      <c r="G316" s="10">
        <v>9399.57</v>
      </c>
      <c r="H316" s="10">
        <v>152021.64000000001</v>
      </c>
      <c r="I316" s="4">
        <v>2125</v>
      </c>
      <c r="J316" s="17">
        <f>IFERROR(Tabela32[[#This Row],[Valor Frete]]/Tabela32[[#This Row],[Valor Mercadoria]],"")</f>
        <v>6.1830473608888832E-2</v>
      </c>
      <c r="K316" s="11">
        <v>0.27777777777777779</v>
      </c>
      <c r="L316" s="15">
        <v>0.79861111111111116</v>
      </c>
      <c r="M316" s="15">
        <f>Tabela32[[#This Row],[Hr Chegada]]-Tabela32[[#This Row],[Hr Saida]]</f>
        <v>0.52083333333333337</v>
      </c>
      <c r="N316" s="4">
        <v>13659</v>
      </c>
      <c r="O316" s="4">
        <v>13713</v>
      </c>
      <c r="P316" s="4">
        <f>Tabela32[[#This Row],[Km Chegada]]-Tabela32[[#This Row],[Km Saída]]</f>
        <v>54</v>
      </c>
      <c r="Q316" s="4">
        <v>300</v>
      </c>
      <c r="R316" s="4">
        <v>37</v>
      </c>
      <c r="S316" s="4">
        <v>37</v>
      </c>
      <c r="T316" s="12">
        <f>Tabela32[[#This Row],[Entregas]]-Tabela32[[#This Row],[Realizadas]]</f>
        <v>0</v>
      </c>
      <c r="U316" s="18">
        <f>Tabela32[[#This Row],[Realizadas]]/Tabela32[[#This Row],[Entregas]]</f>
        <v>1</v>
      </c>
      <c r="V316" s="19" t="str">
        <f>IF(Tabela32[[#This Row],[% Entrega]]&gt;=96%,"Atendeu a Meta","Não Atendeu a Meta")</f>
        <v>Atendeu a Meta</v>
      </c>
      <c r="W316" s="4" t="s">
        <v>39</v>
      </c>
      <c r="X316" s="4">
        <v>0</v>
      </c>
      <c r="Y316" s="5">
        <v>0</v>
      </c>
    </row>
    <row r="317" spans="1:25" x14ac:dyDescent="0.25">
      <c r="A317" s="8">
        <v>46280</v>
      </c>
      <c r="B317" s="16">
        <f>YEAR(Tabela32[[#This Row],[Data]])</f>
        <v>2026</v>
      </c>
      <c r="C317" s="16">
        <f>MONTH(Tabela32[[#This Row],[Data]])</f>
        <v>9</v>
      </c>
      <c r="D317" s="4" t="s">
        <v>29</v>
      </c>
      <c r="E317" s="4">
        <v>1</v>
      </c>
      <c r="F317" s="4" t="str">
        <f>IFERROR(VLOOKUP(Tabela32[[#This Row],[Placa]],Planilha2!$A$1:$B$12,2,0),"")</f>
        <v>Sandro</v>
      </c>
      <c r="G317" s="10">
        <v>4610.2</v>
      </c>
      <c r="H317" s="10">
        <v>62316.29</v>
      </c>
      <c r="I317" s="4">
        <v>454</v>
      </c>
      <c r="J317" s="17">
        <f>IFERROR(Tabela32[[#This Row],[Valor Frete]]/Tabela32[[#This Row],[Valor Mercadoria]],"")</f>
        <v>7.3980655780374605E-2</v>
      </c>
      <c r="K317" s="11">
        <v>0.29166666666666669</v>
      </c>
      <c r="L317" s="15">
        <v>0.62847222222222221</v>
      </c>
      <c r="M317" s="15">
        <f>Tabela32[[#This Row],[Hr Chegada]]-Tabela32[[#This Row],[Hr Saida]]</f>
        <v>0.33680555555555552</v>
      </c>
      <c r="N317" s="4">
        <v>275727</v>
      </c>
      <c r="O317" s="4">
        <v>275769</v>
      </c>
      <c r="P317" s="4">
        <f>Tabela32[[#This Row],[Km Chegada]]-Tabela32[[#This Row],[Km Saída]]</f>
        <v>42</v>
      </c>
      <c r="Q317" s="4">
        <v>128</v>
      </c>
      <c r="R317" s="4">
        <v>4</v>
      </c>
      <c r="S317" s="4">
        <v>4</v>
      </c>
      <c r="T317" s="12">
        <f>Tabela32[[#This Row],[Entregas]]-Tabela32[[#This Row],[Realizadas]]</f>
        <v>0</v>
      </c>
      <c r="U317" s="18">
        <f>Tabela32[[#This Row],[Realizadas]]/Tabela32[[#This Row],[Entregas]]</f>
        <v>1</v>
      </c>
      <c r="V317" s="19" t="str">
        <f>IF(Tabela32[[#This Row],[% Entrega]]&gt;=96%,"Atendeu a Meta","Não Atendeu a Meta")</f>
        <v>Atendeu a Meta</v>
      </c>
      <c r="W317" s="4" t="s">
        <v>40</v>
      </c>
      <c r="X317" s="4">
        <v>0</v>
      </c>
      <c r="Y317" s="5">
        <v>0</v>
      </c>
    </row>
    <row r="318" spans="1:25" x14ac:dyDescent="0.25">
      <c r="A318" s="8">
        <v>46280</v>
      </c>
      <c r="B318" s="16">
        <f>YEAR(Tabela32[[#This Row],[Data]])</f>
        <v>2026</v>
      </c>
      <c r="C318" s="16">
        <f>MONTH(Tabela32[[#This Row],[Data]])</f>
        <v>9</v>
      </c>
      <c r="D318" s="4" t="s">
        <v>31</v>
      </c>
      <c r="E318" s="4">
        <v>1</v>
      </c>
      <c r="F318" s="4" t="str">
        <f>IFERROR(VLOOKUP(Tabela32[[#This Row],[Placa]],Planilha2!$A$1:$B$12,2,0),"")</f>
        <v>Jerson</v>
      </c>
      <c r="G318" s="10">
        <v>9051.34</v>
      </c>
      <c r="H318" s="10">
        <v>88336.69</v>
      </c>
      <c r="I318" s="4">
        <v>1831</v>
      </c>
      <c r="J318" s="17">
        <f>IFERROR(Tabela32[[#This Row],[Valor Frete]]/Tabela32[[#This Row],[Valor Mercadoria]],"")</f>
        <v>0.10246410636395817</v>
      </c>
      <c r="K318" s="11">
        <v>0.30555555555555558</v>
      </c>
      <c r="L318" s="15">
        <v>0.65625</v>
      </c>
      <c r="M318" s="15">
        <f>Tabela32[[#This Row],[Hr Chegada]]-Tabela32[[#This Row],[Hr Saida]]</f>
        <v>0.35069444444444442</v>
      </c>
      <c r="N318" s="4">
        <v>280560</v>
      </c>
      <c r="O318" s="4">
        <v>280603</v>
      </c>
      <c r="P318" s="4">
        <f>Tabela32[[#This Row],[Km Chegada]]-Tabela32[[#This Row],[Km Saída]]</f>
        <v>43</v>
      </c>
      <c r="Q318" s="4">
        <v>285</v>
      </c>
      <c r="R318" s="4">
        <v>12</v>
      </c>
      <c r="S318" s="4">
        <v>11</v>
      </c>
      <c r="T318" s="12">
        <f>Tabela32[[#This Row],[Entregas]]-Tabela32[[#This Row],[Realizadas]]</f>
        <v>1</v>
      </c>
      <c r="U318" s="18">
        <f>Tabela32[[#This Row],[Realizadas]]/Tabela32[[#This Row],[Entregas]]</f>
        <v>0.91666666666666663</v>
      </c>
      <c r="V318" s="19" t="str">
        <f>IF(Tabela32[[#This Row],[% Entrega]]&gt;=96%,"Atendeu a Meta","Não Atendeu a Meta")</f>
        <v>Não Atendeu a Meta</v>
      </c>
      <c r="W318" s="4" t="s">
        <v>39</v>
      </c>
      <c r="X318" s="4">
        <v>1</v>
      </c>
      <c r="Y318" s="5">
        <v>13</v>
      </c>
    </row>
    <row r="319" spans="1:25" x14ac:dyDescent="0.25">
      <c r="A319" s="8">
        <v>46280</v>
      </c>
      <c r="B319" s="16">
        <f>YEAR(Tabela32[[#This Row],[Data]])</f>
        <v>2026</v>
      </c>
      <c r="C319" s="16">
        <f>MONTH(Tabela32[[#This Row],[Data]])</f>
        <v>9</v>
      </c>
      <c r="D319" s="4" t="s">
        <v>23</v>
      </c>
      <c r="E319" s="4">
        <v>1</v>
      </c>
      <c r="F319" s="4" t="str">
        <f>IFERROR(VLOOKUP(Tabela32[[#This Row],[Placa]],Planilha2!$A$1:$B$12,2,0),"")</f>
        <v>William</v>
      </c>
      <c r="G319" s="10">
        <v>12937.47</v>
      </c>
      <c r="H319" s="10">
        <v>193243.18</v>
      </c>
      <c r="I319" s="4">
        <v>2257</v>
      </c>
      <c r="J319" s="17">
        <f>IFERROR(Tabela32[[#This Row],[Valor Frete]]/Tabela32[[#This Row],[Valor Mercadoria]],"")</f>
        <v>6.6949167365182041E-2</v>
      </c>
      <c r="K319" s="11">
        <v>0.29166666666666669</v>
      </c>
      <c r="L319" s="15">
        <v>0.76736111111111116</v>
      </c>
      <c r="M319" s="15">
        <f>Tabela32[[#This Row],[Hr Chegada]]-Tabela32[[#This Row],[Hr Saida]]</f>
        <v>0.47569444444444448</v>
      </c>
      <c r="N319" s="4">
        <v>125211</v>
      </c>
      <c r="O319" s="4">
        <v>125287</v>
      </c>
      <c r="P319" s="4">
        <f>Tabela32[[#This Row],[Km Chegada]]-Tabela32[[#This Row],[Km Saída]]</f>
        <v>76</v>
      </c>
      <c r="Q319" s="4">
        <v>280</v>
      </c>
      <c r="R319" s="4">
        <v>20</v>
      </c>
      <c r="S319" s="4">
        <v>17</v>
      </c>
      <c r="T319" s="12">
        <f>Tabela32[[#This Row],[Entregas]]-Tabela32[[#This Row],[Realizadas]]</f>
        <v>3</v>
      </c>
      <c r="U319" s="18">
        <f>Tabela32[[#This Row],[Realizadas]]/Tabela32[[#This Row],[Entregas]]</f>
        <v>0.85</v>
      </c>
      <c r="V319" s="19" t="str">
        <f>IF(Tabela32[[#This Row],[% Entrega]]&gt;=96%,"Atendeu a Meta","Não Atendeu a Meta")</f>
        <v>Não Atendeu a Meta</v>
      </c>
      <c r="W319" s="4" t="s">
        <v>43</v>
      </c>
      <c r="X319" s="4">
        <v>3</v>
      </c>
      <c r="Y319" s="5" t="s">
        <v>69</v>
      </c>
    </row>
    <row r="320" spans="1:25" x14ac:dyDescent="0.25">
      <c r="A320" s="8">
        <v>46280</v>
      </c>
      <c r="B320" s="16">
        <f>YEAR(Tabela32[[#This Row],[Data]])</f>
        <v>2026</v>
      </c>
      <c r="C320" s="16">
        <f>MONTH(Tabela32[[#This Row],[Data]])</f>
        <v>9</v>
      </c>
      <c r="D320" s="4" t="s">
        <v>33</v>
      </c>
      <c r="E320" s="4">
        <v>1</v>
      </c>
      <c r="F320" s="4" t="str">
        <f>IFERROR(VLOOKUP(Tabela32[[#This Row],[Placa]],Planilha2!$A$1:$B$12,2,0),"")</f>
        <v>Paulo</v>
      </c>
      <c r="G320" s="10">
        <v>1832.2</v>
      </c>
      <c r="H320" s="10">
        <v>85862.29</v>
      </c>
      <c r="I320" s="4">
        <v>282</v>
      </c>
      <c r="J320" s="17">
        <f>IFERROR(Tabela32[[#This Row],[Valor Frete]]/Tabela32[[#This Row],[Valor Mercadoria]],"")</f>
        <v>2.1338820569542231E-2</v>
      </c>
      <c r="K320" s="11">
        <v>0.29791666666666666</v>
      </c>
      <c r="L320" s="15">
        <v>0.70625000000000004</v>
      </c>
      <c r="M320" s="15">
        <f>Tabela32[[#This Row],[Hr Chegada]]-Tabela32[[#This Row],[Hr Saida]]</f>
        <v>0.40833333333333338</v>
      </c>
      <c r="N320" s="4">
        <v>155512</v>
      </c>
      <c r="O320" s="4">
        <v>155574</v>
      </c>
      <c r="P320" s="4">
        <f>Tabela32[[#This Row],[Km Chegada]]-Tabela32[[#This Row],[Km Saída]]</f>
        <v>62</v>
      </c>
      <c r="Q320" s="4">
        <v>145</v>
      </c>
      <c r="R320" s="4">
        <v>2</v>
      </c>
      <c r="S320" s="4">
        <v>2</v>
      </c>
      <c r="T320" s="12">
        <f>Tabela32[[#This Row],[Entregas]]-Tabela32[[#This Row],[Realizadas]]</f>
        <v>0</v>
      </c>
      <c r="U320" s="18">
        <f>Tabela32[[#This Row],[Realizadas]]/Tabela32[[#This Row],[Entregas]]</f>
        <v>1</v>
      </c>
      <c r="V320" s="19" t="str">
        <f>IF(Tabela32[[#This Row],[% Entrega]]&gt;=96%,"Atendeu a Meta","Não Atendeu a Meta")</f>
        <v>Atendeu a Meta</v>
      </c>
      <c r="W320" s="4" t="s">
        <v>40</v>
      </c>
      <c r="X320" s="4">
        <v>0</v>
      </c>
      <c r="Y320" s="5">
        <v>0</v>
      </c>
    </row>
    <row r="321" spans="1:25" x14ac:dyDescent="0.25">
      <c r="A321" s="8">
        <v>46280</v>
      </c>
      <c r="B321" s="16">
        <f>YEAR(Tabela32[[#This Row],[Data]])</f>
        <v>2026</v>
      </c>
      <c r="C321" s="16">
        <f>MONTH(Tabela32[[#This Row],[Data]])</f>
        <v>9</v>
      </c>
      <c r="D321" s="4" t="s">
        <v>27</v>
      </c>
      <c r="E321" s="4">
        <v>4</v>
      </c>
      <c r="F321" s="4" t="str">
        <f>IFERROR(VLOOKUP(Tabela32[[#This Row],[Placa]],Planilha2!$A$1:$B$12,2,0),"")</f>
        <v>Rosinaldo</v>
      </c>
      <c r="G321" s="10">
        <v>7881.64</v>
      </c>
      <c r="H321" s="10">
        <v>137881.19</v>
      </c>
      <c r="I321" s="4">
        <v>1468</v>
      </c>
      <c r="J321" s="17">
        <f>IFERROR(Tabela32[[#This Row],[Valor Frete]]/Tabela32[[#This Row],[Valor Mercadoria]],"")</f>
        <v>5.7162546972505821E-2</v>
      </c>
      <c r="K321" s="11">
        <v>0.29166666666666669</v>
      </c>
      <c r="L321" s="15">
        <v>0.7416666666666667</v>
      </c>
      <c r="M321" s="15">
        <f>Tabela32[[#This Row],[Hr Chegada]]-Tabela32[[#This Row],[Hr Saida]]</f>
        <v>0.45</v>
      </c>
      <c r="N321" s="4">
        <v>291428</v>
      </c>
      <c r="O321" s="4">
        <v>291495</v>
      </c>
      <c r="P321" s="4">
        <f>Tabela32[[#This Row],[Km Chegada]]-Tabela32[[#This Row],[Km Saída]]</f>
        <v>67</v>
      </c>
      <c r="Q321" s="4">
        <v>299</v>
      </c>
      <c r="R321" s="4">
        <v>27</v>
      </c>
      <c r="S321" s="4">
        <v>27</v>
      </c>
      <c r="T321" s="12">
        <f>Tabela32[[#This Row],[Entregas]]-Tabela32[[#This Row],[Realizadas]]</f>
        <v>0</v>
      </c>
      <c r="U321" s="18">
        <f>Tabela32[[#This Row],[Realizadas]]/Tabela32[[#This Row],[Entregas]]</f>
        <v>1</v>
      </c>
      <c r="V321" s="19" t="str">
        <f>IF(Tabela32[[#This Row],[% Entrega]]&gt;=96%,"Atendeu a Meta","Não Atendeu a Meta")</f>
        <v>Atendeu a Meta</v>
      </c>
      <c r="W321" s="4" t="s">
        <v>39</v>
      </c>
      <c r="X321" s="4">
        <v>0</v>
      </c>
      <c r="Y321" s="5">
        <v>0</v>
      </c>
    </row>
    <row r="322" spans="1:25" x14ac:dyDescent="0.25">
      <c r="A322" s="8">
        <v>46280</v>
      </c>
      <c r="B322" s="16">
        <f>YEAR(Tabela32[[#This Row],[Data]])</f>
        <v>2026</v>
      </c>
      <c r="C322" s="16">
        <f>MONTH(Tabela32[[#This Row],[Data]])</f>
        <v>9</v>
      </c>
      <c r="D322" s="4" t="s">
        <v>25</v>
      </c>
      <c r="E322" s="4">
        <v>5</v>
      </c>
      <c r="F322" s="4" t="str">
        <f>IFERROR(VLOOKUP(Tabela32[[#This Row],[Placa]],Planilha2!$A$1:$B$12,2,0),"")</f>
        <v>Gilberto</v>
      </c>
      <c r="G322" s="10">
        <v>7095.1</v>
      </c>
      <c r="H322" s="10">
        <v>90277.26</v>
      </c>
      <c r="I322" s="4">
        <v>998</v>
      </c>
      <c r="J322" s="17">
        <f>IFERROR(Tabela32[[#This Row],[Valor Frete]]/Tabela32[[#This Row],[Valor Mercadoria]],"")</f>
        <v>7.8592327680303997E-2</v>
      </c>
      <c r="K322" s="11">
        <v>0.29166666666666669</v>
      </c>
      <c r="L322" s="15">
        <v>0.72222222222222221</v>
      </c>
      <c r="M322" s="15">
        <f>Tabela32[[#This Row],[Hr Chegada]]-Tabela32[[#This Row],[Hr Saida]]</f>
        <v>0.43055555555555552</v>
      </c>
      <c r="N322" s="4">
        <v>119898</v>
      </c>
      <c r="O322" s="4">
        <v>119995</v>
      </c>
      <c r="P322" s="4">
        <f>Tabela32[[#This Row],[Km Chegada]]-Tabela32[[#This Row],[Km Saída]]</f>
        <v>97</v>
      </c>
      <c r="Q322" s="4">
        <v>203</v>
      </c>
      <c r="R322" s="4">
        <v>21</v>
      </c>
      <c r="S322" s="4">
        <v>21</v>
      </c>
      <c r="T322" s="12">
        <f>Tabela32[[#This Row],[Entregas]]-Tabela32[[#This Row],[Realizadas]]</f>
        <v>0</v>
      </c>
      <c r="U322" s="18">
        <f>Tabela32[[#This Row],[Realizadas]]/Tabela32[[#This Row],[Entregas]]</f>
        <v>1</v>
      </c>
      <c r="V322" s="19" t="str">
        <f>IF(Tabela32[[#This Row],[% Entrega]]&gt;=96%,"Atendeu a Meta","Não Atendeu a Meta")</f>
        <v>Atendeu a Meta</v>
      </c>
      <c r="W322" s="4" t="s">
        <v>39</v>
      </c>
      <c r="X322" s="4">
        <v>0</v>
      </c>
      <c r="Y322" s="5">
        <v>38</v>
      </c>
    </row>
    <row r="323" spans="1:25" x14ac:dyDescent="0.25">
      <c r="A323" s="8">
        <v>46281</v>
      </c>
      <c r="B323" s="16">
        <f>YEAR(Tabela32[[#This Row],[Data]])</f>
        <v>2026</v>
      </c>
      <c r="C323" s="16">
        <f>MONTH(Tabela32[[#This Row],[Data]])</f>
        <v>9</v>
      </c>
      <c r="D323" s="4" t="s">
        <v>36</v>
      </c>
      <c r="E323" s="4">
        <v>5</v>
      </c>
      <c r="F323" s="4" t="str">
        <f>IFERROR(VLOOKUP(Tabela32[[#This Row],[Placa]],Planilha2!$A$1:$B$12,2,0),"")</f>
        <v>Heremilton</v>
      </c>
      <c r="G323" s="10">
        <v>5872.06</v>
      </c>
      <c r="H323" s="10">
        <v>201220.86</v>
      </c>
      <c r="I323" s="4">
        <v>1865</v>
      </c>
      <c r="J323" s="17">
        <f>IFERROR(Tabela32[[#This Row],[Valor Frete]]/Tabela32[[#This Row],[Valor Mercadoria]],"")</f>
        <v>2.9182163320443023E-2</v>
      </c>
      <c r="K323" s="11">
        <v>0.27638888888888891</v>
      </c>
      <c r="L323" s="15">
        <v>0.75694444444444442</v>
      </c>
      <c r="M323" s="15">
        <f>Tabela32[[#This Row],[Hr Chegada]]-Tabela32[[#This Row],[Hr Saida]]</f>
        <v>0.48055555555555551</v>
      </c>
      <c r="N323" s="4">
        <v>365909</v>
      </c>
      <c r="O323" s="4">
        <v>366023</v>
      </c>
      <c r="P323" s="4">
        <f>Tabela32[[#This Row],[Km Chegada]]-Tabela32[[#This Row],[Km Saída]]</f>
        <v>114</v>
      </c>
      <c r="Q323" s="4">
        <v>406</v>
      </c>
      <c r="R323" s="4">
        <v>18</v>
      </c>
      <c r="S323" s="4">
        <v>18</v>
      </c>
      <c r="T323" s="12">
        <f>Tabela32[[#This Row],[Entregas]]-Tabela32[[#This Row],[Realizadas]]</f>
        <v>0</v>
      </c>
      <c r="U323" s="18">
        <f>Tabela32[[#This Row],[Realizadas]]/Tabela32[[#This Row],[Entregas]]</f>
        <v>1</v>
      </c>
      <c r="V323" s="19" t="str">
        <f>IF(Tabela32[[#This Row],[% Entrega]]&gt;=96%,"Atendeu a Meta","Não Atendeu a Meta")</f>
        <v>Atendeu a Meta</v>
      </c>
      <c r="W323" s="4" t="s">
        <v>39</v>
      </c>
      <c r="X323" s="4">
        <v>0</v>
      </c>
      <c r="Y323" s="5">
        <v>0</v>
      </c>
    </row>
    <row r="324" spans="1:25" x14ac:dyDescent="0.25">
      <c r="A324" s="8">
        <v>46281</v>
      </c>
      <c r="B324" s="16">
        <f>YEAR(Tabela32[[#This Row],[Data]])</f>
        <v>2026</v>
      </c>
      <c r="C324" s="16">
        <f>MONTH(Tabela32[[#This Row],[Data]])</f>
        <v>9</v>
      </c>
      <c r="D324" s="4" t="s">
        <v>22</v>
      </c>
      <c r="E324" s="4">
        <v>11</v>
      </c>
      <c r="F324" s="4" t="str">
        <f>IFERROR(VLOOKUP(Tabela32[[#This Row],[Placa]],Planilha2!$A$1:$B$12,2,0),"")</f>
        <v>Wesley</v>
      </c>
      <c r="G324" s="10">
        <v>13839.81</v>
      </c>
      <c r="H324" s="10">
        <v>263221.28999999998</v>
      </c>
      <c r="I324" s="4">
        <v>1370</v>
      </c>
      <c r="J324" s="17">
        <f>IFERROR(Tabela32[[#This Row],[Valor Frete]]/Tabela32[[#This Row],[Valor Mercadoria]],"")</f>
        <v>5.2578611707282494E-2</v>
      </c>
      <c r="K324" s="11">
        <v>0.27083333333333331</v>
      </c>
      <c r="L324" s="15">
        <v>0.80208333333333337</v>
      </c>
      <c r="M324" s="15">
        <f>Tabela32[[#This Row],[Hr Chegada]]-Tabela32[[#This Row],[Hr Saida]]</f>
        <v>0.53125</v>
      </c>
      <c r="N324" s="4">
        <v>304775</v>
      </c>
      <c r="O324" s="4">
        <v>304927</v>
      </c>
      <c r="P324" s="4">
        <f>Tabela32[[#This Row],[Km Chegada]]-Tabela32[[#This Row],[Km Saída]]</f>
        <v>152</v>
      </c>
      <c r="Q324" s="4">
        <v>336</v>
      </c>
      <c r="R324" s="4">
        <v>18</v>
      </c>
      <c r="S324" s="4">
        <v>18</v>
      </c>
      <c r="T324" s="12">
        <f>Tabela32[[#This Row],[Entregas]]-Tabela32[[#This Row],[Realizadas]]</f>
        <v>0</v>
      </c>
      <c r="U324" s="18">
        <f>Tabela32[[#This Row],[Realizadas]]/Tabela32[[#This Row],[Entregas]]</f>
        <v>1</v>
      </c>
      <c r="V324" s="19" t="str">
        <f>IF(Tabela32[[#This Row],[% Entrega]]&gt;=96%,"Atendeu a Meta","Não Atendeu a Meta")</f>
        <v>Atendeu a Meta</v>
      </c>
      <c r="W324" s="4" t="s">
        <v>41</v>
      </c>
      <c r="X324" s="4">
        <v>0</v>
      </c>
      <c r="Y324" s="5">
        <v>0</v>
      </c>
    </row>
    <row r="325" spans="1:25" x14ac:dyDescent="0.25">
      <c r="A325" s="8">
        <v>46281</v>
      </c>
      <c r="B325" s="16">
        <f>YEAR(Tabela32[[#This Row],[Data]])</f>
        <v>2026</v>
      </c>
      <c r="C325" s="16">
        <f>MONTH(Tabela32[[#This Row],[Data]])</f>
        <v>9</v>
      </c>
      <c r="D325" s="4" t="s">
        <v>35</v>
      </c>
      <c r="E325" s="4">
        <v>3</v>
      </c>
      <c r="F325" s="4" t="str">
        <f>IFERROR(VLOOKUP(Tabela32[[#This Row],[Placa]],Planilha2!$A$1:$B$12,2,0),"")</f>
        <v>Osvaldo</v>
      </c>
      <c r="G325" s="10">
        <v>15170.57</v>
      </c>
      <c r="H325" s="10">
        <v>176953.19</v>
      </c>
      <c r="I325" s="4">
        <v>3551</v>
      </c>
      <c r="J325" s="17">
        <f>IFERROR(Tabela32[[#This Row],[Valor Frete]]/Tabela32[[#This Row],[Valor Mercadoria]],"")</f>
        <v>8.573210802246628E-2</v>
      </c>
      <c r="K325" s="11">
        <v>0.29166666666666669</v>
      </c>
      <c r="L325" s="15">
        <v>0.78125</v>
      </c>
      <c r="M325" s="15">
        <f>Tabela32[[#This Row],[Hr Chegada]]-Tabela32[[#This Row],[Hr Saida]]</f>
        <v>0.48958333333333331</v>
      </c>
      <c r="N325" s="4">
        <v>143264</v>
      </c>
      <c r="O325" s="4">
        <v>143327</v>
      </c>
      <c r="P325" s="4">
        <f>Tabela32[[#This Row],[Km Chegada]]-Tabela32[[#This Row],[Km Saída]]</f>
        <v>63</v>
      </c>
      <c r="Q325" s="4">
        <v>258</v>
      </c>
      <c r="R325" s="4">
        <v>17</v>
      </c>
      <c r="S325" s="4">
        <v>17</v>
      </c>
      <c r="T325" s="12">
        <f>Tabela32[[#This Row],[Entregas]]-Tabela32[[#This Row],[Realizadas]]</f>
        <v>0</v>
      </c>
      <c r="U325" s="18">
        <f>Tabela32[[#This Row],[Realizadas]]/Tabela32[[#This Row],[Entregas]]</f>
        <v>1</v>
      </c>
      <c r="V325" s="19" t="str">
        <f>IF(Tabela32[[#This Row],[% Entrega]]&gt;=96%,"Atendeu a Meta","Não Atendeu a Meta")</f>
        <v>Atendeu a Meta</v>
      </c>
      <c r="W325" s="4" t="s">
        <v>39</v>
      </c>
      <c r="X325" s="4">
        <v>0</v>
      </c>
      <c r="Y325" s="5">
        <v>0</v>
      </c>
    </row>
    <row r="326" spans="1:25" x14ac:dyDescent="0.25">
      <c r="A326" s="8">
        <v>46281</v>
      </c>
      <c r="B326" s="16">
        <f>YEAR(Tabela32[[#This Row],[Data]])</f>
        <v>2026</v>
      </c>
      <c r="C326" s="16">
        <f>MONTH(Tabela32[[#This Row],[Data]])</f>
        <v>9</v>
      </c>
      <c r="D326" s="4" t="s">
        <v>53</v>
      </c>
      <c r="E326" s="4">
        <v>2</v>
      </c>
      <c r="F326" s="4" t="str">
        <f>IFERROR(VLOOKUP(Tabela32[[#This Row],[Placa]],Planilha2!$A$1:$B$12,2,0),"")</f>
        <v>Arnaldo</v>
      </c>
      <c r="G326" s="10">
        <v>7020.05</v>
      </c>
      <c r="H326" s="10">
        <v>117163.06</v>
      </c>
      <c r="I326" s="4">
        <v>1515</v>
      </c>
      <c r="J326" s="17">
        <f>IFERROR(Tabela32[[#This Row],[Valor Frete]]/Tabela32[[#This Row],[Valor Mercadoria]],"")</f>
        <v>5.9916922620491475E-2</v>
      </c>
      <c r="K326" s="11">
        <v>0.28472222222222221</v>
      </c>
      <c r="L326" s="15">
        <v>0.81597222222222221</v>
      </c>
      <c r="M326" s="15">
        <f>Tabela32[[#This Row],[Hr Chegada]]-Tabela32[[#This Row],[Hr Saida]]</f>
        <v>0.53125</v>
      </c>
      <c r="N326" s="4">
        <v>13713</v>
      </c>
      <c r="O326" s="4">
        <v>13778</v>
      </c>
      <c r="P326" s="4">
        <f>Tabela32[[#This Row],[Km Chegada]]-Tabela32[[#This Row],[Km Saída]]</f>
        <v>65</v>
      </c>
      <c r="Q326" s="4">
        <v>253</v>
      </c>
      <c r="R326" s="4">
        <v>18</v>
      </c>
      <c r="S326" s="4">
        <v>18</v>
      </c>
      <c r="T326" s="12">
        <f>Tabela32[[#This Row],[Entregas]]-Tabela32[[#This Row],[Realizadas]]</f>
        <v>0</v>
      </c>
      <c r="U326" s="18">
        <f>Tabela32[[#This Row],[Realizadas]]/Tabela32[[#This Row],[Entregas]]</f>
        <v>1</v>
      </c>
      <c r="V326" s="19" t="str">
        <f>IF(Tabela32[[#This Row],[% Entrega]]&gt;=96%,"Atendeu a Meta","Não Atendeu a Meta")</f>
        <v>Atendeu a Meta</v>
      </c>
      <c r="W326" s="4" t="s">
        <v>39</v>
      </c>
      <c r="X326" s="4">
        <v>0</v>
      </c>
      <c r="Y326" s="5">
        <v>0</v>
      </c>
    </row>
    <row r="327" spans="1:25" x14ac:dyDescent="0.25">
      <c r="A327" s="8">
        <v>46281</v>
      </c>
      <c r="B327" s="16">
        <f>YEAR(Tabela32[[#This Row],[Data]])</f>
        <v>2026</v>
      </c>
      <c r="C327" s="16">
        <f>MONTH(Tabela32[[#This Row],[Data]])</f>
        <v>9</v>
      </c>
      <c r="D327" s="4" t="s">
        <v>23</v>
      </c>
      <c r="E327" s="4">
        <v>1</v>
      </c>
      <c r="F327" s="4" t="str">
        <f>IFERROR(VLOOKUP(Tabela32[[#This Row],[Placa]],Planilha2!$A$1:$B$12,2,0),"")</f>
        <v>William</v>
      </c>
      <c r="G327" s="10">
        <v>8636.98</v>
      </c>
      <c r="H327" s="10">
        <v>106331.64</v>
      </c>
      <c r="I327" s="4">
        <v>1392</v>
      </c>
      <c r="J327" s="17">
        <f>IFERROR(Tabela32[[#This Row],[Valor Frete]]/Tabela32[[#This Row],[Valor Mercadoria]],"")</f>
        <v>8.1226810759243429E-2</v>
      </c>
      <c r="K327" s="11">
        <v>0.29166666666666669</v>
      </c>
      <c r="L327" s="15">
        <v>0.78819444444444442</v>
      </c>
      <c r="M327" s="15">
        <f>Tabela32[[#This Row],[Hr Chegada]]-Tabela32[[#This Row],[Hr Saida]]</f>
        <v>0.49652777777777773</v>
      </c>
      <c r="N327" s="4">
        <v>125387</v>
      </c>
      <c r="O327" s="4">
        <v>125456</v>
      </c>
      <c r="P327" s="4">
        <f>Tabela32[[#This Row],[Km Chegada]]-Tabela32[[#This Row],[Km Saída]]</f>
        <v>69</v>
      </c>
      <c r="Q327" s="4">
        <v>220</v>
      </c>
      <c r="R327" s="4">
        <v>21</v>
      </c>
      <c r="S327" s="4">
        <v>21</v>
      </c>
      <c r="T327" s="12">
        <f>Tabela32[[#This Row],[Entregas]]-Tabela32[[#This Row],[Realizadas]]</f>
        <v>0</v>
      </c>
      <c r="U327" s="18">
        <f>Tabela32[[#This Row],[Realizadas]]/Tabela32[[#This Row],[Entregas]]</f>
        <v>1</v>
      </c>
      <c r="V327" s="19" t="str">
        <f>IF(Tabela32[[#This Row],[% Entrega]]&gt;=96%,"Atendeu a Meta","Não Atendeu a Meta")</f>
        <v>Atendeu a Meta</v>
      </c>
      <c r="W327" s="4" t="s">
        <v>43</v>
      </c>
      <c r="X327" s="4">
        <v>0</v>
      </c>
      <c r="Y327" s="5">
        <v>0</v>
      </c>
    </row>
    <row r="328" spans="1:25" x14ac:dyDescent="0.25">
      <c r="A328" s="8">
        <v>46281</v>
      </c>
      <c r="B328" s="16">
        <f>YEAR(Tabela32[[#This Row],[Data]])</f>
        <v>2026</v>
      </c>
      <c r="C328" s="16">
        <f>MONTH(Tabela32[[#This Row],[Data]])</f>
        <v>9</v>
      </c>
      <c r="D328" s="4" t="s">
        <v>31</v>
      </c>
      <c r="E328" s="4">
        <v>1</v>
      </c>
      <c r="F328" s="4" t="str">
        <f>IFERROR(VLOOKUP(Tabela32[[#This Row],[Placa]],Planilha2!$A$1:$B$12,2,0),"")</f>
        <v>Jerson</v>
      </c>
      <c r="G328" s="10">
        <v>4901</v>
      </c>
      <c r="H328" s="10">
        <v>81792.149999999994</v>
      </c>
      <c r="I328" s="4">
        <v>1711</v>
      </c>
      <c r="J328" s="17">
        <f>IFERROR(Tabela32[[#This Row],[Valor Frete]]/Tabela32[[#This Row],[Valor Mercadoria]],"")</f>
        <v>5.9920175713684021E-2</v>
      </c>
      <c r="K328" s="11">
        <v>0.32291666666666669</v>
      </c>
      <c r="L328" s="15">
        <v>0.76041666666666663</v>
      </c>
      <c r="M328" s="15">
        <f>Tabela32[[#This Row],[Hr Chegada]]-Tabela32[[#This Row],[Hr Saida]]</f>
        <v>0.43749999999999994</v>
      </c>
      <c r="N328" s="4">
        <v>280603</v>
      </c>
      <c r="O328" s="4">
        <v>280628</v>
      </c>
      <c r="P328" s="4">
        <f>Tabela32[[#This Row],[Km Chegada]]-Tabela32[[#This Row],[Km Saída]]</f>
        <v>25</v>
      </c>
      <c r="Q328" s="4">
        <v>322</v>
      </c>
      <c r="R328" s="4">
        <v>5</v>
      </c>
      <c r="S328" s="4">
        <v>5</v>
      </c>
      <c r="T328" s="12">
        <f>Tabela32[[#This Row],[Entregas]]-Tabela32[[#This Row],[Realizadas]]</f>
        <v>0</v>
      </c>
      <c r="U328" s="18">
        <f>Tabela32[[#This Row],[Realizadas]]/Tabela32[[#This Row],[Entregas]]</f>
        <v>1</v>
      </c>
      <c r="V328" s="19" t="str">
        <f>IF(Tabela32[[#This Row],[% Entrega]]&gt;=96%,"Atendeu a Meta","Não Atendeu a Meta")</f>
        <v>Atendeu a Meta</v>
      </c>
      <c r="W328" s="4" t="s">
        <v>43</v>
      </c>
      <c r="X328" s="4">
        <v>0</v>
      </c>
      <c r="Y328" s="5">
        <v>0</v>
      </c>
    </row>
    <row r="329" spans="1:25" x14ac:dyDescent="0.25">
      <c r="A329" s="8">
        <v>46281</v>
      </c>
      <c r="B329" s="16">
        <f>YEAR(Tabela32[[#This Row],[Data]])</f>
        <v>2026</v>
      </c>
      <c r="C329" s="16">
        <f>MONTH(Tabela32[[#This Row],[Data]])</f>
        <v>9</v>
      </c>
      <c r="D329" s="4" t="s">
        <v>33</v>
      </c>
      <c r="E329" s="4">
        <v>1</v>
      </c>
      <c r="F329" s="4" t="str">
        <f>IFERROR(VLOOKUP(Tabela32[[#This Row],[Placa]],Planilha2!$A$1:$B$12,2,0),"")</f>
        <v>Paulo</v>
      </c>
      <c r="G329" s="10">
        <v>524.25</v>
      </c>
      <c r="H329" s="10">
        <v>6389.52</v>
      </c>
      <c r="I329" s="4">
        <v>13</v>
      </c>
      <c r="J329" s="17">
        <f>IFERROR(Tabela32[[#This Row],[Valor Frete]]/Tabela32[[#This Row],[Valor Mercadoria]],"")</f>
        <v>8.2048416782481301E-2</v>
      </c>
      <c r="K329" s="11">
        <v>0.29305555555555557</v>
      </c>
      <c r="L329" s="15">
        <v>0.57986111111111116</v>
      </c>
      <c r="M329" s="15">
        <f>Tabela32[[#This Row],[Hr Chegada]]-Tabela32[[#This Row],[Hr Saida]]</f>
        <v>0.28680555555555559</v>
      </c>
      <c r="N329" s="4">
        <v>155574</v>
      </c>
      <c r="O329" s="4">
        <v>155604</v>
      </c>
      <c r="P329" s="4">
        <f>Tabela32[[#This Row],[Km Chegada]]-Tabela32[[#This Row],[Km Saída]]</f>
        <v>30</v>
      </c>
      <c r="Q329" s="4">
        <v>6</v>
      </c>
      <c r="R329" s="4">
        <v>1</v>
      </c>
      <c r="S329" s="4">
        <v>1</v>
      </c>
      <c r="T329" s="12">
        <f>Tabela32[[#This Row],[Entregas]]-Tabela32[[#This Row],[Realizadas]]</f>
        <v>0</v>
      </c>
      <c r="U329" s="18">
        <f>Tabela32[[#This Row],[Realizadas]]/Tabela32[[#This Row],[Entregas]]</f>
        <v>1</v>
      </c>
      <c r="V329" s="19" t="str">
        <f>IF(Tabela32[[#This Row],[% Entrega]]&gt;=96%,"Atendeu a Meta","Não Atendeu a Meta")</f>
        <v>Atendeu a Meta</v>
      </c>
      <c r="W329" s="4" t="s">
        <v>40</v>
      </c>
      <c r="X329" s="4">
        <v>0</v>
      </c>
      <c r="Y329" s="5">
        <v>0</v>
      </c>
    </row>
    <row r="330" spans="1:25" x14ac:dyDescent="0.25">
      <c r="A330" s="8">
        <v>46281</v>
      </c>
      <c r="B330" s="16">
        <f>YEAR(Tabela32[[#This Row],[Data]])</f>
        <v>2026</v>
      </c>
      <c r="C330" s="16">
        <f>MONTH(Tabela32[[#This Row],[Data]])</f>
        <v>9</v>
      </c>
      <c r="D330" s="4" t="s">
        <v>28</v>
      </c>
      <c r="E330" s="4">
        <v>3</v>
      </c>
      <c r="F330" s="4" t="str">
        <f>IFERROR(VLOOKUP(Tabela32[[#This Row],[Placa]],Planilha2!$A$1:$B$12,2,0),"")</f>
        <v>Edilson</v>
      </c>
      <c r="G330" s="10">
        <v>16100.79</v>
      </c>
      <c r="H330" s="10">
        <v>48925.7</v>
      </c>
      <c r="I330" s="4">
        <v>7239</v>
      </c>
      <c r="J330" s="17">
        <f>IFERROR(Tabela32[[#This Row],[Valor Frete]]/Tabela32[[#This Row],[Valor Mercadoria]],"")</f>
        <v>0.32908655369264012</v>
      </c>
      <c r="K330" s="11">
        <v>0.29166666666666669</v>
      </c>
      <c r="L330" s="15">
        <v>0.66666666666666663</v>
      </c>
      <c r="M330" s="15">
        <f>Tabela32[[#This Row],[Hr Chegada]]-Tabela32[[#This Row],[Hr Saida]]</f>
        <v>0.37499999999999994</v>
      </c>
      <c r="N330" s="4">
        <v>105668</v>
      </c>
      <c r="O330" s="4">
        <v>105705</v>
      </c>
      <c r="P330" s="4">
        <f>Tabela32[[#This Row],[Km Chegada]]-Tabela32[[#This Row],[Km Saída]]</f>
        <v>37</v>
      </c>
      <c r="Q330" s="4">
        <v>122</v>
      </c>
      <c r="R330" s="4">
        <v>3</v>
      </c>
      <c r="S330" s="4">
        <v>3</v>
      </c>
      <c r="T330" s="12">
        <f>Tabela32[[#This Row],[Entregas]]-Tabela32[[#This Row],[Realizadas]]</f>
        <v>0</v>
      </c>
      <c r="U330" s="18">
        <f>Tabela32[[#This Row],[Realizadas]]/Tabela32[[#This Row],[Entregas]]</f>
        <v>1</v>
      </c>
      <c r="V330" s="19" t="str">
        <f>IF(Tabela32[[#This Row],[% Entrega]]&gt;=96%,"Atendeu a Meta","Não Atendeu a Meta")</f>
        <v>Atendeu a Meta</v>
      </c>
      <c r="W330" s="4" t="s">
        <v>39</v>
      </c>
      <c r="X330" s="4">
        <v>0</v>
      </c>
      <c r="Y330" s="5">
        <v>0</v>
      </c>
    </row>
    <row r="331" spans="1:25" x14ac:dyDescent="0.25">
      <c r="A331" s="8">
        <v>46281</v>
      </c>
      <c r="B331" s="16">
        <f>YEAR(Tabela32[[#This Row],[Data]])</f>
        <v>2026</v>
      </c>
      <c r="C331" s="16">
        <f>MONTH(Tabela32[[#This Row],[Data]])</f>
        <v>9</v>
      </c>
      <c r="D331" s="4" t="s">
        <v>25</v>
      </c>
      <c r="E331" s="4">
        <v>5</v>
      </c>
      <c r="F331" s="4" t="str">
        <f>IFERROR(VLOOKUP(Tabela32[[#This Row],[Placa]],Planilha2!$A$1:$B$12,2,0),"")</f>
        <v>Gilberto</v>
      </c>
      <c r="G331" s="10">
        <v>5277.99</v>
      </c>
      <c r="H331" s="10">
        <v>140605.03</v>
      </c>
      <c r="I331" s="4">
        <v>853</v>
      </c>
      <c r="J331" s="17">
        <f>IFERROR(Tabela32[[#This Row],[Valor Frete]]/Tabela32[[#This Row],[Valor Mercadoria]],"")</f>
        <v>3.7537704020972791E-2</v>
      </c>
      <c r="K331" s="11">
        <v>0.29166666666666669</v>
      </c>
      <c r="L331" s="15">
        <v>0.70833333333333337</v>
      </c>
      <c r="M331" s="15">
        <f>Tabela32[[#This Row],[Hr Chegada]]-Tabela32[[#This Row],[Hr Saida]]</f>
        <v>0.41666666666666669</v>
      </c>
      <c r="N331" s="4">
        <v>119995</v>
      </c>
      <c r="O331" s="4">
        <v>120091</v>
      </c>
      <c r="P331" s="4">
        <f>Tabela32[[#This Row],[Km Chegada]]-Tabela32[[#This Row],[Km Saída]]</f>
        <v>96</v>
      </c>
      <c r="Q331" s="4">
        <v>181</v>
      </c>
      <c r="R331" s="4">
        <v>18</v>
      </c>
      <c r="S331" s="4">
        <v>18</v>
      </c>
      <c r="T331" s="12">
        <f>Tabela32[[#This Row],[Entregas]]-Tabela32[[#This Row],[Realizadas]]</f>
        <v>0</v>
      </c>
      <c r="U331" s="18">
        <f>Tabela32[[#This Row],[Realizadas]]/Tabela32[[#This Row],[Entregas]]</f>
        <v>1</v>
      </c>
      <c r="V331" s="19" t="str">
        <f>IF(Tabela32[[#This Row],[% Entrega]]&gt;=96%,"Atendeu a Meta","Não Atendeu a Meta")</f>
        <v>Atendeu a Meta</v>
      </c>
      <c r="W331" s="4" t="s">
        <v>39</v>
      </c>
      <c r="X331" s="4">
        <v>0</v>
      </c>
      <c r="Y331" s="5">
        <v>0</v>
      </c>
    </row>
    <row r="332" spans="1:25" x14ac:dyDescent="0.25">
      <c r="A332" s="8">
        <v>46281</v>
      </c>
      <c r="B332" s="16">
        <f>YEAR(Tabela32[[#This Row],[Data]])</f>
        <v>2026</v>
      </c>
      <c r="C332" s="16">
        <f>MONTH(Tabela32[[#This Row],[Data]])</f>
        <v>9</v>
      </c>
      <c r="D332" s="4" t="s">
        <v>29</v>
      </c>
      <c r="E332" s="4">
        <v>1</v>
      </c>
      <c r="F332" s="4" t="str">
        <f>IFERROR(VLOOKUP(Tabela32[[#This Row],[Placa]],Planilha2!$A$1:$B$12,2,0),"")</f>
        <v>Sandro</v>
      </c>
      <c r="G332" s="10">
        <v>2603.98</v>
      </c>
      <c r="H332" s="10">
        <v>52384.78</v>
      </c>
      <c r="I332" s="4">
        <v>199</v>
      </c>
      <c r="J332" s="17">
        <f>IFERROR(Tabela32[[#This Row],[Valor Frete]]/Tabela32[[#This Row],[Valor Mercadoria]],"")</f>
        <v>4.9708713103309779E-2</v>
      </c>
      <c r="K332" s="11">
        <v>0.3125</v>
      </c>
      <c r="L332" s="15">
        <v>0.72222222222222221</v>
      </c>
      <c r="M332" s="15">
        <f>Tabela32[[#This Row],[Hr Chegada]]-Tabela32[[#This Row],[Hr Saida]]</f>
        <v>0.40972222222222221</v>
      </c>
      <c r="N332" s="4">
        <v>275769</v>
      </c>
      <c r="O332" s="4">
        <v>275868</v>
      </c>
      <c r="P332" s="4">
        <f>Tabela32[[#This Row],[Km Chegada]]-Tabela32[[#This Row],[Km Saída]]</f>
        <v>99</v>
      </c>
      <c r="Q332" s="4">
        <v>47</v>
      </c>
      <c r="R332" s="4">
        <v>2</v>
      </c>
      <c r="S332" s="4">
        <v>2</v>
      </c>
      <c r="T332" s="12">
        <f>Tabela32[[#This Row],[Entregas]]-Tabela32[[#This Row],[Realizadas]]</f>
        <v>0</v>
      </c>
      <c r="U332" s="18">
        <f>Tabela32[[#This Row],[Realizadas]]/Tabela32[[#This Row],[Entregas]]</f>
        <v>1</v>
      </c>
      <c r="V332" s="19" t="str">
        <f>IF(Tabela32[[#This Row],[% Entrega]]&gt;=96%,"Atendeu a Meta","Não Atendeu a Meta")</f>
        <v>Atendeu a Meta</v>
      </c>
      <c r="W332" s="4" t="s">
        <v>40</v>
      </c>
      <c r="X332" s="4">
        <v>0</v>
      </c>
      <c r="Y332" s="5">
        <v>0</v>
      </c>
    </row>
    <row r="333" spans="1:25" x14ac:dyDescent="0.25">
      <c r="A333" s="8">
        <v>46282</v>
      </c>
      <c r="B333" s="16">
        <f>YEAR(Tabela32[[#This Row],[Data]])</f>
        <v>2026</v>
      </c>
      <c r="C333" s="16">
        <f>MONTH(Tabela32[[#This Row],[Data]])</f>
        <v>9</v>
      </c>
      <c r="D333" s="4" t="s">
        <v>23</v>
      </c>
      <c r="E333" s="4">
        <v>1</v>
      </c>
      <c r="F333" s="4" t="str">
        <f>IFERROR(VLOOKUP(Tabela32[[#This Row],[Placa]],Planilha2!$A$1:$B$12,2,0),"")</f>
        <v>William</v>
      </c>
      <c r="G333" s="10">
        <v>5521.26</v>
      </c>
      <c r="H333" s="10">
        <v>129596.87</v>
      </c>
      <c r="I333" s="4">
        <v>1034</v>
      </c>
      <c r="J333" s="17">
        <f>IFERROR(Tabela32[[#This Row],[Valor Frete]]/Tabela32[[#This Row],[Valor Mercadoria]],"")</f>
        <v>4.2603343738162817E-2</v>
      </c>
      <c r="K333" s="11">
        <v>0.29166666666666669</v>
      </c>
      <c r="L333" s="15">
        <v>0.67708333333333337</v>
      </c>
      <c r="M333" s="15">
        <f>Tabela32[[#This Row],[Hr Chegada]]-Tabela32[[#This Row],[Hr Saida]]</f>
        <v>0.38541666666666669</v>
      </c>
      <c r="N333" s="4">
        <v>125456</v>
      </c>
      <c r="O333" s="4">
        <v>125509</v>
      </c>
      <c r="P333" s="4">
        <f>Tabela32[[#This Row],[Km Chegada]]-Tabela32[[#This Row],[Km Saída]]</f>
        <v>53</v>
      </c>
      <c r="Q333" s="4">
        <v>343</v>
      </c>
      <c r="R333" s="4">
        <v>6</v>
      </c>
      <c r="S333" s="4">
        <v>6</v>
      </c>
      <c r="T333" s="12">
        <f>Tabela32[[#This Row],[Entregas]]-Tabela32[[#This Row],[Realizadas]]</f>
        <v>0</v>
      </c>
      <c r="U333" s="18">
        <f>Tabela32[[#This Row],[Realizadas]]/Tabela32[[#This Row],[Entregas]]</f>
        <v>1</v>
      </c>
      <c r="V333" s="19" t="str">
        <f>IF(Tabela32[[#This Row],[% Entrega]]&gt;=96%,"Atendeu a Meta","Não Atendeu a Meta")</f>
        <v>Atendeu a Meta</v>
      </c>
      <c r="W333" s="4" t="s">
        <v>40</v>
      </c>
      <c r="X333" s="4">
        <v>0</v>
      </c>
      <c r="Y333" s="5">
        <v>0</v>
      </c>
    </row>
    <row r="334" spans="1:25" x14ac:dyDescent="0.25">
      <c r="A334" s="8">
        <v>46282</v>
      </c>
      <c r="B334" s="16">
        <f>YEAR(Tabela32[[#This Row],[Data]])</f>
        <v>2026</v>
      </c>
      <c r="C334" s="16">
        <f>MONTH(Tabela32[[#This Row],[Data]])</f>
        <v>9</v>
      </c>
      <c r="D334" s="4" t="s">
        <v>22</v>
      </c>
      <c r="E334" s="4">
        <v>11</v>
      </c>
      <c r="F334" s="4" t="str">
        <f>IFERROR(VLOOKUP(Tabela32[[#This Row],[Placa]],Planilha2!$A$1:$B$12,2,0),"")</f>
        <v>Wesley</v>
      </c>
      <c r="G334" s="10">
        <v>12275.41</v>
      </c>
      <c r="H334" s="10">
        <v>140685.51</v>
      </c>
      <c r="I334" s="4">
        <v>1206</v>
      </c>
      <c r="J334" s="17">
        <f>IFERROR(Tabela32[[#This Row],[Valor Frete]]/Tabela32[[#This Row],[Valor Mercadoria]],"")</f>
        <v>8.725425951826879E-2</v>
      </c>
      <c r="K334" s="11">
        <v>0.27083333333333331</v>
      </c>
      <c r="L334" s="15">
        <v>0.77083333333333337</v>
      </c>
      <c r="M334" s="15">
        <f>Tabela32[[#This Row],[Hr Chegada]]-Tabela32[[#This Row],[Hr Saida]]</f>
        <v>0.5</v>
      </c>
      <c r="N334" s="4">
        <v>304927</v>
      </c>
      <c r="O334" s="4">
        <v>305081</v>
      </c>
      <c r="P334" s="4">
        <f>Tabela32[[#This Row],[Km Chegada]]-Tabela32[[#This Row],[Km Saída]]</f>
        <v>154</v>
      </c>
      <c r="Q334" s="4">
        <v>296</v>
      </c>
      <c r="R334" s="4">
        <v>34</v>
      </c>
      <c r="S334" s="4">
        <v>34</v>
      </c>
      <c r="T334" s="12">
        <f>Tabela32[[#This Row],[Entregas]]-Tabela32[[#This Row],[Realizadas]]</f>
        <v>0</v>
      </c>
      <c r="U334" s="18">
        <f>Tabela32[[#This Row],[Realizadas]]/Tabela32[[#This Row],[Entregas]]</f>
        <v>1</v>
      </c>
      <c r="V334" s="19" t="str">
        <f>IF(Tabela32[[#This Row],[% Entrega]]&gt;=96%,"Atendeu a Meta","Não Atendeu a Meta")</f>
        <v>Atendeu a Meta</v>
      </c>
      <c r="W334" s="4" t="s">
        <v>41</v>
      </c>
      <c r="X334" s="4">
        <v>0</v>
      </c>
      <c r="Y334" s="5">
        <v>0</v>
      </c>
    </row>
    <row r="335" spans="1:25" x14ac:dyDescent="0.25">
      <c r="A335" s="8">
        <v>46282</v>
      </c>
      <c r="B335" s="16">
        <f>YEAR(Tabela32[[#This Row],[Data]])</f>
        <v>2026</v>
      </c>
      <c r="C335" s="16">
        <f>MONTH(Tabela32[[#This Row],[Data]])</f>
        <v>9</v>
      </c>
      <c r="D335" s="4" t="s">
        <v>25</v>
      </c>
      <c r="E335" s="4">
        <v>5</v>
      </c>
      <c r="F335" s="4" t="str">
        <f>IFERROR(VLOOKUP(Tabela32[[#This Row],[Placa]],Planilha2!$A$1:$B$12,2,0),"")</f>
        <v>Gilberto</v>
      </c>
      <c r="G335" s="10">
        <v>8076.38</v>
      </c>
      <c r="H335" s="10">
        <v>293775.09999999998</v>
      </c>
      <c r="I335" s="4">
        <v>2323</v>
      </c>
      <c r="J335" s="17">
        <f>IFERROR(Tabela32[[#This Row],[Valor Frete]]/Tabela32[[#This Row],[Valor Mercadoria]],"")</f>
        <v>2.7491710495545746E-2</v>
      </c>
      <c r="K335" s="11">
        <v>0.29166666666666669</v>
      </c>
      <c r="L335" s="15">
        <v>0.67013888888888884</v>
      </c>
      <c r="M335" s="15">
        <f>Tabela32[[#This Row],[Hr Chegada]]-Tabela32[[#This Row],[Hr Saida]]</f>
        <v>0.37847222222222215</v>
      </c>
      <c r="N335" s="4">
        <v>120091</v>
      </c>
      <c r="O335" s="4">
        <v>120139</v>
      </c>
      <c r="P335" s="4">
        <f>Tabela32[[#This Row],[Km Chegada]]-Tabela32[[#This Row],[Km Saída]]</f>
        <v>48</v>
      </c>
      <c r="Q335" s="4">
        <v>349</v>
      </c>
      <c r="R335" s="4">
        <v>3</v>
      </c>
      <c r="S335" s="4">
        <v>3</v>
      </c>
      <c r="T335" s="12">
        <f>Tabela32[[#This Row],[Entregas]]-Tabela32[[#This Row],[Realizadas]]</f>
        <v>0</v>
      </c>
      <c r="U335" s="18">
        <f>Tabela32[[#This Row],[Realizadas]]/Tabela32[[#This Row],[Entregas]]</f>
        <v>1</v>
      </c>
      <c r="V335" s="19" t="str">
        <f>IF(Tabela32[[#This Row],[% Entrega]]&gt;=96%,"Atendeu a Meta","Não Atendeu a Meta")</f>
        <v>Atendeu a Meta</v>
      </c>
      <c r="W335" s="4" t="s">
        <v>39</v>
      </c>
      <c r="X335" s="4">
        <v>0</v>
      </c>
      <c r="Y335" s="5">
        <v>0</v>
      </c>
    </row>
    <row r="336" spans="1:25" x14ac:dyDescent="0.25">
      <c r="A336" s="8">
        <v>46282</v>
      </c>
      <c r="B336" s="16">
        <f>YEAR(Tabela32[[#This Row],[Data]])</f>
        <v>2026</v>
      </c>
      <c r="C336" s="16">
        <f>MONTH(Tabela32[[#This Row],[Data]])</f>
        <v>9</v>
      </c>
      <c r="D336" s="4" t="s">
        <v>37</v>
      </c>
      <c r="E336" s="4">
        <v>1</v>
      </c>
      <c r="F336" s="4" t="str">
        <f>IFERROR(VLOOKUP(Tabela32[[#This Row],[Placa]],Planilha2!$A$1:$B$12,2,0),"")</f>
        <v>Manoel</v>
      </c>
      <c r="G336" s="10">
        <v>358.18</v>
      </c>
      <c r="H336" s="10">
        <v>2455.2399999999998</v>
      </c>
      <c r="I336" s="4">
        <v>25</v>
      </c>
      <c r="J336" s="17">
        <f>IFERROR(Tabela32[[#This Row],[Valor Frete]]/Tabela32[[#This Row],[Valor Mercadoria]],"")</f>
        <v>0.14588390544305244</v>
      </c>
      <c r="K336" s="11">
        <v>0.375</v>
      </c>
      <c r="L336" s="15">
        <v>0.5</v>
      </c>
      <c r="M336" s="15">
        <f>Tabela32[[#This Row],[Hr Chegada]]-Tabela32[[#This Row],[Hr Saida]]</f>
        <v>0.125</v>
      </c>
      <c r="N336" s="4">
        <v>12285</v>
      </c>
      <c r="O336" s="4">
        <v>12305</v>
      </c>
      <c r="P336" s="4">
        <f>Tabela32[[#This Row],[Km Chegada]]-Tabela32[[#This Row],[Km Saída]]</f>
        <v>20</v>
      </c>
      <c r="Q336" s="4">
        <v>1</v>
      </c>
      <c r="R336" s="4">
        <v>1</v>
      </c>
      <c r="S336" s="4">
        <v>1</v>
      </c>
      <c r="T336" s="12">
        <f>Tabela32[[#This Row],[Entregas]]-Tabela32[[#This Row],[Realizadas]]</f>
        <v>0</v>
      </c>
      <c r="U336" s="18">
        <f>Tabela32[[#This Row],[Realizadas]]/Tabela32[[#This Row],[Entregas]]</f>
        <v>1</v>
      </c>
      <c r="V336" s="19" t="str">
        <f>IF(Tabela32[[#This Row],[% Entrega]]&gt;=96%,"Atendeu a Meta","Não Atendeu a Meta")</f>
        <v>Atendeu a Meta</v>
      </c>
      <c r="W336" s="4" t="s">
        <v>43</v>
      </c>
      <c r="X336" s="4">
        <v>0</v>
      </c>
      <c r="Y336" s="5">
        <v>0</v>
      </c>
    </row>
    <row r="337" spans="1:25" x14ac:dyDescent="0.25">
      <c r="A337" s="8">
        <v>46282</v>
      </c>
      <c r="B337" s="16">
        <f>YEAR(Tabela32[[#This Row],[Data]])</f>
        <v>2026</v>
      </c>
      <c r="C337" s="16">
        <f>MONTH(Tabela32[[#This Row],[Data]])</f>
        <v>9</v>
      </c>
      <c r="D337" s="4" t="s">
        <v>35</v>
      </c>
      <c r="E337" s="4">
        <v>3</v>
      </c>
      <c r="F337" s="4" t="str">
        <f>IFERROR(VLOOKUP(Tabela32[[#This Row],[Placa]],Planilha2!$A$1:$B$12,2,0),"")</f>
        <v>Osvaldo</v>
      </c>
      <c r="G337" s="10">
        <v>8813.31</v>
      </c>
      <c r="H337" s="10">
        <v>242834.71</v>
      </c>
      <c r="I337" s="4">
        <v>32</v>
      </c>
      <c r="J337" s="17">
        <f>IFERROR(Tabela32[[#This Row],[Valor Frete]]/Tabela32[[#This Row],[Valor Mercadoria]],"")</f>
        <v>3.6293452447551666E-2</v>
      </c>
      <c r="K337" s="11">
        <v>0.30555555555555558</v>
      </c>
      <c r="L337" s="15">
        <v>0.72638888888888886</v>
      </c>
      <c r="M337" s="15">
        <f>Tabela32[[#This Row],[Hr Chegada]]-Tabela32[[#This Row],[Hr Saida]]</f>
        <v>0.42083333333333328</v>
      </c>
      <c r="N337" s="4">
        <v>143337</v>
      </c>
      <c r="O337" s="4">
        <v>143392</v>
      </c>
      <c r="P337" s="4">
        <f>Tabela32[[#This Row],[Km Chegada]]-Tabela32[[#This Row],[Km Saída]]</f>
        <v>55</v>
      </c>
      <c r="Q337" s="4">
        <v>233</v>
      </c>
      <c r="R337" s="4">
        <v>32</v>
      </c>
      <c r="S337" s="4">
        <v>31</v>
      </c>
      <c r="T337" s="12">
        <f>Tabela32[[#This Row],[Entregas]]-Tabela32[[#This Row],[Realizadas]]</f>
        <v>1</v>
      </c>
      <c r="U337" s="18">
        <f>Tabela32[[#This Row],[Realizadas]]/Tabela32[[#This Row],[Entregas]]</f>
        <v>0.96875</v>
      </c>
      <c r="V337" s="19" t="str">
        <f>IF(Tabela32[[#This Row],[% Entrega]]&gt;=96%,"Atendeu a Meta","Não Atendeu a Meta")</f>
        <v>Atendeu a Meta</v>
      </c>
      <c r="W337" s="4" t="s">
        <v>39</v>
      </c>
      <c r="X337" s="4">
        <v>1</v>
      </c>
      <c r="Y337" s="5">
        <v>13</v>
      </c>
    </row>
    <row r="338" spans="1:25" x14ac:dyDescent="0.25">
      <c r="A338" s="8">
        <v>46282</v>
      </c>
      <c r="B338" s="16">
        <f>YEAR(Tabela32[[#This Row],[Data]])</f>
        <v>2026</v>
      </c>
      <c r="C338" s="16">
        <f>MONTH(Tabela32[[#This Row],[Data]])</f>
        <v>9</v>
      </c>
      <c r="D338" s="4" t="s">
        <v>28</v>
      </c>
      <c r="E338" s="4">
        <v>5</v>
      </c>
      <c r="F338" s="4" t="str">
        <f>IFERROR(VLOOKUP(Tabela32[[#This Row],[Placa]],Planilha2!$A$1:$B$12,2,0),"")</f>
        <v>Edilson</v>
      </c>
      <c r="G338" s="10">
        <v>16075.23</v>
      </c>
      <c r="H338" s="10">
        <v>107067.52</v>
      </c>
      <c r="I338" s="4">
        <v>7073</v>
      </c>
      <c r="J338" s="17">
        <f>IFERROR(Tabela32[[#This Row],[Valor Frete]]/Tabela32[[#This Row],[Valor Mercadoria]],"")</f>
        <v>0.15014105117966681</v>
      </c>
      <c r="K338" s="11">
        <v>0.27083333333333331</v>
      </c>
      <c r="L338" s="15">
        <v>0.66180555555555554</v>
      </c>
      <c r="M338" s="15">
        <f>Tabela32[[#This Row],[Hr Chegada]]-Tabela32[[#This Row],[Hr Saida]]</f>
        <v>0.39097222222222222</v>
      </c>
      <c r="N338" s="4">
        <v>105705</v>
      </c>
      <c r="O338" s="4">
        <v>105750</v>
      </c>
      <c r="P338" s="4">
        <f>Tabela32[[#This Row],[Km Chegada]]-Tabela32[[#This Row],[Km Saída]]</f>
        <v>45</v>
      </c>
      <c r="Q338" s="4">
        <v>543</v>
      </c>
      <c r="R338" s="4">
        <v>3</v>
      </c>
      <c r="S338" s="4">
        <v>3</v>
      </c>
      <c r="T338" s="12">
        <f>Tabela32[[#This Row],[Entregas]]-Tabela32[[#This Row],[Realizadas]]</f>
        <v>0</v>
      </c>
      <c r="U338" s="18">
        <f>Tabela32[[#This Row],[Realizadas]]/Tabela32[[#This Row],[Entregas]]</f>
        <v>1</v>
      </c>
      <c r="V338" s="19" t="str">
        <f>IF(Tabela32[[#This Row],[% Entrega]]&gt;=96%,"Atendeu a Meta","Não Atendeu a Meta")</f>
        <v>Atendeu a Meta</v>
      </c>
      <c r="W338" s="4" t="s">
        <v>39</v>
      </c>
      <c r="X338" s="4">
        <v>0</v>
      </c>
      <c r="Y338" s="5">
        <v>38</v>
      </c>
    </row>
    <row r="339" spans="1:25" x14ac:dyDescent="0.25">
      <c r="A339" s="8">
        <v>46282</v>
      </c>
      <c r="B339" s="16">
        <f>YEAR(Tabela32[[#This Row],[Data]])</f>
        <v>2026</v>
      </c>
      <c r="C339" s="16">
        <f>MONTH(Tabela32[[#This Row],[Data]])</f>
        <v>9</v>
      </c>
      <c r="D339" s="4" t="s">
        <v>53</v>
      </c>
      <c r="E339" s="4">
        <v>2</v>
      </c>
      <c r="F339" s="4" t="str">
        <f>IFERROR(VLOOKUP(Tabela32[[#This Row],[Placa]],Planilha2!$A$1:$B$12,2,0),"")</f>
        <v>Arnaldo</v>
      </c>
      <c r="G339" s="10">
        <v>10916.48</v>
      </c>
      <c r="H339" s="10">
        <v>227108.77</v>
      </c>
      <c r="I339" s="4">
        <v>1530</v>
      </c>
      <c r="J339" s="17">
        <f>IFERROR(Tabela32[[#This Row],[Valor Frete]]/Tabela32[[#This Row],[Valor Mercadoria]],"")</f>
        <v>4.8067188246407218E-2</v>
      </c>
      <c r="K339" s="11">
        <v>0.28125</v>
      </c>
      <c r="L339" s="15">
        <v>0.83680555555555558</v>
      </c>
      <c r="M339" s="15">
        <f>Tabela32[[#This Row],[Hr Chegada]]-Tabela32[[#This Row],[Hr Saida]]</f>
        <v>0.55555555555555558</v>
      </c>
      <c r="N339" s="4">
        <v>13778</v>
      </c>
      <c r="O339" s="4">
        <v>13855</v>
      </c>
      <c r="P339" s="4">
        <f>Tabela32[[#This Row],[Km Chegada]]-Tabela32[[#This Row],[Km Saída]]</f>
        <v>77</v>
      </c>
      <c r="Q339" s="4">
        <v>254</v>
      </c>
      <c r="R339" s="4">
        <v>40</v>
      </c>
      <c r="S339" s="4">
        <v>40</v>
      </c>
      <c r="T339" s="12">
        <f>Tabela32[[#This Row],[Entregas]]-Tabela32[[#This Row],[Realizadas]]</f>
        <v>0</v>
      </c>
      <c r="U339" s="18">
        <f>Tabela32[[#This Row],[Realizadas]]/Tabela32[[#This Row],[Entregas]]</f>
        <v>1</v>
      </c>
      <c r="V339" s="19" t="str">
        <f>IF(Tabela32[[#This Row],[% Entrega]]&gt;=96%,"Atendeu a Meta","Não Atendeu a Meta")</f>
        <v>Atendeu a Meta</v>
      </c>
      <c r="W339" s="4" t="s">
        <v>39</v>
      </c>
      <c r="X339" s="4">
        <v>0</v>
      </c>
      <c r="Y339" s="5" t="s">
        <v>82</v>
      </c>
    </row>
    <row r="340" spans="1:25" x14ac:dyDescent="0.25">
      <c r="A340" s="8">
        <v>46282</v>
      </c>
      <c r="B340" s="16">
        <f>YEAR(Tabela32[[#This Row],[Data]])</f>
        <v>2026</v>
      </c>
      <c r="C340" s="16">
        <f>MONTH(Tabela32[[#This Row],[Data]])</f>
        <v>9</v>
      </c>
      <c r="D340" s="4" t="s">
        <v>31</v>
      </c>
      <c r="E340" s="4">
        <v>1</v>
      </c>
      <c r="F340" s="4" t="str">
        <f>IFERROR(VLOOKUP(Tabela32[[#This Row],[Placa]],Planilha2!$A$1:$B$12,2,0),"")</f>
        <v>Jerson</v>
      </c>
      <c r="G340" s="10">
        <v>1935.41</v>
      </c>
      <c r="H340" s="10">
        <v>95702.02</v>
      </c>
      <c r="I340" s="4">
        <v>207</v>
      </c>
      <c r="J340" s="17">
        <f>IFERROR(Tabela32[[#This Row],[Valor Frete]]/Tabela32[[#This Row],[Valor Mercadoria]],"")</f>
        <v>2.0223293092455102E-2</v>
      </c>
      <c r="K340" s="11">
        <v>0.2986111111111111</v>
      </c>
      <c r="L340" s="15">
        <v>0.62986111111111109</v>
      </c>
      <c r="M340" s="15">
        <f>Tabela32[[#This Row],[Hr Chegada]]-Tabela32[[#This Row],[Hr Saida]]</f>
        <v>0.33124999999999999</v>
      </c>
      <c r="N340" s="4">
        <v>280628</v>
      </c>
      <c r="O340" s="4">
        <v>280667</v>
      </c>
      <c r="P340" s="4">
        <f>Tabela32[[#This Row],[Km Chegada]]-Tabela32[[#This Row],[Km Saída]]</f>
        <v>39</v>
      </c>
      <c r="Q340" s="4">
        <v>1</v>
      </c>
      <c r="R340" s="4">
        <v>1</v>
      </c>
      <c r="S340" s="4">
        <v>1</v>
      </c>
      <c r="T340" s="12">
        <f>Tabela32[[#This Row],[Entregas]]-Tabela32[[#This Row],[Realizadas]]</f>
        <v>0</v>
      </c>
      <c r="U340" s="18">
        <f>Tabela32[[#This Row],[Realizadas]]/Tabela32[[#This Row],[Entregas]]</f>
        <v>1</v>
      </c>
      <c r="V340" s="19" t="str">
        <f>IF(Tabela32[[#This Row],[% Entrega]]&gt;=96%,"Atendeu a Meta","Não Atendeu a Meta")</f>
        <v>Atendeu a Meta</v>
      </c>
      <c r="W340" s="4" t="s">
        <v>40</v>
      </c>
      <c r="X340" s="4">
        <v>0</v>
      </c>
      <c r="Y340" s="5">
        <v>0</v>
      </c>
    </row>
    <row r="341" spans="1:25" x14ac:dyDescent="0.25">
      <c r="A341" s="8">
        <v>46282</v>
      </c>
      <c r="B341" s="16">
        <f>YEAR(Tabela32[[#This Row],[Data]])</f>
        <v>2026</v>
      </c>
      <c r="C341" s="16">
        <f>MONTH(Tabela32[[#This Row],[Data]])</f>
        <v>9</v>
      </c>
      <c r="D341" s="4" t="s">
        <v>29</v>
      </c>
      <c r="E341" s="4">
        <v>1</v>
      </c>
      <c r="F341" s="4" t="str">
        <f>IFERROR(VLOOKUP(Tabela32[[#This Row],[Placa]],Planilha2!$A$1:$B$12,2,0),"")</f>
        <v>Sandro</v>
      </c>
      <c r="G341" s="10">
        <v>2190.85</v>
      </c>
      <c r="H341" s="10">
        <v>64848.55</v>
      </c>
      <c r="I341" s="4">
        <v>423</v>
      </c>
      <c r="J341" s="17">
        <f>IFERROR(Tabela32[[#This Row],[Valor Frete]]/Tabela32[[#This Row],[Valor Mercadoria]],"")</f>
        <v>3.3784101572047483E-2</v>
      </c>
      <c r="K341" s="11">
        <v>0.29166666666666669</v>
      </c>
      <c r="L341" s="15">
        <v>0.72222222222222221</v>
      </c>
      <c r="M341" s="15">
        <f>Tabela32[[#This Row],[Hr Chegada]]-Tabela32[[#This Row],[Hr Saida]]</f>
        <v>0.43055555555555552</v>
      </c>
      <c r="N341" s="4">
        <v>275868</v>
      </c>
      <c r="O341" s="4">
        <v>275910</v>
      </c>
      <c r="P341" s="4">
        <f>Tabela32[[#This Row],[Km Chegada]]-Tabela32[[#This Row],[Km Saída]]</f>
        <v>42</v>
      </c>
      <c r="Q341" s="4">
        <v>54</v>
      </c>
      <c r="R341" s="4">
        <v>1</v>
      </c>
      <c r="S341" s="4">
        <v>1</v>
      </c>
      <c r="T341" s="12">
        <f>Tabela32[[#This Row],[Entregas]]-Tabela32[[#This Row],[Realizadas]]</f>
        <v>0</v>
      </c>
      <c r="U341" s="18">
        <f>Tabela32[[#This Row],[Realizadas]]/Tabela32[[#This Row],[Entregas]]</f>
        <v>1</v>
      </c>
      <c r="V341" s="19" t="str">
        <f>IF(Tabela32[[#This Row],[% Entrega]]&gt;=96%,"Atendeu a Meta","Não Atendeu a Meta")</f>
        <v>Atendeu a Meta</v>
      </c>
      <c r="W341" s="4" t="s">
        <v>40</v>
      </c>
      <c r="X341" s="4">
        <v>0</v>
      </c>
      <c r="Y341" s="5">
        <v>0</v>
      </c>
    </row>
    <row r="342" spans="1:25" x14ac:dyDescent="0.25">
      <c r="A342" s="8">
        <v>46282</v>
      </c>
      <c r="B342" s="16">
        <f>YEAR(Tabela32[[#This Row],[Data]])</f>
        <v>2026</v>
      </c>
      <c r="C342" s="16">
        <f>MONTH(Tabela32[[#This Row],[Data]])</f>
        <v>9</v>
      </c>
      <c r="D342" s="4" t="s">
        <v>36</v>
      </c>
      <c r="E342" s="4">
        <v>1</v>
      </c>
      <c r="F342" s="4" t="str">
        <f>IFERROR(VLOOKUP(Tabela32[[#This Row],[Placa]],Planilha2!$A$1:$B$12,2,0),"")</f>
        <v>Heremilton</v>
      </c>
      <c r="G342" s="10">
        <v>11172.61</v>
      </c>
      <c r="H342" s="10">
        <v>867848.53</v>
      </c>
      <c r="I342" s="4">
        <v>1787</v>
      </c>
      <c r="J342" s="17">
        <f>IFERROR(Tabela32[[#This Row],[Valor Frete]]/Tabela32[[#This Row],[Valor Mercadoria]],"")</f>
        <v>1.2873917064767051E-2</v>
      </c>
      <c r="K342" s="11">
        <v>0.27083333333333331</v>
      </c>
      <c r="L342" s="15">
        <v>0.75347222222222221</v>
      </c>
      <c r="M342" s="15">
        <f>Tabela32[[#This Row],[Hr Chegada]]-Tabela32[[#This Row],[Hr Saida]]</f>
        <v>0.4826388888888889</v>
      </c>
      <c r="N342" s="4">
        <v>366023</v>
      </c>
      <c r="O342" s="4">
        <v>366117</v>
      </c>
      <c r="P342" s="4">
        <f>Tabela32[[#This Row],[Km Chegada]]-Tabela32[[#This Row],[Km Saída]]</f>
        <v>94</v>
      </c>
      <c r="Q342" s="4">
        <v>861</v>
      </c>
      <c r="R342" s="4">
        <v>7</v>
      </c>
      <c r="S342" s="4">
        <v>7</v>
      </c>
      <c r="T342" s="12">
        <f>Tabela32[[#This Row],[Entregas]]-Tabela32[[#This Row],[Realizadas]]</f>
        <v>0</v>
      </c>
      <c r="U342" s="18">
        <f>Tabela32[[#This Row],[Realizadas]]/Tabela32[[#This Row],[Entregas]]</f>
        <v>1</v>
      </c>
      <c r="V342" s="19" t="str">
        <f>IF(Tabela32[[#This Row],[% Entrega]]&gt;=96%,"Atendeu a Meta","Não Atendeu a Meta")</f>
        <v>Atendeu a Meta</v>
      </c>
      <c r="W342" s="4" t="s">
        <v>40</v>
      </c>
      <c r="X342" s="4">
        <v>0</v>
      </c>
      <c r="Y342" s="5">
        <v>0</v>
      </c>
    </row>
    <row r="343" spans="1:25" x14ac:dyDescent="0.25">
      <c r="A343" s="8">
        <v>46282</v>
      </c>
      <c r="B343" s="16">
        <f>YEAR(Tabela32[[#This Row],[Data]])</f>
        <v>2026</v>
      </c>
      <c r="C343" s="16">
        <f>MONTH(Tabela32[[#This Row],[Data]])</f>
        <v>9</v>
      </c>
      <c r="D343" s="4" t="s">
        <v>33</v>
      </c>
      <c r="E343" s="4">
        <v>5</v>
      </c>
      <c r="F343" s="4" t="str">
        <f>IFERROR(VLOOKUP(Tabela32[[#This Row],[Placa]],Planilha2!$A$1:$B$12,2,0),"")</f>
        <v>Paulo</v>
      </c>
      <c r="G343" s="10">
        <v>2661.82</v>
      </c>
      <c r="H343" s="10">
        <v>203325.31</v>
      </c>
      <c r="I343" s="4">
        <v>450</v>
      </c>
      <c r="J343" s="17">
        <f>IFERROR(Tabela32[[#This Row],[Valor Frete]]/Tabela32[[#This Row],[Valor Mercadoria]],"")</f>
        <v>1.3091434607919695E-2</v>
      </c>
      <c r="K343" s="11">
        <v>0.29166666666666669</v>
      </c>
      <c r="L343" s="15">
        <v>0.74583333333333335</v>
      </c>
      <c r="M343" s="15">
        <f>Tabela32[[#This Row],[Hr Chegada]]-Tabela32[[#This Row],[Hr Saida]]</f>
        <v>0.45416666666666666</v>
      </c>
      <c r="N343" s="4">
        <v>155638</v>
      </c>
      <c r="O343" s="4">
        <v>155669</v>
      </c>
      <c r="P343" s="4">
        <f>Tabela32[[#This Row],[Km Chegada]]-Tabela32[[#This Row],[Km Saída]]</f>
        <v>31</v>
      </c>
      <c r="Q343" s="4">
        <v>269</v>
      </c>
      <c r="R343" s="4">
        <v>3</v>
      </c>
      <c r="S343" s="4">
        <v>3</v>
      </c>
      <c r="T343" s="12">
        <f>Tabela32[[#This Row],[Entregas]]-Tabela32[[#This Row],[Realizadas]]</f>
        <v>0</v>
      </c>
      <c r="U343" s="18">
        <f>Tabela32[[#This Row],[Realizadas]]/Tabela32[[#This Row],[Entregas]]</f>
        <v>1</v>
      </c>
      <c r="V343" s="19" t="str">
        <f>IF(Tabela32[[#This Row],[% Entrega]]&gt;=96%,"Atendeu a Meta","Não Atendeu a Meta")</f>
        <v>Atendeu a Meta</v>
      </c>
      <c r="W343" s="4" t="s">
        <v>39</v>
      </c>
      <c r="X343" s="4">
        <v>0</v>
      </c>
      <c r="Y343" s="5">
        <v>0</v>
      </c>
    </row>
    <row r="344" spans="1:25" x14ac:dyDescent="0.25">
      <c r="A344" s="8">
        <v>46283</v>
      </c>
      <c r="B344" s="16">
        <f>YEAR(Tabela32[[#This Row],[Data]])</f>
        <v>2026</v>
      </c>
      <c r="C344" s="16">
        <f>MONTH(Tabela32[[#This Row],[Data]])</f>
        <v>9</v>
      </c>
      <c r="D344" s="4" t="s">
        <v>37</v>
      </c>
      <c r="E344" s="4">
        <v>4</v>
      </c>
      <c r="F344" s="4" t="str">
        <f>IFERROR(VLOOKUP(Tabela32[[#This Row],[Placa]],Planilha2!$A$1:$B$12,2,0),"")</f>
        <v>Manoel</v>
      </c>
      <c r="G344" s="10">
        <v>127.39</v>
      </c>
      <c r="H344" s="10">
        <v>3141.84</v>
      </c>
      <c r="I344" s="4">
        <v>95</v>
      </c>
      <c r="J344" s="17">
        <f>IFERROR(Tabela32[[#This Row],[Valor Frete]]/Tabela32[[#This Row],[Valor Mercadoria]],"")</f>
        <v>4.0546304076592057E-2</v>
      </c>
      <c r="K344" s="11">
        <v>0.58333333333333337</v>
      </c>
      <c r="L344" s="15">
        <v>0.75</v>
      </c>
      <c r="M344" s="15">
        <f>Tabela32[[#This Row],[Hr Chegada]]-Tabela32[[#This Row],[Hr Saida]]</f>
        <v>0.16666666666666663</v>
      </c>
      <c r="N344" s="4">
        <v>12334</v>
      </c>
      <c r="O344" s="4">
        <v>12372</v>
      </c>
      <c r="P344" s="4">
        <f>Tabela32[[#This Row],[Km Chegada]]-Tabela32[[#This Row],[Km Saída]]</f>
        <v>38</v>
      </c>
      <c r="Q344" s="4">
        <v>23</v>
      </c>
      <c r="R344" s="4">
        <v>1</v>
      </c>
      <c r="S344" s="4">
        <v>1</v>
      </c>
      <c r="T344" s="12">
        <f>Tabela32[[#This Row],[Entregas]]-Tabela32[[#This Row],[Realizadas]]</f>
        <v>0</v>
      </c>
      <c r="U344" s="18">
        <f>Tabela32[[#This Row],[Realizadas]]/Tabela32[[#This Row],[Entregas]]</f>
        <v>1</v>
      </c>
      <c r="V344" s="19" t="str">
        <f>IF(Tabela32[[#This Row],[% Entrega]]&gt;=96%,"Atendeu a Meta","Não Atendeu a Meta")</f>
        <v>Atendeu a Meta</v>
      </c>
      <c r="W344" s="4" t="s">
        <v>39</v>
      </c>
      <c r="X344" s="4">
        <v>0</v>
      </c>
      <c r="Y344" s="5">
        <v>18</v>
      </c>
    </row>
    <row r="345" spans="1:25" x14ac:dyDescent="0.25">
      <c r="A345" s="8">
        <v>46283</v>
      </c>
      <c r="B345" s="16">
        <f>YEAR(Tabela32[[#This Row],[Data]])</f>
        <v>2026</v>
      </c>
      <c r="C345" s="16">
        <f>MONTH(Tabela32[[#This Row],[Data]])</f>
        <v>9</v>
      </c>
      <c r="D345" s="4" t="s">
        <v>33</v>
      </c>
      <c r="E345" s="4">
        <v>1</v>
      </c>
      <c r="F345" s="4" t="str">
        <f>IFERROR(VLOOKUP(Tabela32[[#This Row],[Placa]],Planilha2!$A$1:$B$12,2,0),"")</f>
        <v>Paulo</v>
      </c>
      <c r="G345" s="10">
        <v>1727.4</v>
      </c>
      <c r="H345" s="10">
        <v>8066.11</v>
      </c>
      <c r="I345" s="4">
        <v>99</v>
      </c>
      <c r="J345" s="17">
        <f>IFERROR(Tabela32[[#This Row],[Valor Frete]]/Tabela32[[#This Row],[Valor Mercadoria]],"")</f>
        <v>0.21415527435157716</v>
      </c>
      <c r="K345" s="11">
        <v>0.29166666666666669</v>
      </c>
      <c r="L345" s="15">
        <v>0.63541666666666663</v>
      </c>
      <c r="M345" s="15">
        <f>Tabela32[[#This Row],[Hr Chegada]]-Tabela32[[#This Row],[Hr Saida]]</f>
        <v>0.34374999999999994</v>
      </c>
      <c r="N345" s="4">
        <v>155669</v>
      </c>
      <c r="O345" s="4">
        <v>155756</v>
      </c>
      <c r="P345" s="4">
        <f>Tabela32[[#This Row],[Km Chegada]]-Tabela32[[#This Row],[Km Saída]]</f>
        <v>87</v>
      </c>
      <c r="Q345" s="4">
        <v>94</v>
      </c>
      <c r="R345" s="4">
        <v>1</v>
      </c>
      <c r="S345" s="4">
        <v>1</v>
      </c>
      <c r="T345" s="12">
        <f>Tabela32[[#This Row],[Entregas]]-Tabela32[[#This Row],[Realizadas]]</f>
        <v>0</v>
      </c>
      <c r="U345" s="18">
        <f>Tabela32[[#This Row],[Realizadas]]/Tabela32[[#This Row],[Entregas]]</f>
        <v>1</v>
      </c>
      <c r="V345" s="19" t="str">
        <f>IF(Tabela32[[#This Row],[% Entrega]]&gt;=96%,"Atendeu a Meta","Não Atendeu a Meta")</f>
        <v>Atendeu a Meta</v>
      </c>
      <c r="W345" s="4" t="s">
        <v>64</v>
      </c>
      <c r="X345" s="4">
        <v>0</v>
      </c>
      <c r="Y345" s="5">
        <v>0</v>
      </c>
    </row>
    <row r="346" spans="1:25" x14ac:dyDescent="0.25">
      <c r="A346" s="8">
        <v>46283</v>
      </c>
      <c r="B346" s="16">
        <f>YEAR(Tabela32[[#This Row],[Data]])</f>
        <v>2026</v>
      </c>
      <c r="C346" s="16">
        <f>MONTH(Tabela32[[#This Row],[Data]])</f>
        <v>9</v>
      </c>
      <c r="D346" s="4" t="s">
        <v>28</v>
      </c>
      <c r="E346" s="4">
        <v>11</v>
      </c>
      <c r="F346" s="4" t="str">
        <f>IFERROR(VLOOKUP(Tabela32[[#This Row],[Placa]],Planilha2!$A$1:$B$12,2,0),"")</f>
        <v>Edilson</v>
      </c>
      <c r="G346" s="10">
        <v>13968.57</v>
      </c>
      <c r="H346" s="10">
        <v>268279.21999999997</v>
      </c>
      <c r="I346" s="4">
        <v>2757</v>
      </c>
      <c r="J346" s="17">
        <f>IFERROR(Tabela32[[#This Row],[Valor Frete]]/Tabela32[[#This Row],[Valor Mercadoria]],"")</f>
        <v>5.2067282736247708E-2</v>
      </c>
      <c r="K346" s="11">
        <v>0.27083333333333331</v>
      </c>
      <c r="L346" s="15">
        <v>0.77777777777777779</v>
      </c>
      <c r="M346" s="15">
        <f>Tabela32[[#This Row],[Hr Chegada]]-Tabela32[[#This Row],[Hr Saida]]</f>
        <v>0.50694444444444442</v>
      </c>
      <c r="N346" s="4">
        <v>105750</v>
      </c>
      <c r="O346" s="4">
        <v>105897</v>
      </c>
      <c r="P346" s="4">
        <f>Tabela32[[#This Row],[Km Chegada]]-Tabela32[[#This Row],[Km Saída]]</f>
        <v>147</v>
      </c>
      <c r="Q346" s="4">
        <v>317</v>
      </c>
      <c r="R346" s="4">
        <v>32</v>
      </c>
      <c r="S346" s="4">
        <v>32</v>
      </c>
      <c r="T346" s="12">
        <f>Tabela32[[#This Row],[Entregas]]-Tabela32[[#This Row],[Realizadas]]</f>
        <v>0</v>
      </c>
      <c r="U346" s="18">
        <f>Tabela32[[#This Row],[Realizadas]]/Tabela32[[#This Row],[Entregas]]</f>
        <v>1</v>
      </c>
      <c r="V346" s="19" t="str">
        <f>IF(Tabela32[[#This Row],[% Entrega]]&gt;=96%,"Atendeu a Meta","Não Atendeu a Meta")</f>
        <v>Atendeu a Meta</v>
      </c>
      <c r="W346" s="4" t="s">
        <v>41</v>
      </c>
      <c r="X346" s="4">
        <v>0</v>
      </c>
      <c r="Y346" s="5">
        <v>0</v>
      </c>
    </row>
    <row r="347" spans="1:25" x14ac:dyDescent="0.25">
      <c r="A347" s="8">
        <v>46283</v>
      </c>
      <c r="B347" s="16">
        <f>YEAR(Tabela32[[#This Row],[Data]])</f>
        <v>2026</v>
      </c>
      <c r="C347" s="16">
        <f>MONTH(Tabela32[[#This Row],[Data]])</f>
        <v>9</v>
      </c>
      <c r="D347" s="4" t="s">
        <v>29</v>
      </c>
      <c r="E347" s="4">
        <v>1</v>
      </c>
      <c r="F347" s="4" t="str">
        <f>IFERROR(VLOOKUP(Tabela32[[#This Row],[Placa]],Planilha2!$A$1:$B$12,2,0),"")</f>
        <v>Sandro</v>
      </c>
      <c r="G347" s="10">
        <v>752.68</v>
      </c>
      <c r="H347" s="10">
        <v>12536.17</v>
      </c>
      <c r="I347" s="4">
        <v>62</v>
      </c>
      <c r="J347" s="17">
        <f>IFERROR(Tabela32[[#This Row],[Valor Frete]]/Tabela32[[#This Row],[Valor Mercadoria]],"")</f>
        <v>6.0040666327913543E-2</v>
      </c>
      <c r="K347" s="11">
        <v>0.29166666666666669</v>
      </c>
      <c r="L347" s="15">
        <v>0.49444444444444446</v>
      </c>
      <c r="M347" s="15">
        <f>Tabela32[[#This Row],[Hr Chegada]]-Tabela32[[#This Row],[Hr Saida]]</f>
        <v>0.20277777777777778</v>
      </c>
      <c r="N347" s="4">
        <v>275910</v>
      </c>
      <c r="O347" s="4">
        <v>275974</v>
      </c>
      <c r="P347" s="4">
        <f>Tabela32[[#This Row],[Km Chegada]]-Tabela32[[#This Row],[Km Saída]]</f>
        <v>64</v>
      </c>
      <c r="Q347" s="4">
        <v>38</v>
      </c>
      <c r="R347" s="4">
        <v>1</v>
      </c>
      <c r="S347" s="4">
        <v>1</v>
      </c>
      <c r="T347" s="12">
        <f>Tabela32[[#This Row],[Entregas]]-Tabela32[[#This Row],[Realizadas]]</f>
        <v>0</v>
      </c>
      <c r="U347" s="18">
        <f>Tabela32[[#This Row],[Realizadas]]/Tabela32[[#This Row],[Entregas]]</f>
        <v>1</v>
      </c>
      <c r="V347" s="19" t="str">
        <f>IF(Tabela32[[#This Row],[% Entrega]]&gt;=96%,"Atendeu a Meta","Não Atendeu a Meta")</f>
        <v>Atendeu a Meta</v>
      </c>
      <c r="W347" s="4" t="s">
        <v>40</v>
      </c>
      <c r="X347" s="4">
        <v>0</v>
      </c>
      <c r="Y347" s="5">
        <v>0</v>
      </c>
    </row>
    <row r="348" spans="1:25" x14ac:dyDescent="0.25">
      <c r="A348" s="8">
        <v>46283</v>
      </c>
      <c r="B348" s="16">
        <f>YEAR(Tabela32[[#This Row],[Data]])</f>
        <v>2026</v>
      </c>
      <c r="C348" s="16">
        <f>MONTH(Tabela32[[#This Row],[Data]])</f>
        <v>9</v>
      </c>
      <c r="D348" s="4" t="s">
        <v>27</v>
      </c>
      <c r="E348" s="4">
        <v>5</v>
      </c>
      <c r="F348" s="4" t="str">
        <f>IFERROR(VLOOKUP(Tabela32[[#This Row],[Placa]],Planilha2!$A$1:$B$12,2,0),"")</f>
        <v>Rosinaldo</v>
      </c>
      <c r="G348" s="10">
        <v>6548.52</v>
      </c>
      <c r="H348" s="10">
        <v>109020.64</v>
      </c>
      <c r="I348" s="4">
        <v>1746</v>
      </c>
      <c r="J348" s="17">
        <f>IFERROR(Tabela32[[#This Row],[Valor Frete]]/Tabela32[[#This Row],[Valor Mercadoria]],"")</f>
        <v>6.0066791022323852E-2</v>
      </c>
      <c r="K348" s="11">
        <v>0.29166666666666669</v>
      </c>
      <c r="L348" s="15">
        <v>0.75694444444444442</v>
      </c>
      <c r="M348" s="15">
        <f>Tabela32[[#This Row],[Hr Chegada]]-Tabela32[[#This Row],[Hr Saida]]</f>
        <v>0.46527777777777773</v>
      </c>
      <c r="N348" s="4">
        <v>291510</v>
      </c>
      <c r="O348" s="4">
        <v>291597</v>
      </c>
      <c r="P348" s="4">
        <f>Tabela32[[#This Row],[Km Chegada]]-Tabela32[[#This Row],[Km Saída]]</f>
        <v>87</v>
      </c>
      <c r="Q348" s="4">
        <v>215</v>
      </c>
      <c r="R348" s="4">
        <v>18</v>
      </c>
      <c r="S348" s="4">
        <v>17</v>
      </c>
      <c r="T348" s="12">
        <f>Tabela32[[#This Row],[Entregas]]-Tabela32[[#This Row],[Realizadas]]</f>
        <v>1</v>
      </c>
      <c r="U348" s="18">
        <f>Tabela32[[#This Row],[Realizadas]]/Tabela32[[#This Row],[Entregas]]</f>
        <v>0.94444444444444442</v>
      </c>
      <c r="V348" s="19" t="str">
        <f>IF(Tabela32[[#This Row],[% Entrega]]&gt;=96%,"Atendeu a Meta","Não Atendeu a Meta")</f>
        <v>Não Atendeu a Meta</v>
      </c>
      <c r="W348" s="4" t="s">
        <v>39</v>
      </c>
      <c r="X348" s="4">
        <v>1</v>
      </c>
      <c r="Y348" s="5">
        <v>13</v>
      </c>
    </row>
    <row r="349" spans="1:25" x14ac:dyDescent="0.25">
      <c r="A349" s="8">
        <v>46283</v>
      </c>
      <c r="B349" s="16">
        <f>YEAR(Tabela32[[#This Row],[Data]])</f>
        <v>2026</v>
      </c>
      <c r="C349" s="16">
        <f>MONTH(Tabela32[[#This Row],[Data]])</f>
        <v>9</v>
      </c>
      <c r="D349" s="4" t="s">
        <v>35</v>
      </c>
      <c r="E349" s="4">
        <v>3</v>
      </c>
      <c r="F349" s="4" t="str">
        <f>IFERROR(VLOOKUP(Tabela32[[#This Row],[Placa]],Planilha2!$A$1:$B$12,2,0),"")</f>
        <v>Osvaldo</v>
      </c>
      <c r="G349" s="10">
        <v>10577.38</v>
      </c>
      <c r="H349" s="10">
        <v>209246.11</v>
      </c>
      <c r="I349" s="4">
        <v>2665</v>
      </c>
      <c r="J349" s="17">
        <f>IFERROR(Tabela32[[#This Row],[Valor Frete]]/Tabela32[[#This Row],[Valor Mercadoria]],"")</f>
        <v>5.0549948097004048E-2</v>
      </c>
      <c r="K349" s="11">
        <v>0.30555555555555558</v>
      </c>
      <c r="L349" s="15">
        <v>0.69861111111111107</v>
      </c>
      <c r="M349" s="15">
        <f>Tabela32[[#This Row],[Hr Chegada]]-Tabela32[[#This Row],[Hr Saida]]</f>
        <v>0.39305555555555549</v>
      </c>
      <c r="N349" s="4">
        <v>143392</v>
      </c>
      <c r="O349" s="4">
        <v>143445</v>
      </c>
      <c r="P349" s="4">
        <f>Tabela32[[#This Row],[Km Chegada]]-Tabela32[[#This Row],[Km Saída]]</f>
        <v>53</v>
      </c>
      <c r="Q349" s="4">
        <v>269</v>
      </c>
      <c r="R349" s="4">
        <v>20</v>
      </c>
      <c r="S349" s="4">
        <v>20</v>
      </c>
      <c r="T349" s="12">
        <f>Tabela32[[#This Row],[Entregas]]-Tabela32[[#This Row],[Realizadas]]</f>
        <v>0</v>
      </c>
      <c r="U349" s="18">
        <f>Tabela32[[#This Row],[Realizadas]]/Tabela32[[#This Row],[Entregas]]</f>
        <v>1</v>
      </c>
      <c r="V349" s="19" t="str">
        <f>IF(Tabela32[[#This Row],[% Entrega]]&gt;=96%,"Atendeu a Meta","Não Atendeu a Meta")</f>
        <v>Atendeu a Meta</v>
      </c>
      <c r="W349" s="4" t="s">
        <v>39</v>
      </c>
      <c r="X349" s="4">
        <v>0</v>
      </c>
      <c r="Y349" s="5">
        <v>0</v>
      </c>
    </row>
    <row r="350" spans="1:25" x14ac:dyDescent="0.25">
      <c r="A350" s="8">
        <v>46283</v>
      </c>
      <c r="B350" s="16">
        <f>YEAR(Tabela32[[#This Row],[Data]])</f>
        <v>2026</v>
      </c>
      <c r="C350" s="16">
        <f>MONTH(Tabela32[[#This Row],[Data]])</f>
        <v>9</v>
      </c>
      <c r="D350" s="4" t="s">
        <v>53</v>
      </c>
      <c r="E350" s="4">
        <v>4</v>
      </c>
      <c r="F350" s="4" t="str">
        <f>IFERROR(VLOOKUP(Tabela32[[#This Row],[Placa]],Planilha2!$A$1:$B$12,2,0),"")</f>
        <v>Arnaldo</v>
      </c>
      <c r="G350" s="10">
        <v>8358.3700000000008</v>
      </c>
      <c r="H350" s="10">
        <v>204550.14</v>
      </c>
      <c r="I350" s="4">
        <v>2464</v>
      </c>
      <c r="J350" s="17">
        <f>IFERROR(Tabela32[[#This Row],[Valor Frete]]/Tabela32[[#This Row],[Valor Mercadoria]],"")</f>
        <v>4.0862206205285412E-2</v>
      </c>
      <c r="K350" s="11">
        <v>0.29166666666666669</v>
      </c>
      <c r="L350" s="15">
        <v>0.79166666666666663</v>
      </c>
      <c r="M350" s="15">
        <f>Tabela32[[#This Row],[Hr Chegada]]-Tabela32[[#This Row],[Hr Saida]]</f>
        <v>0.49999999999999994</v>
      </c>
      <c r="N350" s="4">
        <v>13855</v>
      </c>
      <c r="O350" s="4">
        <v>13918</v>
      </c>
      <c r="P350" s="4">
        <f>Tabela32[[#This Row],[Km Chegada]]-Tabela32[[#This Row],[Km Saída]]</f>
        <v>63</v>
      </c>
      <c r="Q350" s="4">
        <v>535</v>
      </c>
      <c r="R350" s="4">
        <v>19</v>
      </c>
      <c r="S350" s="4">
        <v>19</v>
      </c>
      <c r="T350" s="12">
        <f>Tabela32[[#This Row],[Entregas]]-Tabela32[[#This Row],[Realizadas]]</f>
        <v>0</v>
      </c>
      <c r="U350" s="18">
        <f>Tabela32[[#This Row],[Realizadas]]/Tabela32[[#This Row],[Entregas]]</f>
        <v>1</v>
      </c>
      <c r="V350" s="19" t="str">
        <f>IF(Tabela32[[#This Row],[% Entrega]]&gt;=96%,"Atendeu a Meta","Não Atendeu a Meta")</f>
        <v>Atendeu a Meta</v>
      </c>
      <c r="W350" s="4" t="s">
        <v>39</v>
      </c>
      <c r="X350" s="4">
        <v>0</v>
      </c>
      <c r="Y350" s="5">
        <v>0</v>
      </c>
    </row>
    <row r="351" spans="1:25" x14ac:dyDescent="0.25">
      <c r="A351" s="8">
        <v>46283</v>
      </c>
      <c r="B351" s="16">
        <f>YEAR(Tabela32[[#This Row],[Data]])</f>
        <v>2026</v>
      </c>
      <c r="C351" s="16">
        <f>MONTH(Tabela32[[#This Row],[Data]])</f>
        <v>9</v>
      </c>
      <c r="D351" s="4" t="s">
        <v>36</v>
      </c>
      <c r="E351" s="4">
        <v>5</v>
      </c>
      <c r="F351" s="4" t="str">
        <f>IFERROR(VLOOKUP(Tabela32[[#This Row],[Placa]],Planilha2!$A$1:$B$12,2,0),"")</f>
        <v>Heremilton</v>
      </c>
      <c r="G351" s="10">
        <v>53283.21</v>
      </c>
      <c r="H351" s="10">
        <v>1088532.82</v>
      </c>
      <c r="I351" s="4">
        <v>9913</v>
      </c>
      <c r="J351" s="17">
        <f>IFERROR(Tabela32[[#This Row],[Valor Frete]]/Tabela32[[#This Row],[Valor Mercadoria]],"")</f>
        <v>4.8949566812326338E-2</v>
      </c>
      <c r="K351" s="11">
        <v>0.27777777777777779</v>
      </c>
      <c r="L351" s="15">
        <v>0.82361111111111107</v>
      </c>
      <c r="M351" s="15">
        <f>Tabela32[[#This Row],[Hr Chegada]]-Tabela32[[#This Row],[Hr Saida]]</f>
        <v>0.54583333333333328</v>
      </c>
      <c r="N351" s="4">
        <v>366162</v>
      </c>
      <c r="O351" s="4">
        <v>366198</v>
      </c>
      <c r="P351" s="4">
        <f>Tabela32[[#This Row],[Km Chegada]]-Tabela32[[#This Row],[Km Saída]]</f>
        <v>36</v>
      </c>
      <c r="Q351" s="4">
        <v>2043</v>
      </c>
      <c r="R351" s="4">
        <v>24</v>
      </c>
      <c r="S351" s="4">
        <v>24</v>
      </c>
      <c r="T351" s="12">
        <f>Tabela32[[#This Row],[Entregas]]-Tabela32[[#This Row],[Realizadas]]</f>
        <v>0</v>
      </c>
      <c r="U351" s="18">
        <f>Tabela32[[#This Row],[Realizadas]]/Tabela32[[#This Row],[Entregas]]</f>
        <v>1</v>
      </c>
      <c r="V351" s="19" t="str">
        <f>IF(Tabela32[[#This Row],[% Entrega]]&gt;=96%,"Atendeu a Meta","Não Atendeu a Meta")</f>
        <v>Atendeu a Meta</v>
      </c>
      <c r="W351" s="4" t="s">
        <v>39</v>
      </c>
      <c r="X351" s="4">
        <v>0</v>
      </c>
      <c r="Y351" s="5">
        <v>0</v>
      </c>
    </row>
    <row r="352" spans="1:25" x14ac:dyDescent="0.25">
      <c r="A352" s="8">
        <v>46283</v>
      </c>
      <c r="B352" s="16">
        <f>YEAR(Tabela32[[#This Row],[Data]])</f>
        <v>2026</v>
      </c>
      <c r="C352" s="16">
        <f>MONTH(Tabela32[[#This Row],[Data]])</f>
        <v>9</v>
      </c>
      <c r="D352" s="4" t="s">
        <v>23</v>
      </c>
      <c r="E352" s="4">
        <v>1</v>
      </c>
      <c r="F352" s="4" t="str">
        <f>IFERROR(VLOOKUP(Tabela32[[#This Row],[Placa]],Planilha2!$A$1:$B$12,2,0),"")</f>
        <v>William</v>
      </c>
      <c r="G352" s="10">
        <v>5252.08</v>
      </c>
      <c r="H352" s="10">
        <v>96048.94</v>
      </c>
      <c r="I352" s="4">
        <v>1159</v>
      </c>
      <c r="J352" s="17">
        <f>IFERROR(Tabela32[[#This Row],[Valor Frete]]/Tabela32[[#This Row],[Valor Mercadoria]],"")</f>
        <v>5.4681290600396004E-2</v>
      </c>
      <c r="K352" s="11">
        <v>0.29166666666666669</v>
      </c>
      <c r="L352" s="15">
        <v>0.72916666666666663</v>
      </c>
      <c r="M352" s="15">
        <f>Tabela32[[#This Row],[Hr Chegada]]-Tabela32[[#This Row],[Hr Saida]]</f>
        <v>0.43749999999999994</v>
      </c>
      <c r="N352" s="4">
        <v>125509</v>
      </c>
      <c r="O352" s="4">
        <v>125582</v>
      </c>
      <c r="P352" s="4">
        <f>Tabela32[[#This Row],[Km Chegada]]-Tabela32[[#This Row],[Km Saída]]</f>
        <v>73</v>
      </c>
      <c r="Q352" s="4">
        <v>168</v>
      </c>
      <c r="R352" s="4">
        <v>13</v>
      </c>
      <c r="S352" s="4">
        <v>13</v>
      </c>
      <c r="T352" s="12">
        <f>Tabela32[[#This Row],[Entregas]]-Tabela32[[#This Row],[Realizadas]]</f>
        <v>0</v>
      </c>
      <c r="U352" s="18">
        <f>Tabela32[[#This Row],[Realizadas]]/Tabela32[[#This Row],[Entregas]]</f>
        <v>1</v>
      </c>
      <c r="V352" s="19" t="str">
        <f>IF(Tabela32[[#This Row],[% Entrega]]&gt;=96%,"Atendeu a Meta","Não Atendeu a Meta")</f>
        <v>Atendeu a Meta</v>
      </c>
      <c r="W352" s="4" t="s">
        <v>40</v>
      </c>
      <c r="X352" s="4">
        <v>0</v>
      </c>
      <c r="Y352" s="5">
        <v>0</v>
      </c>
    </row>
    <row r="353" spans="1:25" x14ac:dyDescent="0.25">
      <c r="A353" s="8">
        <v>46283</v>
      </c>
      <c r="B353" s="16">
        <f>YEAR(Tabela32[[#This Row],[Data]])</f>
        <v>2026</v>
      </c>
      <c r="C353" s="16">
        <f>MONTH(Tabela32[[#This Row],[Data]])</f>
        <v>9</v>
      </c>
      <c r="D353" s="4" t="s">
        <v>22</v>
      </c>
      <c r="E353" s="4">
        <v>2</v>
      </c>
      <c r="F353" s="4" t="str">
        <f>IFERROR(VLOOKUP(Tabela32[[#This Row],[Placa]],Planilha2!$A$1:$B$12,2,0),"")</f>
        <v>Wesley</v>
      </c>
      <c r="G353" s="10">
        <v>11713.19</v>
      </c>
      <c r="H353" s="10">
        <v>212269.7</v>
      </c>
      <c r="I353" s="4">
        <v>598</v>
      </c>
      <c r="J353" s="17">
        <f>IFERROR(Tabela32[[#This Row],[Valor Frete]]/Tabela32[[#This Row],[Valor Mercadoria]],"")</f>
        <v>5.5180697009511954E-2</v>
      </c>
      <c r="K353" s="11">
        <v>0.27291666666666664</v>
      </c>
      <c r="L353" s="15">
        <v>0.81597222222222221</v>
      </c>
      <c r="M353" s="15">
        <f>Tabela32[[#This Row],[Hr Chegada]]-Tabela32[[#This Row],[Hr Saida]]</f>
        <v>0.54305555555555562</v>
      </c>
      <c r="N353" s="4">
        <v>305081</v>
      </c>
      <c r="O353" s="4">
        <v>305140</v>
      </c>
      <c r="P353" s="4">
        <f>Tabela32[[#This Row],[Km Chegada]]-Tabela32[[#This Row],[Km Saída]]</f>
        <v>59</v>
      </c>
      <c r="Q353" s="4">
        <v>317</v>
      </c>
      <c r="R353" s="4">
        <v>16</v>
      </c>
      <c r="S353" s="4">
        <v>16</v>
      </c>
      <c r="T353" s="12">
        <f>Tabela32[[#This Row],[Entregas]]-Tabela32[[#This Row],[Realizadas]]</f>
        <v>0</v>
      </c>
      <c r="U353" s="18">
        <f>Tabela32[[#This Row],[Realizadas]]/Tabela32[[#This Row],[Entregas]]</f>
        <v>1</v>
      </c>
      <c r="V353" s="19" t="str">
        <f>IF(Tabela32[[#This Row],[% Entrega]]&gt;=96%,"Atendeu a Meta","Não Atendeu a Meta")</f>
        <v>Atendeu a Meta</v>
      </c>
      <c r="W353" s="4" t="s">
        <v>39</v>
      </c>
      <c r="X353" s="4">
        <v>0</v>
      </c>
      <c r="Y353" s="5">
        <v>0</v>
      </c>
    </row>
    <row r="354" spans="1:25" x14ac:dyDescent="0.25">
      <c r="A354" s="8">
        <v>46283</v>
      </c>
      <c r="B354" s="16">
        <f>YEAR(Tabela32[[#This Row],[Data]])</f>
        <v>2026</v>
      </c>
      <c r="C354" s="16">
        <f>MONTH(Tabela32[[#This Row],[Data]])</f>
        <v>9</v>
      </c>
      <c r="D354" s="4" t="s">
        <v>31</v>
      </c>
      <c r="E354" s="4">
        <v>1</v>
      </c>
      <c r="F354" s="4" t="str">
        <f>IFERROR(VLOOKUP(Tabela32[[#This Row],[Placa]],Planilha2!$A$1:$B$12,2,0),"")</f>
        <v>Jerson</v>
      </c>
      <c r="G354" s="10">
        <v>7384.41</v>
      </c>
      <c r="H354" s="10">
        <v>185284.08</v>
      </c>
      <c r="I354" s="4">
        <v>1375</v>
      </c>
      <c r="J354" s="17">
        <f>IFERROR(Tabela32[[#This Row],[Valor Frete]]/Tabela32[[#This Row],[Valor Mercadoria]],"")</f>
        <v>3.9854530405418538E-2</v>
      </c>
      <c r="K354" s="11">
        <v>0.2951388888888889</v>
      </c>
      <c r="L354" s="15">
        <v>0.74305555555555558</v>
      </c>
      <c r="M354" s="15">
        <f>Tabela32[[#This Row],[Hr Chegada]]-Tabela32[[#This Row],[Hr Saida]]</f>
        <v>0.44791666666666669</v>
      </c>
      <c r="N354" s="4">
        <v>280667</v>
      </c>
      <c r="O354" s="4">
        <v>280716</v>
      </c>
      <c r="P354" s="4">
        <f>Tabela32[[#This Row],[Km Chegada]]-Tabela32[[#This Row],[Km Saída]]</f>
        <v>49</v>
      </c>
      <c r="Q354" s="4">
        <v>195</v>
      </c>
      <c r="R354" s="4">
        <v>30</v>
      </c>
      <c r="S354" s="4">
        <v>28</v>
      </c>
      <c r="T354" s="12">
        <f>Tabela32[[#This Row],[Entregas]]-Tabela32[[#This Row],[Realizadas]]</f>
        <v>2</v>
      </c>
      <c r="U354" s="18">
        <f>Tabela32[[#This Row],[Realizadas]]/Tabela32[[#This Row],[Entregas]]</f>
        <v>0.93333333333333335</v>
      </c>
      <c r="V354" s="19" t="str">
        <f>IF(Tabela32[[#This Row],[% Entrega]]&gt;=96%,"Atendeu a Meta","Não Atendeu a Meta")</f>
        <v>Não Atendeu a Meta</v>
      </c>
      <c r="W354" s="4" t="s">
        <v>43</v>
      </c>
      <c r="X354" s="4">
        <v>2</v>
      </c>
      <c r="Y354" s="5" t="s">
        <v>83</v>
      </c>
    </row>
    <row r="355" spans="1:25" x14ac:dyDescent="0.25">
      <c r="A355" s="8">
        <v>46286</v>
      </c>
      <c r="B355" s="16">
        <f>YEAR(Tabela32[[#This Row],[Data]])</f>
        <v>2026</v>
      </c>
      <c r="C355" s="16">
        <f>MONTH(Tabela32[[#This Row],[Data]])</f>
        <v>9</v>
      </c>
      <c r="D355" s="4" t="s">
        <v>53</v>
      </c>
      <c r="E355" s="4">
        <v>3</v>
      </c>
      <c r="F355" s="4" t="str">
        <f>IFERROR(VLOOKUP(Tabela32[[#This Row],[Placa]],Planilha2!$A$1:$B$12,2,0),"")</f>
        <v>Arnaldo</v>
      </c>
      <c r="G355" s="10">
        <v>7669.01</v>
      </c>
      <c r="H355" s="10">
        <v>109425.94</v>
      </c>
      <c r="I355" s="4">
        <v>2407</v>
      </c>
      <c r="J355" s="17">
        <f>IFERROR(Tabela32[[#This Row],[Valor Frete]]/Tabela32[[#This Row],[Valor Mercadoria]],"")</f>
        <v>7.008402212491846E-2</v>
      </c>
      <c r="K355" s="11">
        <v>0.29166666666666669</v>
      </c>
      <c r="L355" s="15">
        <v>0.75694444444444442</v>
      </c>
      <c r="M355" s="15">
        <f>Tabela32[[#This Row],[Hr Chegada]]-Tabela32[[#This Row],[Hr Saida]]</f>
        <v>0.46527777777777773</v>
      </c>
      <c r="N355" s="4">
        <v>13919</v>
      </c>
      <c r="O355" s="4">
        <v>13972</v>
      </c>
      <c r="P355" s="4">
        <f>Tabela32[[#This Row],[Km Chegada]]-Tabela32[[#This Row],[Km Saída]]</f>
        <v>53</v>
      </c>
      <c r="Q355" s="4">
        <v>240</v>
      </c>
      <c r="R355" s="4">
        <v>13</v>
      </c>
      <c r="S355" s="4">
        <v>13</v>
      </c>
      <c r="T355" s="12">
        <f>Tabela32[[#This Row],[Entregas]]-Tabela32[[#This Row],[Realizadas]]</f>
        <v>0</v>
      </c>
      <c r="U355" s="18">
        <f>Tabela32[[#This Row],[Realizadas]]/Tabela32[[#This Row],[Entregas]]</f>
        <v>1</v>
      </c>
      <c r="V355" s="19" t="str">
        <f>IF(Tabela32[[#This Row],[% Entrega]]&gt;=96%,"Atendeu a Meta","Não Atendeu a Meta")</f>
        <v>Atendeu a Meta</v>
      </c>
      <c r="W355" s="4" t="s">
        <v>39</v>
      </c>
      <c r="X355" s="4">
        <v>1</v>
      </c>
      <c r="Y355" s="5">
        <v>9</v>
      </c>
    </row>
    <row r="356" spans="1:25" x14ac:dyDescent="0.25">
      <c r="A356" s="8">
        <v>46286</v>
      </c>
      <c r="B356" s="16">
        <f>YEAR(Tabela32[[#This Row],[Data]])</f>
        <v>2026</v>
      </c>
      <c r="C356" s="16">
        <f>MONTH(Tabela32[[#This Row],[Data]])</f>
        <v>9</v>
      </c>
      <c r="D356" s="4" t="s">
        <v>35</v>
      </c>
      <c r="E356" s="4">
        <v>5</v>
      </c>
      <c r="F356" s="4" t="str">
        <f>IFERROR(VLOOKUP(Tabela32[[#This Row],[Placa]],Planilha2!$A$1:$B$12,2,0),"")</f>
        <v>Osvaldo</v>
      </c>
      <c r="G356" s="10">
        <v>5167.83</v>
      </c>
      <c r="H356" s="10">
        <v>46740.68</v>
      </c>
      <c r="I356" s="4">
        <v>567</v>
      </c>
      <c r="J356" s="17">
        <f>IFERROR(Tabela32[[#This Row],[Valor Frete]]/Tabela32[[#This Row],[Valor Mercadoria]],"")</f>
        <v>0.11056386000374833</v>
      </c>
      <c r="K356" s="11">
        <v>0.3125</v>
      </c>
      <c r="L356" s="15">
        <v>0.67152777777777772</v>
      </c>
      <c r="M356" s="15">
        <f>Tabela32[[#This Row],[Hr Chegada]]-Tabela32[[#This Row],[Hr Saida]]</f>
        <v>0.35902777777777772</v>
      </c>
      <c r="N356" s="4">
        <v>143494</v>
      </c>
      <c r="O356" s="4">
        <v>143560</v>
      </c>
      <c r="P356" s="4">
        <f>Tabela32[[#This Row],[Km Chegada]]-Tabela32[[#This Row],[Km Saída]]</f>
        <v>66</v>
      </c>
      <c r="Q356" s="4">
        <v>73</v>
      </c>
      <c r="R356" s="4">
        <v>7</v>
      </c>
      <c r="S356" s="4">
        <v>7</v>
      </c>
      <c r="T356" s="12">
        <f>Tabela32[[#This Row],[Entregas]]-Tabela32[[#This Row],[Realizadas]]</f>
        <v>0</v>
      </c>
      <c r="U356" s="18">
        <f>Tabela32[[#This Row],[Realizadas]]/Tabela32[[#This Row],[Entregas]]</f>
        <v>1</v>
      </c>
      <c r="V356" s="19" t="str">
        <f>IF(Tabela32[[#This Row],[% Entrega]]&gt;=96%,"Atendeu a Meta","Não Atendeu a Meta")</f>
        <v>Atendeu a Meta</v>
      </c>
      <c r="W356" s="4" t="s">
        <v>39</v>
      </c>
      <c r="X356" s="4">
        <v>0</v>
      </c>
      <c r="Y356" s="5">
        <v>0</v>
      </c>
    </row>
    <row r="357" spans="1:25" x14ac:dyDescent="0.25">
      <c r="A357" s="8">
        <v>46286</v>
      </c>
      <c r="B357" s="16">
        <f>YEAR(Tabela32[[#This Row],[Data]])</f>
        <v>2026</v>
      </c>
      <c r="C357" s="16">
        <f>MONTH(Tabela32[[#This Row],[Data]])</f>
        <v>9</v>
      </c>
      <c r="D357" s="4" t="s">
        <v>23</v>
      </c>
      <c r="E357" s="4">
        <v>11</v>
      </c>
      <c r="F357" s="4" t="str">
        <f>IFERROR(VLOOKUP(Tabela32[[#This Row],[Placa]],Planilha2!$A$1:$B$12,2,0),"")</f>
        <v>William</v>
      </c>
      <c r="G357" s="10">
        <v>11465.64</v>
      </c>
      <c r="H357" s="10">
        <v>273006.78999999998</v>
      </c>
      <c r="I357" s="4">
        <v>1599</v>
      </c>
      <c r="J357" s="17">
        <f>IFERROR(Tabela32[[#This Row],[Valor Frete]]/Tabela32[[#This Row],[Valor Mercadoria]],"")</f>
        <v>4.1997636762074672E-2</v>
      </c>
      <c r="K357" s="11">
        <v>0.27083333333333331</v>
      </c>
      <c r="L357" s="15">
        <v>0.8125</v>
      </c>
      <c r="M357" s="15">
        <f>Tabela32[[#This Row],[Hr Chegada]]-Tabela32[[#This Row],[Hr Saida]]</f>
        <v>0.54166666666666674</v>
      </c>
      <c r="N357" s="4">
        <v>125582</v>
      </c>
      <c r="O357" s="4">
        <v>125748</v>
      </c>
      <c r="P357" s="4">
        <f>Tabela32[[#This Row],[Km Chegada]]-Tabela32[[#This Row],[Km Saída]]</f>
        <v>166</v>
      </c>
      <c r="Q357" s="4">
        <v>313</v>
      </c>
      <c r="R357" s="4">
        <v>28</v>
      </c>
      <c r="S357" s="4">
        <v>28</v>
      </c>
      <c r="T357" s="12">
        <f>Tabela32[[#This Row],[Entregas]]-Tabela32[[#This Row],[Realizadas]]</f>
        <v>0</v>
      </c>
      <c r="U357" s="18">
        <f>Tabela32[[#This Row],[Realizadas]]/Tabela32[[#This Row],[Entregas]]</f>
        <v>1</v>
      </c>
      <c r="V357" s="19" t="str">
        <f>IF(Tabela32[[#This Row],[% Entrega]]&gt;=96%,"Atendeu a Meta","Não Atendeu a Meta")</f>
        <v>Atendeu a Meta</v>
      </c>
      <c r="W357" s="4" t="s">
        <v>41</v>
      </c>
      <c r="X357" s="4">
        <v>3</v>
      </c>
      <c r="Y357" s="5" t="s">
        <v>84</v>
      </c>
    </row>
    <row r="358" spans="1:25" x14ac:dyDescent="0.25">
      <c r="A358" s="8">
        <v>46286</v>
      </c>
      <c r="B358" s="16">
        <f>YEAR(Tabela32[[#This Row],[Data]])</f>
        <v>2026</v>
      </c>
      <c r="C358" s="16">
        <f>MONTH(Tabela32[[#This Row],[Data]])</f>
        <v>9</v>
      </c>
      <c r="D358" s="4" t="s">
        <v>22</v>
      </c>
      <c r="E358" s="4">
        <v>2</v>
      </c>
      <c r="F358" s="4" t="str">
        <f>IFERROR(VLOOKUP(Tabela32[[#This Row],[Placa]],Planilha2!$A$1:$B$12,2,0),"")</f>
        <v>Wesley</v>
      </c>
      <c r="G358" s="10">
        <v>7236.81</v>
      </c>
      <c r="H358" s="10">
        <v>173289.63</v>
      </c>
      <c r="I358" s="4">
        <v>1096</v>
      </c>
      <c r="J358" s="17">
        <f>IFERROR(Tabela32[[#This Row],[Valor Frete]]/Tabela32[[#This Row],[Valor Mercadoria]],"")</f>
        <v>4.1761356406612445E-2</v>
      </c>
      <c r="K358" s="11">
        <v>0.27083333333333331</v>
      </c>
      <c r="L358" s="15">
        <v>0.66319444444444442</v>
      </c>
      <c r="M358" s="15">
        <f>Tabela32[[#This Row],[Hr Chegada]]-Tabela32[[#This Row],[Hr Saida]]</f>
        <v>0.3923611111111111</v>
      </c>
      <c r="N358" s="4">
        <v>305258</v>
      </c>
      <c r="O358" s="4">
        <v>305309</v>
      </c>
      <c r="P358" s="4">
        <f>Tabela32[[#This Row],[Km Chegada]]-Tabela32[[#This Row],[Km Saída]]</f>
        <v>51</v>
      </c>
      <c r="Q358" s="4">
        <v>183</v>
      </c>
      <c r="R358" s="4">
        <v>26</v>
      </c>
      <c r="S358" s="4">
        <v>26</v>
      </c>
      <c r="T358" s="12">
        <f>Tabela32[[#This Row],[Entregas]]-Tabela32[[#This Row],[Realizadas]]</f>
        <v>0</v>
      </c>
      <c r="U358" s="18">
        <f>Tabela32[[#This Row],[Realizadas]]/Tabela32[[#This Row],[Entregas]]</f>
        <v>1</v>
      </c>
      <c r="V358" s="19" t="str">
        <f>IF(Tabela32[[#This Row],[% Entrega]]&gt;=96%,"Atendeu a Meta","Não Atendeu a Meta")</f>
        <v>Atendeu a Meta</v>
      </c>
      <c r="W358" s="4" t="s">
        <v>39</v>
      </c>
      <c r="X358" s="4">
        <v>0</v>
      </c>
      <c r="Y358" s="5">
        <v>0</v>
      </c>
    </row>
    <row r="359" spans="1:25" x14ac:dyDescent="0.25">
      <c r="A359" s="8">
        <v>46286</v>
      </c>
      <c r="B359" s="16">
        <f>YEAR(Tabela32[[#This Row],[Data]])</f>
        <v>2026</v>
      </c>
      <c r="C359" s="16">
        <f>MONTH(Tabela32[[#This Row],[Data]])</f>
        <v>9</v>
      </c>
      <c r="D359" s="4" t="s">
        <v>33</v>
      </c>
      <c r="E359" s="4">
        <v>1</v>
      </c>
      <c r="F359" s="4" t="str">
        <f>IFERROR(VLOOKUP(Tabela32[[#This Row],[Placa]],Planilha2!$A$1:$B$12,2,0),"")</f>
        <v>Paulo</v>
      </c>
      <c r="G359" s="10">
        <v>2929.13</v>
      </c>
      <c r="H359" s="10">
        <v>35646.160000000003</v>
      </c>
      <c r="I359" s="4">
        <v>226</v>
      </c>
      <c r="J359" s="17">
        <f>IFERROR(Tabela32[[#This Row],[Valor Frete]]/Tabela32[[#This Row],[Valor Mercadoria]],"")</f>
        <v>8.2172385468729306E-2</v>
      </c>
      <c r="K359" s="11">
        <v>0.29166666666666669</v>
      </c>
      <c r="L359" s="15">
        <v>0.70416666666666672</v>
      </c>
      <c r="M359" s="15">
        <f>Tabela32[[#This Row],[Hr Chegada]]-Tabela32[[#This Row],[Hr Saida]]</f>
        <v>0.41250000000000003</v>
      </c>
      <c r="N359" s="4">
        <v>155786</v>
      </c>
      <c r="O359" s="4">
        <v>155935</v>
      </c>
      <c r="P359" s="4">
        <f>Tabela32[[#This Row],[Km Chegada]]-Tabela32[[#This Row],[Km Saída]]</f>
        <v>149</v>
      </c>
      <c r="Q359" s="4">
        <v>42</v>
      </c>
      <c r="R359" s="4">
        <v>14</v>
      </c>
      <c r="S359" s="4">
        <v>14</v>
      </c>
      <c r="T359" s="12">
        <f>Tabela32[[#This Row],[Entregas]]-Tabela32[[#This Row],[Realizadas]]</f>
        <v>0</v>
      </c>
      <c r="U359" s="18">
        <f>Tabela32[[#This Row],[Realizadas]]/Tabela32[[#This Row],[Entregas]]</f>
        <v>1</v>
      </c>
      <c r="V359" s="19" t="str">
        <f>IF(Tabela32[[#This Row],[% Entrega]]&gt;=96%,"Atendeu a Meta","Não Atendeu a Meta")</f>
        <v>Atendeu a Meta</v>
      </c>
      <c r="W359" s="4" t="s">
        <v>40</v>
      </c>
      <c r="X359" s="4">
        <v>0</v>
      </c>
      <c r="Y359" s="5">
        <v>0</v>
      </c>
    </row>
    <row r="360" spans="1:25" x14ac:dyDescent="0.25">
      <c r="A360" s="8">
        <v>46286</v>
      </c>
      <c r="B360" s="16">
        <f>YEAR(Tabela32[[#This Row],[Data]])</f>
        <v>2026</v>
      </c>
      <c r="C360" s="16">
        <f>MONTH(Tabela32[[#This Row],[Data]])</f>
        <v>9</v>
      </c>
      <c r="D360" s="4" t="s">
        <v>37</v>
      </c>
      <c r="E360" s="4">
        <v>3</v>
      </c>
      <c r="F360" s="4" t="str">
        <f>IFERROR(VLOOKUP(Tabela32[[#This Row],[Placa]],Planilha2!$A$1:$B$12,2,0),"")</f>
        <v>Manoel</v>
      </c>
      <c r="G360" s="10">
        <v>795.97</v>
      </c>
      <c r="H360" s="10">
        <v>15740.97</v>
      </c>
      <c r="I360" s="4">
        <v>13</v>
      </c>
      <c r="J360" s="17">
        <f>IFERROR(Tabela32[[#This Row],[Valor Frete]]/Tabela32[[#This Row],[Valor Mercadoria]],"")</f>
        <v>5.056676939222933E-2</v>
      </c>
      <c r="K360" s="11">
        <v>0.58333333333333337</v>
      </c>
      <c r="L360" s="15">
        <v>0.70833333333333337</v>
      </c>
      <c r="M360" s="15">
        <f>Tabela32[[#This Row],[Hr Chegada]]-Tabela32[[#This Row],[Hr Saida]]</f>
        <v>0.125</v>
      </c>
      <c r="N360" s="4">
        <v>12395</v>
      </c>
      <c r="O360" s="4">
        <v>12437</v>
      </c>
      <c r="P360" s="4">
        <f>Tabela32[[#This Row],[Km Chegada]]-Tabela32[[#This Row],[Km Saída]]</f>
        <v>42</v>
      </c>
      <c r="Q360" s="4">
        <v>13</v>
      </c>
      <c r="R360" s="4">
        <v>2</v>
      </c>
      <c r="S360" s="4">
        <v>2</v>
      </c>
      <c r="T360" s="12">
        <f>Tabela32[[#This Row],[Entregas]]-Tabela32[[#This Row],[Realizadas]]</f>
        <v>0</v>
      </c>
      <c r="U360" s="18">
        <f>Tabela32[[#This Row],[Realizadas]]/Tabela32[[#This Row],[Entregas]]</f>
        <v>1</v>
      </c>
      <c r="V360" s="19" t="str">
        <f>IF(Tabela32[[#This Row],[% Entrega]]&gt;=96%,"Atendeu a Meta","Não Atendeu a Meta")</f>
        <v>Atendeu a Meta</v>
      </c>
      <c r="W360" s="4" t="s">
        <v>39</v>
      </c>
      <c r="X360" s="4">
        <v>0</v>
      </c>
      <c r="Y360" s="5">
        <v>0</v>
      </c>
    </row>
    <row r="361" spans="1:25" x14ac:dyDescent="0.25">
      <c r="A361" s="8">
        <v>46286</v>
      </c>
      <c r="B361" s="16">
        <f>YEAR(Tabela32[[#This Row],[Data]])</f>
        <v>2026</v>
      </c>
      <c r="C361" s="16">
        <f>MONTH(Tabela32[[#This Row],[Data]])</f>
        <v>9</v>
      </c>
      <c r="D361" s="4" t="s">
        <v>25</v>
      </c>
      <c r="E361" s="4">
        <v>1</v>
      </c>
      <c r="F361" s="4" t="str">
        <f>IFERROR(VLOOKUP(Tabela32[[#This Row],[Placa]],Planilha2!$A$1:$B$12,2,0),"")</f>
        <v>Gilberto</v>
      </c>
      <c r="G361" s="10">
        <v>7949.91</v>
      </c>
      <c r="H361" s="10">
        <v>124108.67</v>
      </c>
      <c r="I361" s="4">
        <v>1127</v>
      </c>
      <c r="J361" s="17">
        <f>IFERROR(Tabela32[[#This Row],[Valor Frete]]/Tabela32[[#This Row],[Valor Mercadoria]],"")</f>
        <v>6.405604056509509E-2</v>
      </c>
      <c r="K361" s="11">
        <v>0.3125</v>
      </c>
      <c r="L361" s="15">
        <v>0.70833333333333337</v>
      </c>
      <c r="M361" s="15">
        <f>Tabela32[[#This Row],[Hr Chegada]]-Tabela32[[#This Row],[Hr Saida]]</f>
        <v>0.39583333333333337</v>
      </c>
      <c r="N361" s="4">
        <v>120142</v>
      </c>
      <c r="O361" s="4">
        <v>120182</v>
      </c>
      <c r="P361" s="4">
        <f>Tabela32[[#This Row],[Km Chegada]]-Tabela32[[#This Row],[Km Saída]]</f>
        <v>40</v>
      </c>
      <c r="Q361" s="4">
        <v>155</v>
      </c>
      <c r="R361" s="4">
        <v>26</v>
      </c>
      <c r="S361" s="4">
        <v>23</v>
      </c>
      <c r="T361" s="12">
        <f>Tabela32[[#This Row],[Entregas]]-Tabela32[[#This Row],[Realizadas]]</f>
        <v>3</v>
      </c>
      <c r="U361" s="18">
        <f>Tabela32[[#This Row],[Realizadas]]/Tabela32[[#This Row],[Entregas]]</f>
        <v>0.88461538461538458</v>
      </c>
      <c r="V361" s="19" t="str">
        <f>IF(Tabela32[[#This Row],[% Entrega]]&gt;=96%,"Atendeu a Meta","Não Atendeu a Meta")</f>
        <v>Não Atendeu a Meta</v>
      </c>
      <c r="W361" s="4" t="s">
        <v>43</v>
      </c>
      <c r="X361" s="4">
        <v>4</v>
      </c>
      <c r="Y361" s="5" t="s">
        <v>85</v>
      </c>
    </row>
    <row r="362" spans="1:25" x14ac:dyDescent="0.25">
      <c r="A362" s="8">
        <v>46286</v>
      </c>
      <c r="B362" s="16">
        <f>YEAR(Tabela32[[#This Row],[Data]])</f>
        <v>2026</v>
      </c>
      <c r="C362" s="16">
        <f>MONTH(Tabela32[[#This Row],[Data]])</f>
        <v>9</v>
      </c>
      <c r="D362" s="4" t="s">
        <v>31</v>
      </c>
      <c r="E362" s="4">
        <v>5</v>
      </c>
      <c r="F362" s="4" t="str">
        <f>IFERROR(VLOOKUP(Tabela32[[#This Row],[Placa]],Planilha2!$A$1:$B$12,2,0),"")</f>
        <v>Jerson</v>
      </c>
      <c r="G362" s="10">
        <v>5549.43</v>
      </c>
      <c r="H362" s="10">
        <v>94435.31</v>
      </c>
      <c r="I362" s="4">
        <v>541</v>
      </c>
      <c r="J362" s="17">
        <f>IFERROR(Tabela32[[#This Row],[Valor Frete]]/Tabela32[[#This Row],[Valor Mercadoria]],"")</f>
        <v>5.8764354138298489E-2</v>
      </c>
      <c r="K362" s="11">
        <v>0.33333333333333331</v>
      </c>
      <c r="L362" s="15">
        <v>0.71666666666666667</v>
      </c>
      <c r="M362" s="15">
        <f>Tabela32[[#This Row],[Hr Chegada]]-Tabela32[[#This Row],[Hr Saida]]</f>
        <v>0.38333333333333336</v>
      </c>
      <c r="N362" s="4">
        <v>280717</v>
      </c>
      <c r="O362" s="4">
        <v>280801</v>
      </c>
      <c r="P362" s="4">
        <f>Tabela32[[#This Row],[Km Chegada]]-Tabela32[[#This Row],[Km Saída]]</f>
        <v>84</v>
      </c>
      <c r="Q362" s="4">
        <v>108</v>
      </c>
      <c r="R362" s="4">
        <v>31</v>
      </c>
      <c r="S362" s="4">
        <v>31</v>
      </c>
      <c r="T362" s="12">
        <f>Tabela32[[#This Row],[Entregas]]-Tabela32[[#This Row],[Realizadas]]</f>
        <v>0</v>
      </c>
      <c r="U362" s="18">
        <f>Tabela32[[#This Row],[Realizadas]]/Tabela32[[#This Row],[Entregas]]</f>
        <v>1</v>
      </c>
      <c r="V362" s="19" t="str">
        <f>IF(Tabela32[[#This Row],[% Entrega]]&gt;=96%,"Atendeu a Meta","Não Atendeu a Meta")</f>
        <v>Atendeu a Meta</v>
      </c>
      <c r="W362" s="4" t="s">
        <v>39</v>
      </c>
      <c r="X362" s="4">
        <v>1</v>
      </c>
      <c r="Y362" s="5">
        <v>9</v>
      </c>
    </row>
    <row r="363" spans="1:25" x14ac:dyDescent="0.25">
      <c r="A363" s="8">
        <v>46286</v>
      </c>
      <c r="B363" s="16">
        <f>YEAR(Tabela32[[#This Row],[Data]])</f>
        <v>2026</v>
      </c>
      <c r="C363" s="16">
        <f>MONTH(Tabela32[[#This Row],[Data]])</f>
        <v>9</v>
      </c>
      <c r="D363" s="4" t="s">
        <v>28</v>
      </c>
      <c r="E363" s="4">
        <v>1</v>
      </c>
      <c r="F363" s="4" t="str">
        <f>IFERROR(VLOOKUP(Tabela32[[#This Row],[Placa]],Planilha2!$A$1:$B$12,2,0),"")</f>
        <v>Edilson</v>
      </c>
      <c r="G363" s="10">
        <v>29994.17</v>
      </c>
      <c r="H363" s="10">
        <v>232856.46</v>
      </c>
      <c r="I363" s="4">
        <v>3895</v>
      </c>
      <c r="J363" s="17">
        <f>IFERROR(Tabela32[[#This Row],[Valor Frete]]/Tabela32[[#This Row],[Valor Mercadoria]],"")</f>
        <v>0.12880969675481624</v>
      </c>
      <c r="K363" s="11">
        <v>0.29166666666666669</v>
      </c>
      <c r="L363" s="15">
        <v>0.75</v>
      </c>
      <c r="M363" s="15">
        <f>Tabela32[[#This Row],[Hr Chegada]]-Tabela32[[#This Row],[Hr Saida]]</f>
        <v>0.45833333333333331</v>
      </c>
      <c r="N363" s="4">
        <v>105897</v>
      </c>
      <c r="O363" s="4">
        <v>105931</v>
      </c>
      <c r="P363" s="4">
        <f>Tabela32[[#This Row],[Km Chegada]]-Tabela32[[#This Row],[Km Saída]]</f>
        <v>34</v>
      </c>
      <c r="Q363" s="4">
        <v>1187</v>
      </c>
      <c r="R363" s="4">
        <v>1</v>
      </c>
      <c r="S363" s="4">
        <v>1</v>
      </c>
      <c r="T363" s="12">
        <f>Tabela32[[#This Row],[Entregas]]-Tabela32[[#This Row],[Realizadas]]</f>
        <v>0</v>
      </c>
      <c r="U363" s="18">
        <f>Tabela32[[#This Row],[Realizadas]]/Tabela32[[#This Row],[Entregas]]</f>
        <v>1</v>
      </c>
      <c r="V363" s="19" t="str">
        <f>IF(Tabela32[[#This Row],[% Entrega]]&gt;=96%,"Atendeu a Meta","Não Atendeu a Meta")</f>
        <v>Atendeu a Meta</v>
      </c>
      <c r="W363" s="4" t="s">
        <v>40</v>
      </c>
      <c r="X363" s="4">
        <v>0</v>
      </c>
      <c r="Y363" s="5">
        <v>0</v>
      </c>
    </row>
    <row r="364" spans="1:25" x14ac:dyDescent="0.25">
      <c r="A364" s="8">
        <v>46286</v>
      </c>
      <c r="B364" s="16">
        <f>YEAR(Tabela32[[#This Row],[Data]])</f>
        <v>2026</v>
      </c>
      <c r="C364" s="16">
        <f>MONTH(Tabela32[[#This Row],[Data]])</f>
        <v>9</v>
      </c>
      <c r="D364" s="4" t="s">
        <v>27</v>
      </c>
      <c r="E364" s="4">
        <v>4</v>
      </c>
      <c r="F364" s="4" t="str">
        <f>IFERROR(VLOOKUP(Tabela32[[#This Row],[Placa]],Planilha2!$A$1:$B$12,2,0),"")</f>
        <v>Rosinaldo</v>
      </c>
      <c r="G364" s="10">
        <v>8805.2099999999991</v>
      </c>
      <c r="H364" s="10">
        <v>200874.32</v>
      </c>
      <c r="I364" s="4">
        <v>1306</v>
      </c>
      <c r="J364" s="17">
        <f>IFERROR(Tabela32[[#This Row],[Valor Frete]]/Tabela32[[#This Row],[Valor Mercadoria]],"")</f>
        <v>4.3834423434513672E-2</v>
      </c>
      <c r="K364" s="11">
        <v>0.29166666666666669</v>
      </c>
      <c r="L364" s="15">
        <v>0.75208333333333333</v>
      </c>
      <c r="M364" s="15">
        <f>Tabela32[[#This Row],[Hr Chegada]]-Tabela32[[#This Row],[Hr Saida]]</f>
        <v>0.46041666666666664</v>
      </c>
      <c r="N364" s="4">
        <v>291597</v>
      </c>
      <c r="O364" s="4">
        <v>291668</v>
      </c>
      <c r="P364" s="4">
        <f>Tabela32[[#This Row],[Km Chegada]]-Tabela32[[#This Row],[Km Saída]]</f>
        <v>71</v>
      </c>
      <c r="Q364" s="4">
        <v>185</v>
      </c>
      <c r="R364" s="4">
        <v>30</v>
      </c>
      <c r="S364" s="4">
        <v>30</v>
      </c>
      <c r="T364" s="12">
        <f>Tabela32[[#This Row],[Entregas]]-Tabela32[[#This Row],[Realizadas]]</f>
        <v>0</v>
      </c>
      <c r="U364" s="18">
        <f>Tabela32[[#This Row],[Realizadas]]/Tabela32[[#This Row],[Entregas]]</f>
        <v>1</v>
      </c>
      <c r="V364" s="19" t="str">
        <f>IF(Tabela32[[#This Row],[% Entrega]]&gt;=96%,"Atendeu a Meta","Não Atendeu a Meta")</f>
        <v>Atendeu a Meta</v>
      </c>
      <c r="W364" s="4" t="s">
        <v>39</v>
      </c>
      <c r="X364" s="4">
        <v>0</v>
      </c>
      <c r="Y364" s="5">
        <v>0</v>
      </c>
    </row>
    <row r="365" spans="1:25" x14ac:dyDescent="0.25">
      <c r="A365" s="8">
        <v>46286</v>
      </c>
      <c r="B365" s="16">
        <f>YEAR(Tabela32[[#This Row],[Data]])</f>
        <v>2026</v>
      </c>
      <c r="C365" s="16">
        <f>MONTH(Tabela32[[#This Row],[Data]])</f>
        <v>9</v>
      </c>
      <c r="D365" s="4" t="s">
        <v>29</v>
      </c>
      <c r="E365" s="4">
        <v>1</v>
      </c>
      <c r="F365" s="4" t="str">
        <f>IFERROR(VLOOKUP(Tabela32[[#This Row],[Placa]],Planilha2!$A$1:$B$12,2,0),"")</f>
        <v>Sandro</v>
      </c>
      <c r="G365" s="10">
        <v>3409.79</v>
      </c>
      <c r="H365" s="10">
        <v>67607.839999999997</v>
      </c>
      <c r="I365" s="4">
        <v>478</v>
      </c>
      <c r="J365" s="17">
        <f>IFERROR(Tabela32[[#This Row],[Valor Frete]]/Tabela32[[#This Row],[Valor Mercadoria]],"")</f>
        <v>5.0434831226674304E-2</v>
      </c>
      <c r="K365" s="11">
        <v>0.29166666666666669</v>
      </c>
      <c r="L365" s="15">
        <v>0.76041666666666663</v>
      </c>
      <c r="M365" s="15">
        <f>Tabela32[[#This Row],[Hr Chegada]]-Tabela32[[#This Row],[Hr Saida]]</f>
        <v>0.46874999999999994</v>
      </c>
      <c r="N365" s="4">
        <v>275923</v>
      </c>
      <c r="O365" s="4">
        <v>276025</v>
      </c>
      <c r="P365" s="4">
        <f>Tabela32[[#This Row],[Km Chegada]]-Tabela32[[#This Row],[Km Saída]]</f>
        <v>102</v>
      </c>
      <c r="Q365" s="4">
        <v>103</v>
      </c>
      <c r="R365" s="4">
        <v>10</v>
      </c>
      <c r="S365" s="4">
        <v>10</v>
      </c>
      <c r="T365" s="12">
        <f>Tabela32[[#This Row],[Entregas]]-Tabela32[[#This Row],[Realizadas]]</f>
        <v>0</v>
      </c>
      <c r="U365" s="18">
        <f>Tabela32[[#This Row],[Realizadas]]/Tabela32[[#This Row],[Entregas]]</f>
        <v>1</v>
      </c>
      <c r="V365" s="19" t="str">
        <f>IF(Tabela32[[#This Row],[% Entrega]]&gt;=96%,"Atendeu a Meta","Não Atendeu a Meta")</f>
        <v>Atendeu a Meta</v>
      </c>
      <c r="W365" s="4" t="s">
        <v>43</v>
      </c>
      <c r="X365" s="4">
        <v>0</v>
      </c>
      <c r="Y365" s="5">
        <v>0</v>
      </c>
    </row>
    <row r="366" spans="1:25" x14ac:dyDescent="0.25">
      <c r="A366" s="8">
        <v>46284</v>
      </c>
      <c r="B366" s="16">
        <f>YEAR(Tabela32[[#This Row],[Data]])</f>
        <v>2026</v>
      </c>
      <c r="C366" s="16">
        <f>MONTH(Tabela32[[#This Row],[Data]])</f>
        <v>9</v>
      </c>
      <c r="D366" s="4" t="s">
        <v>22</v>
      </c>
      <c r="E366" s="4">
        <v>11</v>
      </c>
      <c r="F366" s="4" t="str">
        <f>IFERROR(VLOOKUP(Tabela32[[#This Row],[Placa]],Planilha2!$A$1:$B$12,2,0),"")</f>
        <v>Wesley</v>
      </c>
      <c r="G366" s="10">
        <v>9000.1200000000008</v>
      </c>
      <c r="H366" s="10">
        <v>133683.42000000001</v>
      </c>
      <c r="I366" s="4">
        <v>1122</v>
      </c>
      <c r="J366" s="17">
        <f>IFERROR(Tabela32[[#This Row],[Valor Frete]]/Tabela32[[#This Row],[Valor Mercadoria]],"")</f>
        <v>6.7324130397023049E-2</v>
      </c>
      <c r="K366" s="11">
        <v>0.27083333333333331</v>
      </c>
      <c r="L366" s="15">
        <v>0.48333333333333334</v>
      </c>
      <c r="M366" s="15">
        <f>Tabela32[[#This Row],[Hr Chegada]]-Tabela32[[#This Row],[Hr Saida]]</f>
        <v>0.21250000000000002</v>
      </c>
      <c r="N366" s="4">
        <v>305140</v>
      </c>
      <c r="O366" s="4">
        <v>305258</v>
      </c>
      <c r="P366" s="4">
        <f>Tabela32[[#This Row],[Km Chegada]]-Tabela32[[#This Row],[Km Saída]]</f>
        <v>118</v>
      </c>
      <c r="Q366" s="4">
        <v>164</v>
      </c>
      <c r="R366" s="4">
        <v>37</v>
      </c>
      <c r="S366" s="4">
        <v>37</v>
      </c>
      <c r="T366" s="12">
        <f>Tabela32[[#This Row],[Entregas]]-Tabela32[[#This Row],[Realizadas]]</f>
        <v>0</v>
      </c>
      <c r="U366" s="18">
        <f>Tabela32[[#This Row],[Realizadas]]/Tabela32[[#This Row],[Entregas]]</f>
        <v>1</v>
      </c>
      <c r="V366" s="19" t="str">
        <f>IF(Tabela32[[#This Row],[% Entrega]]&gt;=96%,"Atendeu a Meta","Não Atendeu a Meta")</f>
        <v>Atendeu a Meta</v>
      </c>
      <c r="W366" s="4" t="s">
        <v>41</v>
      </c>
      <c r="X366" s="4">
        <v>0</v>
      </c>
      <c r="Y366" s="5">
        <v>0</v>
      </c>
    </row>
    <row r="367" spans="1:25" x14ac:dyDescent="0.25">
      <c r="A367" s="8">
        <v>46284</v>
      </c>
      <c r="B367" s="16">
        <f>YEAR(Tabela32[[#This Row],[Data]])</f>
        <v>2026</v>
      </c>
      <c r="C367" s="16">
        <f>MONTH(Tabela32[[#This Row],[Data]])</f>
        <v>9</v>
      </c>
      <c r="D367" s="4" t="s">
        <v>35</v>
      </c>
      <c r="E367" s="4">
        <v>3</v>
      </c>
      <c r="F367" s="4" t="str">
        <f>IFERROR(VLOOKUP(Tabela32[[#This Row],[Placa]],Planilha2!$A$1:$B$12,2,0),"")</f>
        <v>Osvaldo</v>
      </c>
      <c r="G367" s="10">
        <v>4098.82</v>
      </c>
      <c r="H367" s="10">
        <v>104510.87</v>
      </c>
      <c r="I367" s="4">
        <v>726</v>
      </c>
      <c r="J367" s="17">
        <f>IFERROR(Tabela32[[#This Row],[Valor Frete]]/Tabela32[[#This Row],[Valor Mercadoria]],"")</f>
        <v>3.9219078359983034E-2</v>
      </c>
      <c r="K367" s="11">
        <v>0.3125</v>
      </c>
      <c r="L367" s="15">
        <v>0.50416666666666665</v>
      </c>
      <c r="M367" s="15">
        <f>Tabela32[[#This Row],[Hr Chegada]]-Tabela32[[#This Row],[Hr Saida]]</f>
        <v>0.19166666666666665</v>
      </c>
      <c r="N367" s="4">
        <v>143445</v>
      </c>
      <c r="O367" s="4">
        <v>143494</v>
      </c>
      <c r="P367" s="4">
        <f>Tabela32[[#This Row],[Km Chegada]]-Tabela32[[#This Row],[Km Saída]]</f>
        <v>49</v>
      </c>
      <c r="Q367" s="4">
        <v>137</v>
      </c>
      <c r="R367" s="4">
        <v>7</v>
      </c>
      <c r="S367" s="4">
        <v>7</v>
      </c>
      <c r="T367" s="12">
        <f>Tabela32[[#This Row],[Entregas]]-Tabela32[[#This Row],[Realizadas]]</f>
        <v>0</v>
      </c>
      <c r="U367" s="18">
        <f>Tabela32[[#This Row],[Realizadas]]/Tabela32[[#This Row],[Entregas]]</f>
        <v>1</v>
      </c>
      <c r="V367" s="19" t="str">
        <f>IF(Tabela32[[#This Row],[% Entrega]]&gt;=96%,"Atendeu a Meta","Não Atendeu a Meta")</f>
        <v>Atendeu a Meta</v>
      </c>
      <c r="W367" s="4" t="s">
        <v>39</v>
      </c>
      <c r="X367" s="4">
        <v>0</v>
      </c>
      <c r="Y367" s="5">
        <v>0</v>
      </c>
    </row>
    <row r="368" spans="1:25" x14ac:dyDescent="0.25">
      <c r="A368" s="8">
        <v>46284</v>
      </c>
      <c r="B368" s="16">
        <f>YEAR(Tabela32[[#This Row],[Data]])</f>
        <v>2026</v>
      </c>
      <c r="C368" s="16">
        <f>MONTH(Tabela32[[#This Row],[Data]])</f>
        <v>9</v>
      </c>
      <c r="D368" s="4" t="s">
        <v>33</v>
      </c>
      <c r="E368" s="4">
        <v>1</v>
      </c>
      <c r="F368" s="4" t="str">
        <f>IFERROR(VLOOKUP(Tabela32[[#This Row],[Placa]],Planilha2!$A$1:$B$12,2,0),"")</f>
        <v>Paulo</v>
      </c>
      <c r="G368" s="10">
        <v>512.66999999999996</v>
      </c>
      <c r="H368" s="10">
        <v>31213</v>
      </c>
      <c r="I368" s="4">
        <v>62</v>
      </c>
      <c r="J368" s="17">
        <f>IFERROR(Tabela32[[#This Row],[Valor Frete]]/Tabela32[[#This Row],[Valor Mercadoria]],"")</f>
        <v>1.6424887066286482E-2</v>
      </c>
      <c r="K368" s="11">
        <v>0.33333333333333331</v>
      </c>
      <c r="L368" s="15">
        <v>0.45833333333333331</v>
      </c>
      <c r="M368" s="15">
        <f>Tabela32[[#This Row],[Hr Chegada]]-Tabela32[[#This Row],[Hr Saida]]</f>
        <v>0.125</v>
      </c>
      <c r="N368" s="4">
        <v>155756</v>
      </c>
      <c r="O368" s="4">
        <v>155786</v>
      </c>
      <c r="P368" s="4">
        <f>Tabela32[[#This Row],[Km Chegada]]-Tabela32[[#This Row],[Km Saída]]</f>
        <v>30</v>
      </c>
      <c r="Q368" s="4">
        <v>20</v>
      </c>
      <c r="R368" s="4">
        <v>1</v>
      </c>
      <c r="S368" s="4">
        <v>1</v>
      </c>
      <c r="T368" s="12">
        <f>Tabela32[[#This Row],[Entregas]]-Tabela32[[#This Row],[Realizadas]]</f>
        <v>0</v>
      </c>
      <c r="U368" s="18">
        <f>Tabela32[[#This Row],[Realizadas]]/Tabela32[[#This Row],[Entregas]]</f>
        <v>1</v>
      </c>
      <c r="V368" s="19" t="str">
        <f>IF(Tabela32[[#This Row],[% Entrega]]&gt;=96%,"Atendeu a Meta","Não Atendeu a Meta")</f>
        <v>Atendeu a Meta</v>
      </c>
      <c r="W368" s="4" t="s">
        <v>40</v>
      </c>
      <c r="X368" s="4">
        <v>0</v>
      </c>
      <c r="Y368" s="5">
        <v>0</v>
      </c>
    </row>
    <row r="369" spans="1:25" x14ac:dyDescent="0.25">
      <c r="A369" s="8">
        <v>46287</v>
      </c>
      <c r="B369" s="16">
        <f>YEAR(Tabela32[[#This Row],[Data]])</f>
        <v>2026</v>
      </c>
      <c r="C369" s="16">
        <f>MONTH(Tabela32[[#This Row],[Data]])</f>
        <v>9</v>
      </c>
      <c r="D369" s="4" t="s">
        <v>31</v>
      </c>
      <c r="E369" s="4">
        <v>5</v>
      </c>
      <c r="F369" s="4" t="str">
        <f>IFERROR(VLOOKUP(Tabela32[[#This Row],[Placa]],Planilha2!$A$1:$B$12,2,0),"")</f>
        <v>Jerson</v>
      </c>
      <c r="G369" s="10">
        <v>4644.68</v>
      </c>
      <c r="H369" s="10">
        <v>94224.9</v>
      </c>
      <c r="I369" s="4">
        <v>913</v>
      </c>
      <c r="J369" s="17">
        <f>IFERROR(Tabela32[[#This Row],[Valor Frete]]/Tabela32[[#This Row],[Valor Mercadoria]],"")</f>
        <v>4.929355191674388E-2</v>
      </c>
      <c r="K369" s="11">
        <v>0.30208333333333331</v>
      </c>
      <c r="L369" s="15">
        <v>0.75</v>
      </c>
      <c r="M369" s="15">
        <f>Tabela32[[#This Row],[Hr Chegada]]-Tabela32[[#This Row],[Hr Saida]]</f>
        <v>0.44791666666666669</v>
      </c>
      <c r="N369" s="4">
        <v>280801</v>
      </c>
      <c r="O369" s="4">
        <v>280890</v>
      </c>
      <c r="P369" s="4">
        <f>Tabela32[[#This Row],[Km Chegada]]-Tabela32[[#This Row],[Km Saída]]</f>
        <v>89</v>
      </c>
      <c r="Q369" s="4">
        <v>201</v>
      </c>
      <c r="R369" s="4">
        <v>13</v>
      </c>
      <c r="S369" s="4">
        <v>13</v>
      </c>
      <c r="T369" s="12">
        <f>Tabela32[[#This Row],[Entregas]]-Tabela32[[#This Row],[Realizadas]]</f>
        <v>0</v>
      </c>
      <c r="U369" s="18">
        <f>Tabela32[[#This Row],[Realizadas]]/Tabela32[[#This Row],[Entregas]]</f>
        <v>1</v>
      </c>
      <c r="V369" s="19" t="str">
        <f>IF(Tabela32[[#This Row],[% Entrega]]&gt;=96%,"Atendeu a Meta","Não Atendeu a Meta")</f>
        <v>Atendeu a Meta</v>
      </c>
      <c r="W369" s="4" t="s">
        <v>39</v>
      </c>
      <c r="X369" s="4">
        <v>0</v>
      </c>
      <c r="Y369" s="5">
        <v>0</v>
      </c>
    </row>
    <row r="370" spans="1:25" x14ac:dyDescent="0.25">
      <c r="A370" s="8">
        <v>46287</v>
      </c>
      <c r="B370" s="16">
        <f>YEAR(Tabela32[[#This Row],[Data]])</f>
        <v>2026</v>
      </c>
      <c r="C370" s="16">
        <f>MONTH(Tabela32[[#This Row],[Data]])</f>
        <v>9</v>
      </c>
      <c r="D370" s="4" t="s">
        <v>29</v>
      </c>
      <c r="E370" s="4">
        <v>3</v>
      </c>
      <c r="F370" s="4" t="str">
        <f>IFERROR(VLOOKUP(Tabela32[[#This Row],[Placa]],Planilha2!$A$1:$B$12,2,0),"")</f>
        <v>Sandro</v>
      </c>
      <c r="G370" s="10">
        <v>7506.49</v>
      </c>
      <c r="H370" s="10">
        <v>202005.7</v>
      </c>
      <c r="I370" s="4">
        <v>1611</v>
      </c>
      <c r="J370" s="17">
        <f>IFERROR(Tabela32[[#This Row],[Valor Frete]]/Tabela32[[#This Row],[Valor Mercadoria]],"")</f>
        <v>3.7159793015741634E-2</v>
      </c>
      <c r="K370" s="11">
        <v>0.29166666666666669</v>
      </c>
      <c r="L370" s="15">
        <v>0.80902777777777779</v>
      </c>
      <c r="M370" s="15">
        <f>Tabela32[[#This Row],[Hr Chegada]]-Tabela32[[#This Row],[Hr Saida]]</f>
        <v>0.51736111111111116</v>
      </c>
      <c r="N370" s="4">
        <v>276025</v>
      </c>
      <c r="O370" s="4">
        <v>276067</v>
      </c>
      <c r="P370" s="4">
        <f>Tabela32[[#This Row],[Km Chegada]]-Tabela32[[#This Row],[Km Saída]]</f>
        <v>42</v>
      </c>
      <c r="Q370" s="4">
        <v>3</v>
      </c>
      <c r="R370" s="4">
        <v>1</v>
      </c>
      <c r="S370" s="4">
        <v>1</v>
      </c>
      <c r="T370" s="12">
        <f>Tabela32[[#This Row],[Entregas]]-Tabela32[[#This Row],[Realizadas]]</f>
        <v>0</v>
      </c>
      <c r="U370" s="18">
        <f>Tabela32[[#This Row],[Realizadas]]/Tabela32[[#This Row],[Entregas]]</f>
        <v>1</v>
      </c>
      <c r="V370" s="19" t="str">
        <f>IF(Tabela32[[#This Row],[% Entrega]]&gt;=96%,"Atendeu a Meta","Não Atendeu a Meta")</f>
        <v>Atendeu a Meta</v>
      </c>
      <c r="W370" s="4" t="s">
        <v>40</v>
      </c>
      <c r="X370" s="4">
        <v>0</v>
      </c>
      <c r="Y370" s="5">
        <v>0</v>
      </c>
    </row>
    <row r="371" spans="1:25" x14ac:dyDescent="0.25">
      <c r="A371" s="8">
        <v>46287</v>
      </c>
      <c r="B371" s="16">
        <f>YEAR(Tabela32[[#This Row],[Data]])</f>
        <v>2026</v>
      </c>
      <c r="C371" s="16">
        <f>MONTH(Tabela32[[#This Row],[Data]])</f>
        <v>9</v>
      </c>
      <c r="D371" s="4" t="s">
        <v>27</v>
      </c>
      <c r="E371" s="4">
        <v>1</v>
      </c>
      <c r="F371" s="4" t="str">
        <f>IFERROR(VLOOKUP(Tabela32[[#This Row],[Placa]],Planilha2!$A$1:$B$12,2,0),"")</f>
        <v>Rosinaldo</v>
      </c>
      <c r="G371" s="10">
        <v>4164.1000000000004</v>
      </c>
      <c r="H371" s="10">
        <v>43167.4</v>
      </c>
      <c r="I371" s="4">
        <v>778</v>
      </c>
      <c r="J371" s="17">
        <f>IFERROR(Tabela32[[#This Row],[Valor Frete]]/Tabela32[[#This Row],[Valor Mercadoria]],"")</f>
        <v>9.6463998295009665E-2</v>
      </c>
      <c r="K371" s="11">
        <v>0.29166666666666669</v>
      </c>
      <c r="L371" s="15">
        <v>0.66388888888888886</v>
      </c>
      <c r="M371" s="15">
        <f>Tabela32[[#This Row],[Hr Chegada]]-Tabela32[[#This Row],[Hr Saida]]</f>
        <v>0.37222222222222218</v>
      </c>
      <c r="N371" s="4">
        <v>291668</v>
      </c>
      <c r="O371" s="4">
        <v>291707</v>
      </c>
      <c r="P371" s="4">
        <f>Tabela32[[#This Row],[Km Chegada]]-Tabela32[[#This Row],[Km Saída]]</f>
        <v>39</v>
      </c>
      <c r="Q371" s="4">
        <v>155</v>
      </c>
      <c r="R371" s="4">
        <v>6</v>
      </c>
      <c r="S371" s="4">
        <v>6</v>
      </c>
      <c r="T371" s="12">
        <f>Tabela32[[#This Row],[Entregas]]-Tabela32[[#This Row],[Realizadas]]</f>
        <v>0</v>
      </c>
      <c r="U371" s="18">
        <f>Tabela32[[#This Row],[Realizadas]]/Tabela32[[#This Row],[Entregas]]</f>
        <v>1</v>
      </c>
      <c r="V371" s="19" t="str">
        <f>IF(Tabela32[[#This Row],[% Entrega]]&gt;=96%,"Atendeu a Meta","Não Atendeu a Meta")</f>
        <v>Atendeu a Meta</v>
      </c>
      <c r="W371" s="4" t="s">
        <v>43</v>
      </c>
      <c r="X371" s="4">
        <v>0</v>
      </c>
      <c r="Y371" s="5">
        <v>0</v>
      </c>
    </row>
    <row r="372" spans="1:25" x14ac:dyDescent="0.25">
      <c r="A372" s="8">
        <v>46287</v>
      </c>
      <c r="B372" s="16">
        <f>YEAR(Tabela32[[#This Row],[Data]])</f>
        <v>2026</v>
      </c>
      <c r="C372" s="16">
        <f>MONTH(Tabela32[[#This Row],[Data]])</f>
        <v>9</v>
      </c>
      <c r="D372" s="4" t="s">
        <v>35</v>
      </c>
      <c r="E372" s="4">
        <v>1</v>
      </c>
      <c r="F372" s="4" t="str">
        <f>IFERROR(VLOOKUP(Tabela32[[#This Row],[Placa]],Planilha2!$A$1:$B$12,2,0),"")</f>
        <v>Osvaldo</v>
      </c>
      <c r="G372" s="10">
        <v>6513.12</v>
      </c>
      <c r="H372" s="10">
        <v>54219.19</v>
      </c>
      <c r="I372" s="4">
        <v>229</v>
      </c>
      <c r="J372" s="17">
        <f>IFERROR(Tabela32[[#This Row],[Valor Frete]]/Tabela32[[#This Row],[Valor Mercadoria]],"")</f>
        <v>0.12012573408049806</v>
      </c>
      <c r="K372" s="11">
        <v>0.29166666666666669</v>
      </c>
      <c r="L372" s="15">
        <v>0.71666666666666667</v>
      </c>
      <c r="M372" s="15">
        <f>Tabela32[[#This Row],[Hr Chegada]]-Tabela32[[#This Row],[Hr Saida]]</f>
        <v>0.42499999999999999</v>
      </c>
      <c r="N372" s="4">
        <v>143560</v>
      </c>
      <c r="O372" s="4">
        <v>143701</v>
      </c>
      <c r="P372" s="4">
        <f>Tabela32[[#This Row],[Km Chegada]]-Tabela32[[#This Row],[Km Saída]]</f>
        <v>141</v>
      </c>
      <c r="Q372" s="4">
        <v>229</v>
      </c>
      <c r="R372" s="4">
        <v>10</v>
      </c>
      <c r="S372" s="4">
        <v>10</v>
      </c>
      <c r="T372" s="12">
        <f>Tabela32[[#This Row],[Entregas]]-Tabela32[[#This Row],[Realizadas]]</f>
        <v>0</v>
      </c>
      <c r="U372" s="18">
        <f>Tabela32[[#This Row],[Realizadas]]/Tabela32[[#This Row],[Entregas]]</f>
        <v>1</v>
      </c>
      <c r="V372" s="19" t="str">
        <f>IF(Tabela32[[#This Row],[% Entrega]]&gt;=96%,"Atendeu a Meta","Não Atendeu a Meta")</f>
        <v>Atendeu a Meta</v>
      </c>
      <c r="W372" s="4" t="s">
        <v>40</v>
      </c>
      <c r="X372" s="4">
        <v>4</v>
      </c>
      <c r="Y372" s="5" t="s">
        <v>86</v>
      </c>
    </row>
    <row r="373" spans="1:25" x14ac:dyDescent="0.25">
      <c r="A373" s="8">
        <v>46287</v>
      </c>
      <c r="B373" s="16">
        <f>YEAR(Tabela32[[#This Row],[Data]])</f>
        <v>2026</v>
      </c>
      <c r="C373" s="16">
        <f>MONTH(Tabela32[[#This Row],[Data]])</f>
        <v>9</v>
      </c>
      <c r="D373" s="4" t="s">
        <v>25</v>
      </c>
      <c r="E373" s="4">
        <v>3</v>
      </c>
      <c r="F373" s="4" t="str">
        <f>IFERROR(VLOOKUP(Tabela32[[#This Row],[Placa]],Planilha2!$A$1:$B$12,2,0),"")</f>
        <v>Gilberto</v>
      </c>
      <c r="G373" s="10">
        <v>503.65</v>
      </c>
      <c r="H373" s="10">
        <v>7881.12</v>
      </c>
      <c r="I373" s="4">
        <v>28</v>
      </c>
      <c r="J373" s="17">
        <f>IFERROR(Tabela32[[#This Row],[Valor Frete]]/Tabela32[[#This Row],[Valor Mercadoria]],"")</f>
        <v>6.3905891548409366E-2</v>
      </c>
      <c r="K373" s="11">
        <v>0.41666666666666669</v>
      </c>
      <c r="L373" s="15">
        <v>0.53125</v>
      </c>
      <c r="M373" s="15">
        <f>Tabela32[[#This Row],[Hr Chegada]]-Tabela32[[#This Row],[Hr Saida]]</f>
        <v>0.11458333333333331</v>
      </c>
      <c r="N373" s="4">
        <v>120182</v>
      </c>
      <c r="O373" s="4">
        <v>120198</v>
      </c>
      <c r="P373" s="4">
        <f>Tabela32[[#This Row],[Km Chegada]]-Tabela32[[#This Row],[Km Saída]]</f>
        <v>16</v>
      </c>
      <c r="Q373" s="4">
        <v>4</v>
      </c>
      <c r="R373" s="4">
        <v>2</v>
      </c>
      <c r="S373" s="4">
        <v>2</v>
      </c>
      <c r="T373" s="12">
        <f>Tabela32[[#This Row],[Entregas]]-Tabela32[[#This Row],[Realizadas]]</f>
        <v>0</v>
      </c>
      <c r="U373" s="18">
        <f>Tabela32[[#This Row],[Realizadas]]/Tabela32[[#This Row],[Entregas]]</f>
        <v>1</v>
      </c>
      <c r="V373" s="19" t="str">
        <f>IF(Tabela32[[#This Row],[% Entrega]]&gt;=96%,"Atendeu a Meta","Não Atendeu a Meta")</f>
        <v>Atendeu a Meta</v>
      </c>
      <c r="W373" s="4" t="s">
        <v>39</v>
      </c>
      <c r="X373" s="4">
        <v>0</v>
      </c>
      <c r="Y373" s="5">
        <v>0</v>
      </c>
    </row>
    <row r="374" spans="1:25" x14ac:dyDescent="0.25">
      <c r="A374" s="8">
        <v>46287</v>
      </c>
      <c r="B374" s="16">
        <f>YEAR(Tabela32[[#This Row],[Data]])</f>
        <v>2026</v>
      </c>
      <c r="C374" s="16">
        <f>MONTH(Tabela32[[#This Row],[Data]])</f>
        <v>9</v>
      </c>
      <c r="D374" s="4" t="s">
        <v>36</v>
      </c>
      <c r="E374" s="4">
        <v>5</v>
      </c>
      <c r="F374" s="4" t="str">
        <f>IFERROR(VLOOKUP(Tabela32[[#This Row],[Placa]],Planilha2!$A$1:$B$12,2,0),"")</f>
        <v>Heremilton</v>
      </c>
      <c r="G374" s="10">
        <v>34255.589999999997</v>
      </c>
      <c r="H374" s="10">
        <v>676663.59</v>
      </c>
      <c r="I374" s="4">
        <v>8307</v>
      </c>
      <c r="J374" s="17">
        <f>IFERROR(Tabela32[[#This Row],[Valor Frete]]/Tabela32[[#This Row],[Valor Mercadoria]],"")</f>
        <v>5.0624254808803879E-2</v>
      </c>
      <c r="K374" s="11">
        <v>0.27569444444444446</v>
      </c>
      <c r="L374" s="15">
        <v>0.64583333333333337</v>
      </c>
      <c r="M374" s="15">
        <f>Tabela32[[#This Row],[Hr Chegada]]-Tabela32[[#This Row],[Hr Saida]]</f>
        <v>0.37013888888888891</v>
      </c>
      <c r="N374" s="4">
        <v>366295</v>
      </c>
      <c r="O374" s="4">
        <v>366330</v>
      </c>
      <c r="P374" s="4">
        <f>Tabela32[[#This Row],[Km Chegada]]-Tabela32[[#This Row],[Km Saída]]</f>
        <v>35</v>
      </c>
      <c r="Q374" s="4">
        <v>1640</v>
      </c>
      <c r="R374" s="4">
        <v>10</v>
      </c>
      <c r="S374" s="4">
        <v>10</v>
      </c>
      <c r="T374" s="12">
        <f>Tabela32[[#This Row],[Entregas]]-Tabela32[[#This Row],[Realizadas]]</f>
        <v>0</v>
      </c>
      <c r="U374" s="18">
        <f>Tabela32[[#This Row],[Realizadas]]/Tabela32[[#This Row],[Entregas]]</f>
        <v>1</v>
      </c>
      <c r="V374" s="19" t="str">
        <f>IF(Tabela32[[#This Row],[% Entrega]]&gt;=96%,"Atendeu a Meta","Não Atendeu a Meta")</f>
        <v>Atendeu a Meta</v>
      </c>
      <c r="W374" s="4" t="s">
        <v>39</v>
      </c>
      <c r="X374" s="4">
        <v>0</v>
      </c>
      <c r="Y374" s="5">
        <v>0</v>
      </c>
    </row>
    <row r="375" spans="1:25" x14ac:dyDescent="0.25">
      <c r="A375" s="8">
        <v>46287</v>
      </c>
      <c r="B375" s="16">
        <f>YEAR(Tabela32[[#This Row],[Data]])</f>
        <v>2026</v>
      </c>
      <c r="C375" s="16">
        <f>MONTH(Tabela32[[#This Row],[Data]])</f>
        <v>9</v>
      </c>
      <c r="D375" s="4" t="s">
        <v>23</v>
      </c>
      <c r="E375" s="4">
        <v>1</v>
      </c>
      <c r="F375" s="4" t="str">
        <f>IFERROR(VLOOKUP(Tabela32[[#This Row],[Placa]],Planilha2!$A$1:$B$12,2,0),"")</f>
        <v>William</v>
      </c>
      <c r="G375" s="10">
        <v>6596.24</v>
      </c>
      <c r="H375" s="10">
        <v>24651.56</v>
      </c>
      <c r="I375" s="4">
        <v>743</v>
      </c>
      <c r="J375" s="17">
        <f>IFERROR(Tabela32[[#This Row],[Valor Frete]]/Tabela32[[#This Row],[Valor Mercadoria]],"")</f>
        <v>0.2675790091986065</v>
      </c>
      <c r="K375" s="11">
        <v>0.3125</v>
      </c>
      <c r="L375" s="15">
        <v>0.72916666666666663</v>
      </c>
      <c r="M375" s="15">
        <f>Tabela32[[#This Row],[Hr Chegada]]-Tabela32[[#This Row],[Hr Saida]]</f>
        <v>0.41666666666666663</v>
      </c>
      <c r="N375" s="4">
        <v>125748</v>
      </c>
      <c r="O375" s="4">
        <v>125778</v>
      </c>
      <c r="P375" s="4">
        <f>Tabela32[[#This Row],[Km Chegada]]-Tabela32[[#This Row],[Km Saída]]</f>
        <v>30</v>
      </c>
      <c r="Q375" s="4">
        <v>366</v>
      </c>
      <c r="R375" s="4">
        <v>1</v>
      </c>
      <c r="S375" s="4">
        <v>1</v>
      </c>
      <c r="T375" s="12">
        <f>Tabela32[[#This Row],[Entregas]]-Tabela32[[#This Row],[Realizadas]]</f>
        <v>0</v>
      </c>
      <c r="U375" s="18">
        <f>Tabela32[[#This Row],[Realizadas]]/Tabela32[[#This Row],[Entregas]]</f>
        <v>1</v>
      </c>
      <c r="V375" s="19" t="str">
        <f>IF(Tabela32[[#This Row],[% Entrega]]&gt;=96%,"Atendeu a Meta","Não Atendeu a Meta")</f>
        <v>Atendeu a Meta</v>
      </c>
      <c r="W375" s="4" t="s">
        <v>40</v>
      </c>
      <c r="X375" s="4">
        <v>0</v>
      </c>
      <c r="Y375" s="5">
        <v>0</v>
      </c>
    </row>
    <row r="376" spans="1:25" x14ac:dyDescent="0.25">
      <c r="A376" s="8">
        <v>46287</v>
      </c>
      <c r="B376" s="16">
        <f>YEAR(Tabela32[[#This Row],[Data]])</f>
        <v>2026</v>
      </c>
      <c r="C376" s="16">
        <f>MONTH(Tabela32[[#This Row],[Data]])</f>
        <v>9</v>
      </c>
      <c r="D376" s="4" t="s">
        <v>33</v>
      </c>
      <c r="E376" s="4">
        <v>1</v>
      </c>
      <c r="F376" s="4" t="str">
        <f>IFERROR(VLOOKUP(Tabela32[[#This Row],[Placa]],Planilha2!$A$1:$B$12,2,0),"")</f>
        <v>Paulo</v>
      </c>
      <c r="G376" s="10">
        <v>1974.29</v>
      </c>
      <c r="H376" s="10">
        <v>76472.990000000005</v>
      </c>
      <c r="I376" s="4">
        <v>195</v>
      </c>
      <c r="J376" s="17">
        <f>IFERROR(Tabela32[[#This Row],[Valor Frete]]/Tabela32[[#This Row],[Valor Mercadoria]],"")</f>
        <v>2.5816827614560379E-2</v>
      </c>
      <c r="K376" s="11">
        <v>0.29583333333333334</v>
      </c>
      <c r="L376" s="15">
        <v>0.5625</v>
      </c>
      <c r="M376" s="15">
        <f>Tabela32[[#This Row],[Hr Chegada]]-Tabela32[[#This Row],[Hr Saida]]</f>
        <v>0.26666666666666666</v>
      </c>
      <c r="N376" s="4">
        <v>155978</v>
      </c>
      <c r="O376" s="4">
        <v>156013</v>
      </c>
      <c r="P376" s="4">
        <f>Tabela32[[#This Row],[Km Chegada]]-Tabela32[[#This Row],[Km Saída]]</f>
        <v>35</v>
      </c>
      <c r="Q376" s="4">
        <v>63</v>
      </c>
      <c r="R376" s="4">
        <v>3</v>
      </c>
      <c r="S376" s="4">
        <v>3</v>
      </c>
      <c r="T376" s="12">
        <f>Tabela32[[#This Row],[Entregas]]-Tabela32[[#This Row],[Realizadas]]</f>
        <v>0</v>
      </c>
      <c r="U376" s="18">
        <f>Tabela32[[#This Row],[Realizadas]]/Tabela32[[#This Row],[Entregas]]</f>
        <v>1</v>
      </c>
      <c r="V376" s="19" t="str">
        <f>IF(Tabela32[[#This Row],[% Entrega]]&gt;=96%,"Atendeu a Meta","Não Atendeu a Meta")</f>
        <v>Atendeu a Meta</v>
      </c>
      <c r="W376" s="4" t="s">
        <v>40</v>
      </c>
      <c r="X376" s="4">
        <v>0</v>
      </c>
      <c r="Y376" s="5">
        <v>0</v>
      </c>
    </row>
    <row r="377" spans="1:25" x14ac:dyDescent="0.25">
      <c r="A377" s="8">
        <v>46287</v>
      </c>
      <c r="B377" s="16">
        <f>YEAR(Tabela32[[#This Row],[Data]])</f>
        <v>2026</v>
      </c>
      <c r="C377" s="16">
        <f>MONTH(Tabela32[[#This Row],[Data]])</f>
        <v>9</v>
      </c>
      <c r="D377" s="4" t="s">
        <v>53</v>
      </c>
      <c r="E377" s="4">
        <v>3</v>
      </c>
      <c r="F377" s="4" t="str">
        <f>IFERROR(VLOOKUP(Tabela32[[#This Row],[Placa]],Planilha2!$A$1:$B$12,2,0),"")</f>
        <v>Arnaldo</v>
      </c>
      <c r="G377" s="10">
        <v>7055.93</v>
      </c>
      <c r="H377" s="10">
        <v>114579.97</v>
      </c>
      <c r="I377" s="4">
        <v>1549</v>
      </c>
      <c r="J377" s="17">
        <f>IFERROR(Tabela32[[#This Row],[Valor Frete]]/Tabela32[[#This Row],[Valor Mercadoria]],"")</f>
        <v>6.158083301994232E-2</v>
      </c>
      <c r="K377" s="11">
        <v>0.2986111111111111</v>
      </c>
      <c r="L377" s="15">
        <v>0.81805555555555554</v>
      </c>
      <c r="M377" s="15">
        <f>Tabela32[[#This Row],[Hr Chegada]]-Tabela32[[#This Row],[Hr Saida]]</f>
        <v>0.51944444444444438</v>
      </c>
      <c r="N377" s="4">
        <v>13972</v>
      </c>
      <c r="O377" s="4">
        <v>14008</v>
      </c>
      <c r="P377" s="4">
        <f>Tabela32[[#This Row],[Km Chegada]]-Tabela32[[#This Row],[Km Saída]]</f>
        <v>36</v>
      </c>
      <c r="Q377" s="4">
        <v>301</v>
      </c>
      <c r="R377" s="4">
        <v>22</v>
      </c>
      <c r="S377" s="4">
        <v>18</v>
      </c>
      <c r="T377" s="12">
        <f>Tabela32[[#This Row],[Entregas]]-Tabela32[[#This Row],[Realizadas]]</f>
        <v>4</v>
      </c>
      <c r="U377" s="18">
        <f>Tabela32[[#This Row],[Realizadas]]/Tabela32[[#This Row],[Entregas]]</f>
        <v>0.81818181818181823</v>
      </c>
      <c r="V377" s="19" t="str">
        <f>IF(Tabela32[[#This Row],[% Entrega]]&gt;=96%,"Atendeu a Meta","Não Atendeu a Meta")</f>
        <v>Não Atendeu a Meta</v>
      </c>
      <c r="W377" s="4" t="s">
        <v>39</v>
      </c>
      <c r="X377" s="4">
        <v>5</v>
      </c>
      <c r="Y377" s="5" t="s">
        <v>87</v>
      </c>
    </row>
    <row r="378" spans="1:25" x14ac:dyDescent="0.25">
      <c r="A378" s="8">
        <v>46287</v>
      </c>
      <c r="B378" s="16">
        <f>YEAR(Tabela32[[#This Row],[Data]])</f>
        <v>2026</v>
      </c>
      <c r="C378" s="16">
        <f>MONTH(Tabela32[[#This Row],[Data]])</f>
        <v>9</v>
      </c>
      <c r="D378" s="4" t="s">
        <v>28</v>
      </c>
      <c r="E378" s="4">
        <v>11</v>
      </c>
      <c r="F378" s="4" t="str">
        <f>IFERROR(VLOOKUP(Tabela32[[#This Row],[Placa]],Planilha2!$A$1:$B$12,2,0),"")</f>
        <v>Edilson</v>
      </c>
      <c r="G378" s="10">
        <v>30371.46</v>
      </c>
      <c r="H378" s="10">
        <v>407002.73</v>
      </c>
      <c r="I378" s="4">
        <v>6712</v>
      </c>
      <c r="J378" s="17">
        <f>IFERROR(Tabela32[[#This Row],[Valor Frete]]/Tabela32[[#This Row],[Valor Mercadoria]],"")</f>
        <v>7.4622251305292223E-2</v>
      </c>
      <c r="K378" s="11">
        <v>0.27083333333333331</v>
      </c>
      <c r="L378" s="15">
        <v>0.82430555555555551</v>
      </c>
      <c r="M378" s="15">
        <f>Tabela32[[#This Row],[Hr Chegada]]-Tabela32[[#This Row],[Hr Saida]]</f>
        <v>0.55347222222222214</v>
      </c>
      <c r="N378" s="4">
        <v>105897</v>
      </c>
      <c r="O378" s="4">
        <v>106073</v>
      </c>
      <c r="P378" s="4">
        <f>Tabela32[[#This Row],[Km Chegada]]-Tabela32[[#This Row],[Km Saída]]</f>
        <v>176</v>
      </c>
      <c r="Q378" s="4">
        <v>951</v>
      </c>
      <c r="R378" s="4">
        <v>23</v>
      </c>
      <c r="S378" s="4">
        <v>23</v>
      </c>
      <c r="T378" s="12">
        <f>Tabela32[[#This Row],[Entregas]]-Tabela32[[#This Row],[Realizadas]]</f>
        <v>0</v>
      </c>
      <c r="U378" s="18">
        <f>Tabela32[[#This Row],[Realizadas]]/Tabela32[[#This Row],[Entregas]]</f>
        <v>1</v>
      </c>
      <c r="V378" s="19" t="str">
        <f>IF(Tabela32[[#This Row],[% Entrega]]&gt;=96%,"Atendeu a Meta","Não Atendeu a Meta")</f>
        <v>Atendeu a Meta</v>
      </c>
      <c r="W378" s="4" t="s">
        <v>41</v>
      </c>
      <c r="X378" s="4">
        <v>0</v>
      </c>
      <c r="Y378" s="5">
        <v>0</v>
      </c>
    </row>
    <row r="379" spans="1:25" x14ac:dyDescent="0.25">
      <c r="A379" s="8">
        <v>46287</v>
      </c>
      <c r="B379" s="16">
        <f>YEAR(Tabela32[[#This Row],[Data]])</f>
        <v>2026</v>
      </c>
      <c r="C379" s="16">
        <f>MONTH(Tabela32[[#This Row],[Data]])</f>
        <v>9</v>
      </c>
      <c r="D379" s="4" t="s">
        <v>33</v>
      </c>
      <c r="E379" s="4">
        <v>1</v>
      </c>
      <c r="F379" s="4" t="str">
        <f>IFERROR(VLOOKUP(Tabela32[[#This Row],[Placa]],Planilha2!$A$1:$B$12,2,0),"")</f>
        <v>Paulo</v>
      </c>
      <c r="G379" s="10">
        <v>1536.76</v>
      </c>
      <c r="H379" s="10">
        <v>27858.75</v>
      </c>
      <c r="I379" s="4">
        <v>286</v>
      </c>
      <c r="J379" s="17">
        <f>IFERROR(Tabela32[[#This Row],[Valor Frete]]/Tabela32[[#This Row],[Valor Mercadoria]],"")</f>
        <v>5.5162561134293533E-2</v>
      </c>
      <c r="K379" s="11">
        <v>0.59375</v>
      </c>
      <c r="L379" s="15">
        <v>0.72569444444444442</v>
      </c>
      <c r="M379" s="15">
        <f>Tabela32[[#This Row],[Hr Chegada]]-Tabela32[[#This Row],[Hr Saida]]</f>
        <v>0.13194444444444442</v>
      </c>
      <c r="N379" s="4">
        <v>156013</v>
      </c>
      <c r="O379" s="4">
        <v>156044</v>
      </c>
      <c r="P379" s="4">
        <f>Tabela32[[#This Row],[Km Chegada]]-Tabela32[[#This Row],[Km Saída]]</f>
        <v>31</v>
      </c>
      <c r="Q379" s="4">
        <v>32</v>
      </c>
      <c r="R379" s="4">
        <v>6</v>
      </c>
      <c r="S379" s="4">
        <v>6</v>
      </c>
      <c r="T379" s="12">
        <f>Tabela32[[#This Row],[Entregas]]-Tabela32[[#This Row],[Realizadas]]</f>
        <v>0</v>
      </c>
      <c r="U379" s="18">
        <f>Tabela32[[#This Row],[Realizadas]]/Tabela32[[#This Row],[Entregas]]</f>
        <v>1</v>
      </c>
      <c r="V379" s="19" t="str">
        <f>IF(Tabela32[[#This Row],[% Entrega]]&gt;=96%,"Atendeu a Meta","Não Atendeu a Meta")</f>
        <v>Atendeu a Meta</v>
      </c>
      <c r="W379" s="4" t="s">
        <v>43</v>
      </c>
      <c r="X379" s="4">
        <v>0</v>
      </c>
      <c r="Y379" s="5">
        <v>0</v>
      </c>
    </row>
    <row r="380" spans="1:25" x14ac:dyDescent="0.25">
      <c r="A380" s="8">
        <v>46287</v>
      </c>
      <c r="B380" s="16">
        <f>YEAR(Tabela32[[#This Row],[Data]])</f>
        <v>2026</v>
      </c>
      <c r="C380" s="16">
        <f>MONTH(Tabela32[[#This Row],[Data]])</f>
        <v>9</v>
      </c>
      <c r="D380" s="4" t="s">
        <v>22</v>
      </c>
      <c r="E380" s="4">
        <v>2</v>
      </c>
      <c r="F380" s="4" t="str">
        <f>IFERROR(VLOOKUP(Tabela32[[#This Row],[Placa]],Planilha2!$A$1:$B$12,2,0),"")</f>
        <v>Wesley</v>
      </c>
      <c r="G380" s="10">
        <v>8171.1</v>
      </c>
      <c r="H380" s="10">
        <v>181524.78</v>
      </c>
      <c r="I380" s="4">
        <v>1715</v>
      </c>
      <c r="J380" s="17">
        <f>IFERROR(Tabela32[[#This Row],[Valor Frete]]/Tabela32[[#This Row],[Valor Mercadoria]],"")</f>
        <v>4.5013689040140969E-2</v>
      </c>
      <c r="K380" s="11">
        <v>0.27083333333333331</v>
      </c>
      <c r="L380" s="15">
        <v>0.70833333333333337</v>
      </c>
      <c r="M380" s="15">
        <f>Tabela32[[#This Row],[Hr Chegada]]-Tabela32[[#This Row],[Hr Saida]]</f>
        <v>0.43750000000000006</v>
      </c>
      <c r="N380" s="4">
        <v>305309</v>
      </c>
      <c r="O380" s="4">
        <v>305368</v>
      </c>
      <c r="P380" s="4">
        <f>Tabela32[[#This Row],[Km Chegada]]-Tabela32[[#This Row],[Km Saída]]</f>
        <v>59</v>
      </c>
      <c r="Q380" s="4">
        <v>299</v>
      </c>
      <c r="R380" s="4">
        <v>27</v>
      </c>
      <c r="S380" s="4">
        <v>27</v>
      </c>
      <c r="T380" s="12">
        <f>Tabela32[[#This Row],[Entregas]]-Tabela32[[#This Row],[Realizadas]]</f>
        <v>0</v>
      </c>
      <c r="U380" s="18">
        <f>Tabela32[[#This Row],[Realizadas]]/Tabela32[[#This Row],[Entregas]]</f>
        <v>1</v>
      </c>
      <c r="V380" s="19" t="str">
        <f>IF(Tabela32[[#This Row],[% Entrega]]&gt;=96%,"Atendeu a Meta","Não Atendeu a Meta")</f>
        <v>Atendeu a Meta</v>
      </c>
      <c r="W380" s="4" t="s">
        <v>39</v>
      </c>
      <c r="X380" s="4">
        <v>0</v>
      </c>
      <c r="Y380" s="5">
        <v>0</v>
      </c>
    </row>
    <row r="381" spans="1:25" x14ac:dyDescent="0.25">
      <c r="A381" s="8">
        <v>46288</v>
      </c>
      <c r="B381" s="16">
        <f>YEAR(Tabela32[[#This Row],[Data]])</f>
        <v>2026</v>
      </c>
      <c r="C381" s="16">
        <f>MONTH(Tabela32[[#This Row],[Data]])</f>
        <v>9</v>
      </c>
      <c r="D381" s="4" t="s">
        <v>27</v>
      </c>
      <c r="E381" s="4">
        <v>1</v>
      </c>
      <c r="F381" s="4" t="str">
        <f>IFERROR(VLOOKUP(Tabela32[[#This Row],[Placa]],Planilha2!$A$1:$B$12,2,0),"")</f>
        <v>Rosinaldo</v>
      </c>
      <c r="G381" s="10">
        <v>11813.92</v>
      </c>
      <c r="H381" s="10">
        <v>564102.5</v>
      </c>
      <c r="I381" s="4">
        <v>1127</v>
      </c>
      <c r="J381" s="17">
        <f>IFERROR(Tabela32[[#This Row],[Valor Frete]]/Tabela32[[#This Row],[Valor Mercadoria]],"")</f>
        <v>2.09428605616887E-2</v>
      </c>
      <c r="K381" s="11">
        <v>0.29166666666666669</v>
      </c>
      <c r="L381" s="15">
        <v>0.73611111111111116</v>
      </c>
      <c r="M381" s="15">
        <f>Tabela32[[#This Row],[Hr Chegada]]-Tabela32[[#This Row],[Hr Saida]]</f>
        <v>0.44444444444444448</v>
      </c>
      <c r="N381" s="4">
        <v>291707</v>
      </c>
      <c r="O381" s="4">
        <v>291751</v>
      </c>
      <c r="P381" s="4">
        <f>Tabela32[[#This Row],[Km Chegada]]-Tabela32[[#This Row],[Km Saída]]</f>
        <v>44</v>
      </c>
      <c r="Q381" s="4">
        <v>5</v>
      </c>
      <c r="R381" s="4">
        <v>1</v>
      </c>
      <c r="S381" s="4">
        <v>1</v>
      </c>
      <c r="T381" s="12">
        <f>Tabela32[[#This Row],[Entregas]]-Tabela32[[#This Row],[Realizadas]]</f>
        <v>0</v>
      </c>
      <c r="U381" s="18">
        <f>Tabela32[[#This Row],[Realizadas]]/Tabela32[[#This Row],[Entregas]]</f>
        <v>1</v>
      </c>
      <c r="V381" s="19" t="str">
        <f>IF(Tabela32[[#This Row],[% Entrega]]&gt;=96%,"Atendeu a Meta","Não Atendeu a Meta")</f>
        <v>Atendeu a Meta</v>
      </c>
      <c r="W381" s="4" t="s">
        <v>40</v>
      </c>
      <c r="X381" s="4">
        <v>0</v>
      </c>
      <c r="Y381" s="5">
        <v>0</v>
      </c>
    </row>
    <row r="382" spans="1:25" x14ac:dyDescent="0.25">
      <c r="A382" s="8">
        <v>46288</v>
      </c>
      <c r="B382" s="16">
        <f>YEAR(Tabela32[[#This Row],[Data]])</f>
        <v>2026</v>
      </c>
      <c r="C382" s="16">
        <f>MONTH(Tabela32[[#This Row],[Data]])</f>
        <v>9</v>
      </c>
      <c r="D382" s="4" t="s">
        <v>35</v>
      </c>
      <c r="E382" s="4">
        <v>1</v>
      </c>
      <c r="F382" s="4" t="str">
        <f>IFERROR(VLOOKUP(Tabela32[[#This Row],[Placa]],Planilha2!$A$1:$B$12,2,0),"")</f>
        <v>Osvaldo</v>
      </c>
      <c r="G382" s="10">
        <v>2738.5</v>
      </c>
      <c r="H382" s="10">
        <v>132086.92000000001</v>
      </c>
      <c r="I382" s="4">
        <v>411</v>
      </c>
      <c r="J382" s="17">
        <f>IFERROR(Tabela32[[#This Row],[Valor Frete]]/Tabela32[[#This Row],[Valor Mercadoria]],"")</f>
        <v>2.073256004455248E-2</v>
      </c>
      <c r="K382" s="11">
        <v>0.29166666666666669</v>
      </c>
      <c r="L382" s="15">
        <v>0.46736111111111112</v>
      </c>
      <c r="M382" s="15">
        <f>Tabela32[[#This Row],[Hr Chegada]]-Tabela32[[#This Row],[Hr Saida]]</f>
        <v>0.17569444444444443</v>
      </c>
      <c r="N382" s="4">
        <v>143702</v>
      </c>
      <c r="O382" s="4">
        <v>143739</v>
      </c>
      <c r="P382" s="4">
        <f>Tabela32[[#This Row],[Km Chegada]]-Tabela32[[#This Row],[Km Saída]]</f>
        <v>37</v>
      </c>
      <c r="Q382" s="4">
        <v>136</v>
      </c>
      <c r="R382" s="4">
        <v>3</v>
      </c>
      <c r="S382" s="4">
        <v>3</v>
      </c>
      <c r="T382" s="12">
        <f>Tabela32[[#This Row],[Entregas]]-Tabela32[[#This Row],[Realizadas]]</f>
        <v>0</v>
      </c>
      <c r="U382" s="18">
        <f>Tabela32[[#This Row],[Realizadas]]/Tabela32[[#This Row],[Entregas]]</f>
        <v>1</v>
      </c>
      <c r="V382" s="19" t="str">
        <f>IF(Tabela32[[#This Row],[% Entrega]]&gt;=96%,"Atendeu a Meta","Não Atendeu a Meta")</f>
        <v>Atendeu a Meta</v>
      </c>
      <c r="W382" s="4" t="s">
        <v>40</v>
      </c>
      <c r="X382" s="4">
        <v>0</v>
      </c>
      <c r="Y382" s="5">
        <v>0</v>
      </c>
    </row>
    <row r="383" spans="1:25" x14ac:dyDescent="0.25">
      <c r="A383" s="8">
        <v>46288</v>
      </c>
      <c r="B383" s="16">
        <f>YEAR(Tabela32[[#This Row],[Data]])</f>
        <v>2026</v>
      </c>
      <c r="C383" s="16">
        <f>MONTH(Tabela32[[#This Row],[Data]])</f>
        <v>9</v>
      </c>
      <c r="D383" s="4" t="s">
        <v>29</v>
      </c>
      <c r="E383" s="4">
        <v>1</v>
      </c>
      <c r="F383" s="4" t="str">
        <f>IFERROR(VLOOKUP(Tabela32[[#This Row],[Placa]],Planilha2!$A$1:$B$12,2,0),"")</f>
        <v>Sandro</v>
      </c>
      <c r="G383" s="10">
        <v>2511.91</v>
      </c>
      <c r="H383" s="10">
        <v>27293.42</v>
      </c>
      <c r="I383" s="4">
        <v>344</v>
      </c>
      <c r="J383" s="17">
        <f>IFERROR(Tabela32[[#This Row],[Valor Frete]]/Tabela32[[#This Row],[Valor Mercadoria]],"")</f>
        <v>9.203353775378828E-2</v>
      </c>
      <c r="K383" s="11">
        <v>0.29166666666666669</v>
      </c>
      <c r="L383" s="15">
        <v>0.61111111111111116</v>
      </c>
      <c r="M383" s="15">
        <f>Tabela32[[#This Row],[Hr Chegada]]-Tabela32[[#This Row],[Hr Saida]]</f>
        <v>0.31944444444444448</v>
      </c>
      <c r="N383" s="4">
        <v>276067</v>
      </c>
      <c r="O383" s="4">
        <v>276205</v>
      </c>
      <c r="P383" s="4">
        <f>Tabela32[[#This Row],[Km Chegada]]-Tabela32[[#This Row],[Km Saída]]</f>
        <v>138</v>
      </c>
      <c r="Q383" s="4">
        <v>71</v>
      </c>
      <c r="R383" s="4">
        <v>5</v>
      </c>
      <c r="S383" s="4">
        <v>5</v>
      </c>
      <c r="T383" s="12">
        <f>Tabela32[[#This Row],[Entregas]]-Tabela32[[#This Row],[Realizadas]]</f>
        <v>0</v>
      </c>
      <c r="U383" s="18">
        <f>Tabela32[[#This Row],[Realizadas]]/Tabela32[[#This Row],[Entregas]]</f>
        <v>1</v>
      </c>
      <c r="V383" s="19" t="str">
        <f>IF(Tabela32[[#This Row],[% Entrega]]&gt;=96%,"Atendeu a Meta","Não Atendeu a Meta")</f>
        <v>Atendeu a Meta</v>
      </c>
      <c r="W383" s="4" t="s">
        <v>40</v>
      </c>
      <c r="X383" s="4">
        <v>0</v>
      </c>
      <c r="Y383" s="5">
        <v>0</v>
      </c>
    </row>
    <row r="384" spans="1:25" x14ac:dyDescent="0.25">
      <c r="A384" s="8">
        <v>46288</v>
      </c>
      <c r="B384" s="16">
        <f>YEAR(Tabela32[[#This Row],[Data]])</f>
        <v>2026</v>
      </c>
      <c r="C384" s="16">
        <f>MONTH(Tabela32[[#This Row],[Data]])</f>
        <v>9</v>
      </c>
      <c r="D384" s="4" t="s">
        <v>23</v>
      </c>
      <c r="E384" s="4">
        <v>11</v>
      </c>
      <c r="F384" s="4" t="str">
        <f>IFERROR(VLOOKUP(Tabela32[[#This Row],[Placa]],Planilha2!$A$1:$B$12,2,0),"")</f>
        <v>William</v>
      </c>
      <c r="G384" s="10">
        <v>9796.26</v>
      </c>
      <c r="H384" s="10">
        <v>171667.59</v>
      </c>
      <c r="I384" s="4">
        <v>1400</v>
      </c>
      <c r="J384" s="17">
        <f>IFERROR(Tabela32[[#This Row],[Valor Frete]]/Tabela32[[#This Row],[Valor Mercadoria]],"")</f>
        <v>5.7065285299339269E-2</v>
      </c>
      <c r="K384" s="11">
        <v>0.29166666666666669</v>
      </c>
      <c r="L384" s="15">
        <v>0.76388888888888884</v>
      </c>
      <c r="M384" s="15">
        <f>Tabela32[[#This Row],[Hr Chegada]]-Tabela32[[#This Row],[Hr Saida]]</f>
        <v>0.47222222222222215</v>
      </c>
      <c r="N384" s="4">
        <v>125779</v>
      </c>
      <c r="O384" s="4">
        <v>125926</v>
      </c>
      <c r="P384" s="4">
        <f>Tabela32[[#This Row],[Km Chegada]]-Tabela32[[#This Row],[Km Saída]]</f>
        <v>147</v>
      </c>
      <c r="Q384" s="4">
        <v>217</v>
      </c>
      <c r="R384" s="4">
        <v>26</v>
      </c>
      <c r="S384" s="4">
        <v>26</v>
      </c>
      <c r="T384" s="12">
        <f>Tabela32[[#This Row],[Entregas]]-Tabela32[[#This Row],[Realizadas]]</f>
        <v>0</v>
      </c>
      <c r="U384" s="18">
        <f>Tabela32[[#This Row],[Realizadas]]/Tabela32[[#This Row],[Entregas]]</f>
        <v>1</v>
      </c>
      <c r="V384" s="19" t="str">
        <f>IF(Tabela32[[#This Row],[% Entrega]]&gt;=96%,"Atendeu a Meta","Não Atendeu a Meta")</f>
        <v>Atendeu a Meta</v>
      </c>
      <c r="W384" s="4" t="s">
        <v>41</v>
      </c>
      <c r="X384" s="4">
        <v>1</v>
      </c>
      <c r="Y384" s="5">
        <v>42</v>
      </c>
    </row>
    <row r="385" spans="1:25" x14ac:dyDescent="0.25">
      <c r="A385" s="8">
        <v>46288</v>
      </c>
      <c r="B385" s="16">
        <f>YEAR(Tabela32[[#This Row],[Data]])</f>
        <v>2026</v>
      </c>
      <c r="C385" s="16">
        <f>MONTH(Tabela32[[#This Row],[Data]])</f>
        <v>9</v>
      </c>
      <c r="D385" s="4" t="s">
        <v>35</v>
      </c>
      <c r="E385" s="4">
        <v>1</v>
      </c>
      <c r="F385" s="4" t="str">
        <f>IFERROR(VLOOKUP(Tabela32[[#This Row],[Placa]],Planilha2!$A$1:$B$12,2,0),"")</f>
        <v>Osvaldo</v>
      </c>
      <c r="G385" s="10">
        <v>849.66</v>
      </c>
      <c r="H385" s="10">
        <v>16194.12</v>
      </c>
      <c r="I385" s="4">
        <v>510</v>
      </c>
      <c r="J385" s="17">
        <f>IFERROR(Tabela32[[#This Row],[Valor Frete]]/Tabela32[[#This Row],[Valor Mercadoria]],"")</f>
        <v>5.2467191795540602E-2</v>
      </c>
      <c r="K385" s="11">
        <v>0.47638888888888886</v>
      </c>
      <c r="L385" s="15">
        <v>0.72291666666666665</v>
      </c>
      <c r="M385" s="15">
        <f>Tabela32[[#This Row],[Hr Chegada]]-Tabela32[[#This Row],[Hr Saida]]</f>
        <v>0.24652777777777779</v>
      </c>
      <c r="N385" s="4">
        <v>143739</v>
      </c>
      <c r="O385" s="4">
        <v>143759</v>
      </c>
      <c r="P385" s="4">
        <f>Tabela32[[#This Row],[Km Chegada]]-Tabela32[[#This Row],[Km Saída]]</f>
        <v>20</v>
      </c>
      <c r="Q385" s="4">
        <v>109</v>
      </c>
      <c r="R385" s="4">
        <v>4</v>
      </c>
      <c r="S385" s="4">
        <v>4</v>
      </c>
      <c r="T385" s="12">
        <f>Tabela32[[#This Row],[Entregas]]-Tabela32[[#This Row],[Realizadas]]</f>
        <v>0</v>
      </c>
      <c r="U385" s="18">
        <f>Tabela32[[#This Row],[Realizadas]]/Tabela32[[#This Row],[Entregas]]</f>
        <v>1</v>
      </c>
      <c r="V385" s="19" t="str">
        <f>IF(Tabela32[[#This Row],[% Entrega]]&gt;=96%,"Atendeu a Meta","Não Atendeu a Meta")</f>
        <v>Atendeu a Meta</v>
      </c>
      <c r="W385" s="4" t="s">
        <v>39</v>
      </c>
      <c r="X385" s="4">
        <v>4</v>
      </c>
      <c r="Y385" s="5" t="s">
        <v>88</v>
      </c>
    </row>
    <row r="386" spans="1:25" x14ac:dyDescent="0.25">
      <c r="A386" s="8">
        <v>46288</v>
      </c>
      <c r="B386" s="16">
        <f>YEAR(Tabela32[[#This Row],[Data]])</f>
        <v>2026</v>
      </c>
      <c r="C386" s="16">
        <f>MONTH(Tabela32[[#This Row],[Data]])</f>
        <v>9</v>
      </c>
      <c r="D386" s="4" t="s">
        <v>31</v>
      </c>
      <c r="E386" s="4">
        <v>1</v>
      </c>
      <c r="F386" s="4" t="str">
        <f>IFERROR(VLOOKUP(Tabela32[[#This Row],[Placa]],Planilha2!$A$1:$B$12,2,0),"")</f>
        <v>Jerson</v>
      </c>
      <c r="G386" s="10">
        <v>4931.01</v>
      </c>
      <c r="H386" s="10">
        <v>78148.53</v>
      </c>
      <c r="I386" s="4">
        <v>1048</v>
      </c>
      <c r="J386" s="17">
        <f>IFERROR(Tabela32[[#This Row],[Valor Frete]]/Tabela32[[#This Row],[Valor Mercadoria]],"")</f>
        <v>6.3097923914883627E-2</v>
      </c>
      <c r="K386" s="11">
        <v>0.30902777777777779</v>
      </c>
      <c r="L386" s="15">
        <v>0.77916666666666667</v>
      </c>
      <c r="M386" s="15">
        <f>Tabela32[[#This Row],[Hr Chegada]]-Tabela32[[#This Row],[Hr Saida]]</f>
        <v>0.47013888888888888</v>
      </c>
      <c r="N386" s="4">
        <v>280891</v>
      </c>
      <c r="O386" s="4">
        <v>280977</v>
      </c>
      <c r="P386" s="4">
        <f>Tabela32[[#This Row],[Km Chegada]]-Tabela32[[#This Row],[Km Saída]]</f>
        <v>86</v>
      </c>
      <c r="Q386" s="4">
        <v>94</v>
      </c>
      <c r="R386" s="4">
        <v>18</v>
      </c>
      <c r="S386" s="4">
        <v>18</v>
      </c>
      <c r="T386" s="12">
        <f>Tabela32[[#This Row],[Entregas]]-Tabela32[[#This Row],[Realizadas]]</f>
        <v>0</v>
      </c>
      <c r="U386" s="18">
        <f>Tabela32[[#This Row],[Realizadas]]/Tabela32[[#This Row],[Entregas]]</f>
        <v>1</v>
      </c>
      <c r="V386" s="19" t="str">
        <f>IF(Tabela32[[#This Row],[% Entrega]]&gt;=96%,"Atendeu a Meta","Não Atendeu a Meta")</f>
        <v>Atendeu a Meta</v>
      </c>
      <c r="W386" s="4" t="s">
        <v>39</v>
      </c>
      <c r="X386" s="4">
        <v>0</v>
      </c>
      <c r="Y386" s="5">
        <v>0</v>
      </c>
    </row>
    <row r="387" spans="1:25" x14ac:dyDescent="0.25">
      <c r="A387" s="8">
        <v>46288</v>
      </c>
      <c r="B387" s="16">
        <f>YEAR(Tabela32[[#This Row],[Data]])</f>
        <v>2026</v>
      </c>
      <c r="C387" s="16">
        <f>MONTH(Tabela32[[#This Row],[Data]])</f>
        <v>9</v>
      </c>
      <c r="D387" s="4" t="s">
        <v>53</v>
      </c>
      <c r="E387" s="4">
        <v>3</v>
      </c>
      <c r="F387" s="4" t="str">
        <f>IFERROR(VLOOKUP(Tabela32[[#This Row],[Placa]],Planilha2!$A$1:$B$12,2,0),"")</f>
        <v>Arnaldo</v>
      </c>
      <c r="G387" s="10">
        <v>14040.59</v>
      </c>
      <c r="H387" s="10">
        <v>84411.99</v>
      </c>
      <c r="I387" s="4">
        <v>5971</v>
      </c>
      <c r="J387" s="17">
        <f>IFERROR(Tabela32[[#This Row],[Valor Frete]]/Tabela32[[#This Row],[Valor Mercadoria]],"")</f>
        <v>0.16633407173554371</v>
      </c>
      <c r="K387" s="11">
        <v>0.2986111111111111</v>
      </c>
      <c r="L387" s="15">
        <v>0.77916666666666667</v>
      </c>
      <c r="M387" s="15">
        <f>Tabela32[[#This Row],[Hr Chegada]]-Tabela32[[#This Row],[Hr Saida]]</f>
        <v>0.48055555555555557</v>
      </c>
      <c r="N387" s="4">
        <v>14020</v>
      </c>
      <c r="O387" s="4">
        <v>14057</v>
      </c>
      <c r="P387" s="4">
        <f>Tabela32[[#This Row],[Km Chegada]]-Tabela32[[#This Row],[Km Saída]]</f>
        <v>37</v>
      </c>
      <c r="Q387" s="4">
        <v>400</v>
      </c>
      <c r="R387" s="4">
        <v>6</v>
      </c>
      <c r="S387" s="4">
        <v>6</v>
      </c>
      <c r="T387" s="12">
        <f>Tabela32[[#This Row],[Entregas]]-Tabela32[[#This Row],[Realizadas]]</f>
        <v>0</v>
      </c>
      <c r="U387" s="18">
        <f>Tabela32[[#This Row],[Realizadas]]/Tabela32[[#This Row],[Entregas]]</f>
        <v>1</v>
      </c>
      <c r="V387" s="19" t="str">
        <f>IF(Tabela32[[#This Row],[% Entrega]]&gt;=96%,"Atendeu a Meta","Não Atendeu a Meta")</f>
        <v>Atendeu a Meta</v>
      </c>
      <c r="W387" s="4" t="s">
        <v>39</v>
      </c>
      <c r="X387" s="4">
        <v>0</v>
      </c>
      <c r="Y387" s="5">
        <v>0</v>
      </c>
    </row>
    <row r="388" spans="1:25" x14ac:dyDescent="0.25">
      <c r="A388" s="8">
        <v>46288</v>
      </c>
      <c r="B388" s="16">
        <f>YEAR(Tabela32[[#This Row],[Data]])</f>
        <v>2026</v>
      </c>
      <c r="C388" s="16">
        <f>MONTH(Tabela32[[#This Row],[Data]])</f>
        <v>9</v>
      </c>
      <c r="D388" s="4" t="s">
        <v>33</v>
      </c>
      <c r="E388" s="4">
        <v>1</v>
      </c>
      <c r="F388" s="4" t="str">
        <f>IFERROR(VLOOKUP(Tabela32[[#This Row],[Placa]],Planilha2!$A$1:$B$12,2,0),"")</f>
        <v>Paulo</v>
      </c>
      <c r="G388" s="10">
        <v>1754.16</v>
      </c>
      <c r="H388" s="10">
        <v>22404.55</v>
      </c>
      <c r="I388" s="4">
        <v>652</v>
      </c>
      <c r="J388" s="17">
        <f>IFERROR(Tabela32[[#This Row],[Valor Frete]]/Tabela32[[#This Row],[Valor Mercadoria]],"")</f>
        <v>7.8294810652300539E-2</v>
      </c>
      <c r="K388" s="11">
        <v>0.29166666666666669</v>
      </c>
      <c r="L388" s="15">
        <v>0.69097222222222221</v>
      </c>
      <c r="M388" s="15">
        <f>Tabela32[[#This Row],[Hr Chegada]]-Tabela32[[#This Row],[Hr Saida]]</f>
        <v>0.39930555555555552</v>
      </c>
      <c r="N388" s="4">
        <v>156044</v>
      </c>
      <c r="O388" s="4">
        <v>156095</v>
      </c>
      <c r="P388" s="4">
        <f>Tabela32[[#This Row],[Km Chegada]]-Tabela32[[#This Row],[Km Saída]]</f>
        <v>51</v>
      </c>
      <c r="Q388" s="4">
        <v>90</v>
      </c>
      <c r="R388" s="4">
        <v>5</v>
      </c>
      <c r="S388" s="4">
        <v>5</v>
      </c>
      <c r="T388" s="12">
        <f>Tabela32[[#This Row],[Entregas]]-Tabela32[[#This Row],[Realizadas]]</f>
        <v>0</v>
      </c>
      <c r="U388" s="18">
        <f>Tabela32[[#This Row],[Realizadas]]/Tabela32[[#This Row],[Entregas]]</f>
        <v>1</v>
      </c>
      <c r="V388" s="19" t="str">
        <f>IF(Tabela32[[#This Row],[% Entrega]]&gt;=96%,"Atendeu a Meta","Não Atendeu a Meta")</f>
        <v>Atendeu a Meta</v>
      </c>
      <c r="W388" s="4" t="s">
        <v>63</v>
      </c>
      <c r="X388" s="4">
        <v>0</v>
      </c>
      <c r="Y388" s="5">
        <v>0</v>
      </c>
    </row>
    <row r="389" spans="1:25" x14ac:dyDescent="0.25">
      <c r="A389" s="8">
        <v>46288</v>
      </c>
      <c r="B389" s="16">
        <f>YEAR(Tabela32[[#This Row],[Data]])</f>
        <v>2026</v>
      </c>
      <c r="C389" s="16">
        <f>MONTH(Tabela32[[#This Row],[Data]])</f>
        <v>9</v>
      </c>
      <c r="D389" s="4" t="s">
        <v>22</v>
      </c>
      <c r="E389" s="4">
        <v>4</v>
      </c>
      <c r="F389" s="4" t="str">
        <f>IFERROR(VLOOKUP(Tabela32[[#This Row],[Placa]],Planilha2!$A$1:$B$12,2,0),"")</f>
        <v>Wesley</v>
      </c>
      <c r="G389" s="10">
        <v>12520.8</v>
      </c>
      <c r="H389" s="10">
        <v>192147.28</v>
      </c>
      <c r="I389" s="4">
        <v>3036</v>
      </c>
      <c r="J389" s="17">
        <f>IFERROR(Tabela32[[#This Row],[Valor Frete]]/Tabela32[[#This Row],[Valor Mercadoria]],"")</f>
        <v>6.5162514920846126E-2</v>
      </c>
      <c r="K389" s="11">
        <v>0.27083333333333331</v>
      </c>
      <c r="L389" s="15">
        <v>0.84652777777777777</v>
      </c>
      <c r="M389" s="15">
        <f>Tabela32[[#This Row],[Hr Chegada]]-Tabela32[[#This Row],[Hr Saida]]</f>
        <v>0.57569444444444451</v>
      </c>
      <c r="N389" s="4">
        <v>305368</v>
      </c>
      <c r="O389" s="4">
        <v>305441</v>
      </c>
      <c r="P389" s="4">
        <f>Tabela32[[#This Row],[Km Chegada]]-Tabela32[[#This Row],[Km Saída]]</f>
        <v>73</v>
      </c>
      <c r="Q389" s="4">
        <v>487</v>
      </c>
      <c r="R389" s="4">
        <v>31</v>
      </c>
      <c r="S389" s="4">
        <v>31</v>
      </c>
      <c r="T389" s="12">
        <f>Tabela32[[#This Row],[Entregas]]-Tabela32[[#This Row],[Realizadas]]</f>
        <v>0</v>
      </c>
      <c r="U389" s="18">
        <f>Tabela32[[#This Row],[Realizadas]]/Tabela32[[#This Row],[Entregas]]</f>
        <v>1</v>
      </c>
      <c r="V389" s="19" t="str">
        <f>IF(Tabela32[[#This Row],[% Entrega]]&gt;=96%,"Atendeu a Meta","Não Atendeu a Meta")</f>
        <v>Atendeu a Meta</v>
      </c>
      <c r="W389" s="4" t="s">
        <v>39</v>
      </c>
      <c r="X389" s="4">
        <v>0</v>
      </c>
      <c r="Y389" s="5">
        <v>0</v>
      </c>
    </row>
    <row r="390" spans="1:25" x14ac:dyDescent="0.25">
      <c r="A390" s="8">
        <v>46288</v>
      </c>
      <c r="B390" s="16">
        <f>YEAR(Tabela32[[#This Row],[Data]])</f>
        <v>2026</v>
      </c>
      <c r="C390" s="16">
        <f>MONTH(Tabela32[[#This Row],[Data]])</f>
        <v>9</v>
      </c>
      <c r="D390" s="4" t="s">
        <v>25</v>
      </c>
      <c r="E390" s="4">
        <v>1</v>
      </c>
      <c r="F390" s="4" t="str">
        <f>IFERROR(VLOOKUP(Tabela32[[#This Row],[Placa]],Planilha2!$A$1:$B$12,2,0),"")</f>
        <v>Gilberto</v>
      </c>
      <c r="G390" s="10">
        <v>8679.9500000000007</v>
      </c>
      <c r="H390" s="10">
        <v>126902.55</v>
      </c>
      <c r="I390" s="4">
        <v>1112</v>
      </c>
      <c r="J390" s="17">
        <f>IFERROR(Tabela32[[#This Row],[Valor Frete]]/Tabela32[[#This Row],[Valor Mercadoria]],"")</f>
        <v>6.8398546758910675E-2</v>
      </c>
      <c r="K390" s="11">
        <v>0.3125</v>
      </c>
      <c r="L390" s="15">
        <v>0.71250000000000002</v>
      </c>
      <c r="M390" s="15">
        <f>Tabela32[[#This Row],[Hr Chegada]]-Tabela32[[#This Row],[Hr Saida]]</f>
        <v>0.4</v>
      </c>
      <c r="N390" s="4">
        <v>120223</v>
      </c>
      <c r="O390" s="4">
        <v>120289</v>
      </c>
      <c r="P390" s="4">
        <f>Tabela32[[#This Row],[Km Chegada]]-Tabela32[[#This Row],[Km Saída]]</f>
        <v>66</v>
      </c>
      <c r="Q390" s="4">
        <v>210</v>
      </c>
      <c r="R390" s="4">
        <v>21</v>
      </c>
      <c r="S390" s="4">
        <v>21</v>
      </c>
      <c r="T390" s="12">
        <f>Tabela32[[#This Row],[Entregas]]-Tabela32[[#This Row],[Realizadas]]</f>
        <v>0</v>
      </c>
      <c r="U390" s="18">
        <f>Tabela32[[#This Row],[Realizadas]]/Tabela32[[#This Row],[Entregas]]</f>
        <v>1</v>
      </c>
      <c r="V390" s="19" t="str">
        <f>IF(Tabela32[[#This Row],[% Entrega]]&gt;=96%,"Atendeu a Meta","Não Atendeu a Meta")</f>
        <v>Atendeu a Meta</v>
      </c>
      <c r="W390" s="4" t="s">
        <v>43</v>
      </c>
      <c r="X390" s="4">
        <v>0</v>
      </c>
      <c r="Y390" s="5">
        <v>0</v>
      </c>
    </row>
    <row r="391" spans="1:25" x14ac:dyDescent="0.25">
      <c r="A391" s="8">
        <v>46288</v>
      </c>
      <c r="B391" s="16">
        <f>YEAR(Tabela32[[#This Row],[Data]])</f>
        <v>2026</v>
      </c>
      <c r="C391" s="16">
        <f>MONTH(Tabela32[[#This Row],[Data]])</f>
        <v>9</v>
      </c>
      <c r="D391" s="4" t="s">
        <v>28</v>
      </c>
      <c r="E391" s="4">
        <v>5</v>
      </c>
      <c r="F391" s="4" t="str">
        <f>IFERROR(VLOOKUP(Tabela32[[#This Row],[Placa]],Planilha2!$A$1:$B$12,2,0),"")</f>
        <v>Edilson</v>
      </c>
      <c r="G391" s="10">
        <v>29666.37</v>
      </c>
      <c r="H391" s="10">
        <v>541276.69999999995</v>
      </c>
      <c r="I391" s="4">
        <v>4074</v>
      </c>
      <c r="J391" s="17">
        <f>IFERROR(Tabela32[[#This Row],[Valor Frete]]/Tabela32[[#This Row],[Valor Mercadoria]],"")</f>
        <v>5.4808141566041919E-2</v>
      </c>
      <c r="K391" s="11">
        <v>0.27777777777777779</v>
      </c>
      <c r="L391" s="15">
        <v>0.66666666666666663</v>
      </c>
      <c r="M391" s="15">
        <f>Tabela32[[#This Row],[Hr Chegada]]-Tabela32[[#This Row],[Hr Saida]]</f>
        <v>0.38888888888888884</v>
      </c>
      <c r="N391" s="4">
        <v>106073</v>
      </c>
      <c r="O391" s="4">
        <v>106119</v>
      </c>
      <c r="P391" s="4">
        <f>Tabela32[[#This Row],[Km Chegada]]-Tabela32[[#This Row],[Km Saída]]</f>
        <v>46</v>
      </c>
      <c r="Q391" s="4">
        <v>327</v>
      </c>
      <c r="R391" s="4">
        <v>5</v>
      </c>
      <c r="S391" s="4">
        <v>5</v>
      </c>
      <c r="T391" s="12">
        <f>Tabela32[[#This Row],[Entregas]]-Tabela32[[#This Row],[Realizadas]]</f>
        <v>0</v>
      </c>
      <c r="U391" s="18">
        <f>Tabela32[[#This Row],[Realizadas]]/Tabela32[[#This Row],[Entregas]]</f>
        <v>1</v>
      </c>
      <c r="V391" s="19" t="str">
        <f>IF(Tabela32[[#This Row],[% Entrega]]&gt;=96%,"Atendeu a Meta","Não Atendeu a Meta")</f>
        <v>Atendeu a Meta</v>
      </c>
      <c r="W391" s="4" t="s">
        <v>39</v>
      </c>
      <c r="X391" s="4">
        <v>0</v>
      </c>
      <c r="Y391" s="5">
        <v>0</v>
      </c>
    </row>
    <row r="392" spans="1:25" x14ac:dyDescent="0.25">
      <c r="A392" s="8">
        <v>46289</v>
      </c>
      <c r="B392" s="16">
        <f>YEAR(Tabela32[[#This Row],[Data]])</f>
        <v>2026</v>
      </c>
      <c r="C392" s="16">
        <f>MONTH(Tabela32[[#This Row],[Data]])</f>
        <v>9</v>
      </c>
      <c r="D392" s="4" t="s">
        <v>35</v>
      </c>
      <c r="E392" s="4">
        <v>5</v>
      </c>
      <c r="F392" s="4" t="str">
        <f>IFERROR(VLOOKUP(Tabela32[[#This Row],[Placa]],Planilha2!$A$1:$B$12,2,0),"")</f>
        <v>Osvaldo</v>
      </c>
      <c r="G392" s="10">
        <v>849.66</v>
      </c>
      <c r="H392" s="10">
        <v>16194.12</v>
      </c>
      <c r="I392" s="4">
        <v>510</v>
      </c>
      <c r="J392" s="17">
        <f>IFERROR(Tabela32[[#This Row],[Valor Frete]]/Tabela32[[#This Row],[Valor Mercadoria]],"")</f>
        <v>5.2467191795540602E-2</v>
      </c>
      <c r="K392" s="11">
        <v>0.3125</v>
      </c>
      <c r="L392" s="15">
        <v>0.72638888888888886</v>
      </c>
      <c r="M392" s="15">
        <f>Tabela32[[#This Row],[Hr Chegada]]-Tabela32[[#This Row],[Hr Saida]]</f>
        <v>0.41388888888888886</v>
      </c>
      <c r="N392" s="4">
        <v>143759</v>
      </c>
      <c r="O392" s="4">
        <v>143780</v>
      </c>
      <c r="P392" s="4">
        <f>Tabela32[[#This Row],[Km Chegada]]-Tabela32[[#This Row],[Km Saída]]</f>
        <v>21</v>
      </c>
      <c r="Q392" s="4">
        <v>109</v>
      </c>
      <c r="R392" s="4">
        <v>4</v>
      </c>
      <c r="S392" s="4">
        <v>4</v>
      </c>
      <c r="T392" s="12">
        <f>Tabela32[[#This Row],[Entregas]]-Tabela32[[#This Row],[Realizadas]]</f>
        <v>0</v>
      </c>
      <c r="U392" s="18">
        <f>Tabela32[[#This Row],[Realizadas]]/Tabela32[[#This Row],[Entregas]]</f>
        <v>1</v>
      </c>
      <c r="V392" s="19" t="str">
        <f>IF(Tabela32[[#This Row],[% Entrega]]&gt;=96%,"Atendeu a Meta","Não Atendeu a Meta")</f>
        <v>Atendeu a Meta</v>
      </c>
      <c r="W392" s="4" t="s">
        <v>39</v>
      </c>
      <c r="X392" s="4">
        <v>0</v>
      </c>
      <c r="Y392" s="5">
        <v>0</v>
      </c>
    </row>
    <row r="393" spans="1:25" x14ac:dyDescent="0.25">
      <c r="A393" s="8">
        <v>46289</v>
      </c>
      <c r="B393" s="16">
        <f>YEAR(Tabela32[[#This Row],[Data]])</f>
        <v>2026</v>
      </c>
      <c r="C393" s="16">
        <f>MONTH(Tabela32[[#This Row],[Data]])</f>
        <v>9</v>
      </c>
      <c r="D393" s="4" t="s">
        <v>22</v>
      </c>
      <c r="E393" s="4">
        <v>2</v>
      </c>
      <c r="F393" s="4" t="str">
        <f>IFERROR(VLOOKUP(Tabela32[[#This Row],[Placa]],Planilha2!$A$1:$B$12,2,0),"")</f>
        <v>Wesley</v>
      </c>
      <c r="G393" s="10">
        <v>9266.7900000000009</v>
      </c>
      <c r="H393" s="10">
        <v>143510.03</v>
      </c>
      <c r="I393" s="4">
        <v>1967</v>
      </c>
      <c r="J393" s="17">
        <f>IFERROR(Tabela32[[#This Row],[Valor Frete]]/Tabela32[[#This Row],[Valor Mercadoria]],"")</f>
        <v>6.4572420478206299E-2</v>
      </c>
      <c r="K393" s="11">
        <v>0.27083333333333331</v>
      </c>
      <c r="L393" s="15">
        <v>0.75277777777777777</v>
      </c>
      <c r="M393" s="15">
        <f>Tabela32[[#This Row],[Hr Chegada]]-Tabela32[[#This Row],[Hr Saida]]</f>
        <v>0.48194444444444445</v>
      </c>
      <c r="N393" s="4">
        <v>305448</v>
      </c>
      <c r="O393" s="4">
        <v>305511</v>
      </c>
      <c r="P393" s="4">
        <f>Tabela32[[#This Row],[Km Chegada]]-Tabela32[[#This Row],[Km Saída]]</f>
        <v>63</v>
      </c>
      <c r="Q393" s="4">
        <v>326</v>
      </c>
      <c r="R393" s="4">
        <v>36</v>
      </c>
      <c r="S393" s="4">
        <v>36</v>
      </c>
      <c r="T393" s="12">
        <f>Tabela32[[#This Row],[Entregas]]-Tabela32[[#This Row],[Realizadas]]</f>
        <v>0</v>
      </c>
      <c r="U393" s="18">
        <f>Tabela32[[#This Row],[Realizadas]]/Tabela32[[#This Row],[Entregas]]</f>
        <v>1</v>
      </c>
      <c r="V393" s="19" t="str">
        <f>IF(Tabela32[[#This Row],[% Entrega]]&gt;=96%,"Atendeu a Meta","Não Atendeu a Meta")</f>
        <v>Atendeu a Meta</v>
      </c>
      <c r="W393" s="4" t="s">
        <v>39</v>
      </c>
      <c r="X393" s="4">
        <v>0</v>
      </c>
      <c r="Y393" s="5">
        <v>0</v>
      </c>
    </row>
    <row r="394" spans="1:25" x14ac:dyDescent="0.25">
      <c r="A394" s="8">
        <v>46289</v>
      </c>
      <c r="B394" s="16">
        <f>YEAR(Tabela32[[#This Row],[Data]])</f>
        <v>2026</v>
      </c>
      <c r="C394" s="16">
        <f>MONTH(Tabela32[[#This Row],[Data]])</f>
        <v>9</v>
      </c>
      <c r="D394" s="4" t="s">
        <v>27</v>
      </c>
      <c r="E394" s="4">
        <v>1</v>
      </c>
      <c r="F394" s="4" t="str">
        <f>IFERROR(VLOOKUP(Tabela32[[#This Row],[Placa]],Planilha2!$A$1:$B$12,2,0),"")</f>
        <v>Rosinaldo</v>
      </c>
      <c r="G394" s="10">
        <v>3913.35</v>
      </c>
      <c r="H394" s="10">
        <v>79617.289999999994</v>
      </c>
      <c r="I394" s="4">
        <v>568</v>
      </c>
      <c r="J394" s="17">
        <f>IFERROR(Tabela32[[#This Row],[Valor Frete]]/Tabela32[[#This Row],[Valor Mercadoria]],"")</f>
        <v>4.9152012081797813E-2</v>
      </c>
      <c r="K394" s="11">
        <v>0.29166666666666669</v>
      </c>
      <c r="L394" s="15">
        <v>0.63888888888888884</v>
      </c>
      <c r="M394" s="15">
        <f>Tabela32[[#This Row],[Hr Chegada]]-Tabela32[[#This Row],[Hr Saida]]</f>
        <v>0.34722222222222215</v>
      </c>
      <c r="N394" s="4">
        <v>291751</v>
      </c>
      <c r="O394" s="4">
        <v>291803</v>
      </c>
      <c r="P394" s="4">
        <f>Tabela32[[#This Row],[Km Chegada]]-Tabela32[[#This Row],[Km Saída]]</f>
        <v>52</v>
      </c>
      <c r="Q394" s="4">
        <v>568</v>
      </c>
      <c r="R394" s="4">
        <v>3</v>
      </c>
      <c r="S394" s="4">
        <v>3</v>
      </c>
      <c r="T394" s="12">
        <f>Tabela32[[#This Row],[Entregas]]-Tabela32[[#This Row],[Realizadas]]</f>
        <v>0</v>
      </c>
      <c r="U394" s="18">
        <f>Tabela32[[#This Row],[Realizadas]]/Tabela32[[#This Row],[Entregas]]</f>
        <v>1</v>
      </c>
      <c r="V394" s="19" t="str">
        <f>IF(Tabela32[[#This Row],[% Entrega]]&gt;=96%,"Atendeu a Meta","Não Atendeu a Meta")</f>
        <v>Atendeu a Meta</v>
      </c>
      <c r="W394" s="4" t="s">
        <v>40</v>
      </c>
      <c r="X394" s="4">
        <v>0</v>
      </c>
      <c r="Y394" s="5">
        <v>0</v>
      </c>
    </row>
    <row r="395" spans="1:25" x14ac:dyDescent="0.25">
      <c r="A395" s="8">
        <v>46289</v>
      </c>
      <c r="B395" s="16">
        <f>YEAR(Tabela32[[#This Row],[Data]])</f>
        <v>2026</v>
      </c>
      <c r="C395" s="16">
        <f>MONTH(Tabela32[[#This Row],[Data]])</f>
        <v>9</v>
      </c>
      <c r="D395" s="4" t="s">
        <v>33</v>
      </c>
      <c r="E395" s="4">
        <v>1</v>
      </c>
      <c r="F395" s="4" t="str">
        <f>IFERROR(VLOOKUP(Tabela32[[#This Row],[Placa]],Planilha2!$A$1:$B$12,2,0),"")</f>
        <v>Paulo</v>
      </c>
      <c r="G395" s="10">
        <v>1138.6099999999999</v>
      </c>
      <c r="H395" s="10">
        <v>12566.7</v>
      </c>
      <c r="I395" s="4">
        <v>131</v>
      </c>
      <c r="J395" s="17">
        <f>IFERROR(Tabela32[[#This Row],[Valor Frete]]/Tabela32[[#This Row],[Valor Mercadoria]],"")</f>
        <v>9.0605329959336969E-2</v>
      </c>
      <c r="K395" s="11">
        <v>0.29166666666666669</v>
      </c>
      <c r="L395" s="15">
        <v>0.48958333333333331</v>
      </c>
      <c r="M395" s="15">
        <f>Tabela32[[#This Row],[Hr Chegada]]-Tabela32[[#This Row],[Hr Saida]]</f>
        <v>0.19791666666666663</v>
      </c>
      <c r="N395" s="4">
        <v>156095</v>
      </c>
      <c r="O395" s="4">
        <v>156124</v>
      </c>
      <c r="P395" s="4">
        <f>Tabela32[[#This Row],[Km Chegada]]-Tabela32[[#This Row],[Km Saída]]</f>
        <v>29</v>
      </c>
      <c r="Q395" s="4">
        <v>73</v>
      </c>
      <c r="R395" s="4">
        <v>1</v>
      </c>
      <c r="S395" s="4">
        <v>1</v>
      </c>
      <c r="T395" s="12">
        <f>Tabela32[[#This Row],[Entregas]]-Tabela32[[#This Row],[Realizadas]]</f>
        <v>0</v>
      </c>
      <c r="U395" s="18">
        <f>Tabela32[[#This Row],[Realizadas]]/Tabela32[[#This Row],[Entregas]]</f>
        <v>1</v>
      </c>
      <c r="V395" s="19" t="str">
        <f>IF(Tabela32[[#This Row],[% Entrega]]&gt;=96%,"Atendeu a Meta","Não Atendeu a Meta")</f>
        <v>Atendeu a Meta</v>
      </c>
      <c r="W395" s="4" t="s">
        <v>40</v>
      </c>
      <c r="X395" s="4">
        <v>0</v>
      </c>
      <c r="Y395" s="5">
        <v>0</v>
      </c>
    </row>
    <row r="396" spans="1:25" x14ac:dyDescent="0.25">
      <c r="A396" s="8">
        <v>46289</v>
      </c>
      <c r="B396" s="16">
        <f>YEAR(Tabela32[[#This Row],[Data]])</f>
        <v>2026</v>
      </c>
      <c r="C396" s="16">
        <f>MONTH(Tabela32[[#This Row],[Data]])</f>
        <v>9</v>
      </c>
      <c r="D396" s="4" t="s">
        <v>28</v>
      </c>
      <c r="E396" s="4">
        <v>11</v>
      </c>
      <c r="F396" s="4" t="str">
        <f>IFERROR(VLOOKUP(Tabela32[[#This Row],[Placa]],Planilha2!$A$1:$B$12,2,0),"")</f>
        <v>Edilson</v>
      </c>
      <c r="G396" s="10">
        <v>13182.61</v>
      </c>
      <c r="H396" s="10">
        <v>220347.32</v>
      </c>
      <c r="I396" s="4">
        <v>2205</v>
      </c>
      <c r="J396" s="17">
        <f>IFERROR(Tabela32[[#This Row],[Valor Frete]]/Tabela32[[#This Row],[Valor Mercadoria]],"")</f>
        <v>5.9826504810677979E-2</v>
      </c>
      <c r="K396" s="11">
        <v>0.27777777777777779</v>
      </c>
      <c r="L396" s="15">
        <v>0.77430555555555558</v>
      </c>
      <c r="M396" s="15">
        <f>Tabela32[[#This Row],[Hr Chegada]]-Tabela32[[#This Row],[Hr Saida]]</f>
        <v>0.49652777777777779</v>
      </c>
      <c r="N396" s="4">
        <v>106119</v>
      </c>
      <c r="O396" s="4">
        <v>106267</v>
      </c>
      <c r="P396" s="4">
        <f>Tabela32[[#This Row],[Km Chegada]]-Tabela32[[#This Row],[Km Saída]]</f>
        <v>148</v>
      </c>
      <c r="Q396" s="4">
        <v>383</v>
      </c>
      <c r="R396" s="4">
        <v>42</v>
      </c>
      <c r="S396" s="4">
        <v>42</v>
      </c>
      <c r="T396" s="12">
        <f>Tabela32[[#This Row],[Entregas]]-Tabela32[[#This Row],[Realizadas]]</f>
        <v>0</v>
      </c>
      <c r="U396" s="18">
        <f>Tabela32[[#This Row],[Realizadas]]/Tabela32[[#This Row],[Entregas]]</f>
        <v>1</v>
      </c>
      <c r="V396" s="19" t="str">
        <f>IF(Tabela32[[#This Row],[% Entrega]]&gt;=96%,"Atendeu a Meta","Não Atendeu a Meta")</f>
        <v>Atendeu a Meta</v>
      </c>
      <c r="W396" s="4" t="s">
        <v>41</v>
      </c>
      <c r="X396" s="4">
        <v>1</v>
      </c>
      <c r="Y396" s="5">
        <v>42</v>
      </c>
    </row>
    <row r="397" spans="1:25" x14ac:dyDescent="0.25">
      <c r="A397" s="8">
        <v>46289</v>
      </c>
      <c r="B397" s="16">
        <f>YEAR(Tabela32[[#This Row],[Data]])</f>
        <v>2026</v>
      </c>
      <c r="C397" s="16">
        <f>MONTH(Tabela32[[#This Row],[Data]])</f>
        <v>9</v>
      </c>
      <c r="D397" s="4" t="s">
        <v>53</v>
      </c>
      <c r="E397" s="4">
        <v>3</v>
      </c>
      <c r="F397" s="4" t="str">
        <f>IFERROR(VLOOKUP(Tabela32[[#This Row],[Placa]],Planilha2!$A$1:$B$12,2,0),"")</f>
        <v>Arnaldo</v>
      </c>
      <c r="G397" s="10">
        <v>10875.33</v>
      </c>
      <c r="H397" s="10">
        <v>98740.479999999996</v>
      </c>
      <c r="I397" s="4">
        <v>1510</v>
      </c>
      <c r="J397" s="17">
        <f>IFERROR(Tabela32[[#This Row],[Valor Frete]]/Tabela32[[#This Row],[Valor Mercadoria]],"")</f>
        <v>0.11014054215657045</v>
      </c>
      <c r="K397" s="11">
        <v>0.3125</v>
      </c>
      <c r="L397" s="15">
        <v>0.75694444444444442</v>
      </c>
      <c r="M397" s="15">
        <f>Tabela32[[#This Row],[Hr Chegada]]-Tabela32[[#This Row],[Hr Saida]]</f>
        <v>0.44444444444444442</v>
      </c>
      <c r="N397" s="4">
        <v>14057</v>
      </c>
      <c r="O397" s="4">
        <v>14111</v>
      </c>
      <c r="P397" s="4">
        <f>Tabela32[[#This Row],[Km Chegada]]-Tabela32[[#This Row],[Km Saída]]</f>
        <v>54</v>
      </c>
      <c r="Q397" s="4">
        <v>276</v>
      </c>
      <c r="R397" s="4">
        <v>18</v>
      </c>
      <c r="S397" s="4">
        <v>18</v>
      </c>
      <c r="T397" s="12">
        <f>Tabela32[[#This Row],[Entregas]]-Tabela32[[#This Row],[Realizadas]]</f>
        <v>0</v>
      </c>
      <c r="U397" s="18">
        <f>Tabela32[[#This Row],[Realizadas]]/Tabela32[[#This Row],[Entregas]]</f>
        <v>1</v>
      </c>
      <c r="V397" s="19" t="str">
        <f>IF(Tabela32[[#This Row],[% Entrega]]&gt;=96%,"Atendeu a Meta","Não Atendeu a Meta")</f>
        <v>Atendeu a Meta</v>
      </c>
      <c r="W397" s="4" t="s">
        <v>39</v>
      </c>
      <c r="X397" s="4">
        <v>0</v>
      </c>
      <c r="Y397" s="5" t="s">
        <v>82</v>
      </c>
    </row>
    <row r="398" spans="1:25" x14ac:dyDescent="0.25">
      <c r="A398" s="8">
        <v>46289</v>
      </c>
      <c r="B398" s="16">
        <f>YEAR(Tabela32[[#This Row],[Data]])</f>
        <v>2026</v>
      </c>
      <c r="C398" s="16">
        <f>MONTH(Tabela32[[#This Row],[Data]])</f>
        <v>9</v>
      </c>
      <c r="D398" s="4" t="s">
        <v>25</v>
      </c>
      <c r="E398" s="4">
        <v>1</v>
      </c>
      <c r="F398" s="4" t="str">
        <f>IFERROR(VLOOKUP(Tabela32[[#This Row],[Placa]],Planilha2!$A$1:$B$12,2,0),"")</f>
        <v>Gilberto</v>
      </c>
      <c r="G398" s="10">
        <v>8404.52</v>
      </c>
      <c r="H398" s="10">
        <v>128824.18</v>
      </c>
      <c r="I398" s="4">
        <v>1771</v>
      </c>
      <c r="J398" s="17">
        <f>IFERROR(Tabela32[[#This Row],[Valor Frete]]/Tabela32[[#This Row],[Valor Mercadoria]],"")</f>
        <v>6.5240236731955142E-2</v>
      </c>
      <c r="K398" s="11">
        <v>0.3125</v>
      </c>
      <c r="L398" s="15">
        <v>0.71527777777777779</v>
      </c>
      <c r="M398" s="15">
        <f>Tabela32[[#This Row],[Hr Chegada]]-Tabela32[[#This Row],[Hr Saida]]</f>
        <v>0.40277777777777779</v>
      </c>
      <c r="N398" s="4">
        <v>120289</v>
      </c>
      <c r="O398" s="4">
        <v>120351</v>
      </c>
      <c r="P398" s="4">
        <f>Tabela32[[#This Row],[Km Chegada]]-Tabela32[[#This Row],[Km Saída]]</f>
        <v>62</v>
      </c>
      <c r="Q398" s="4">
        <v>238</v>
      </c>
      <c r="R398" s="4">
        <v>21</v>
      </c>
      <c r="S398" s="4">
        <v>21</v>
      </c>
      <c r="T398" s="12">
        <f>Tabela32[[#This Row],[Entregas]]-Tabela32[[#This Row],[Realizadas]]</f>
        <v>0</v>
      </c>
      <c r="U398" s="18">
        <f>Tabela32[[#This Row],[Realizadas]]/Tabela32[[#This Row],[Entregas]]</f>
        <v>1</v>
      </c>
      <c r="V398" s="19" t="str">
        <f>IF(Tabela32[[#This Row],[% Entrega]]&gt;=96%,"Atendeu a Meta","Não Atendeu a Meta")</f>
        <v>Atendeu a Meta</v>
      </c>
      <c r="W398" s="4" t="s">
        <v>43</v>
      </c>
      <c r="X398" s="4">
        <v>0</v>
      </c>
      <c r="Y398" s="5">
        <v>0</v>
      </c>
    </row>
    <row r="399" spans="1:25" x14ac:dyDescent="0.25">
      <c r="A399" s="8">
        <v>46289</v>
      </c>
      <c r="B399" s="16">
        <f>YEAR(Tabela32[[#This Row],[Data]])</f>
        <v>2026</v>
      </c>
      <c r="C399" s="16">
        <f>MONTH(Tabela32[[#This Row],[Data]])</f>
        <v>9</v>
      </c>
      <c r="D399" s="4" t="s">
        <v>23</v>
      </c>
      <c r="E399" s="4">
        <v>11</v>
      </c>
      <c r="F399" s="4" t="str">
        <f>IFERROR(VLOOKUP(Tabela32[[#This Row],[Placa]],Planilha2!$A$1:$B$12,2,0),"")</f>
        <v>William</v>
      </c>
      <c r="G399" s="10">
        <v>6979.52</v>
      </c>
      <c r="H399" s="10">
        <v>102383.03999999999</v>
      </c>
      <c r="I399" s="4">
        <v>1176</v>
      </c>
      <c r="J399" s="17">
        <f>IFERROR(Tabela32[[#This Row],[Valor Frete]]/Tabela32[[#This Row],[Valor Mercadoria]],"")</f>
        <v>6.8170665766517591E-2</v>
      </c>
      <c r="K399" s="11">
        <v>0.29166666666666669</v>
      </c>
      <c r="L399" s="15">
        <v>0.83333333333333337</v>
      </c>
      <c r="M399" s="15">
        <f>Tabela32[[#This Row],[Hr Chegada]]-Tabela32[[#This Row],[Hr Saida]]</f>
        <v>0.54166666666666674</v>
      </c>
      <c r="N399" s="4">
        <v>125926</v>
      </c>
      <c r="O399" s="4">
        <v>126093</v>
      </c>
      <c r="P399" s="4">
        <f>Tabela32[[#This Row],[Km Chegada]]-Tabela32[[#This Row],[Km Saída]]</f>
        <v>167</v>
      </c>
      <c r="Q399" s="4">
        <v>188</v>
      </c>
      <c r="R399" s="4">
        <v>16</v>
      </c>
      <c r="S399" s="4">
        <v>16</v>
      </c>
      <c r="T399" s="12">
        <f>Tabela32[[#This Row],[Entregas]]-Tabela32[[#This Row],[Realizadas]]</f>
        <v>0</v>
      </c>
      <c r="U399" s="18">
        <f>Tabela32[[#This Row],[Realizadas]]/Tabela32[[#This Row],[Entregas]]</f>
        <v>1</v>
      </c>
      <c r="V399" s="19" t="str">
        <f>IF(Tabela32[[#This Row],[% Entrega]]&gt;=96%,"Atendeu a Meta","Não Atendeu a Meta")</f>
        <v>Atendeu a Meta</v>
      </c>
      <c r="W399" s="4" t="s">
        <v>41</v>
      </c>
      <c r="X399" s="4">
        <v>0</v>
      </c>
      <c r="Y399" s="5">
        <v>0</v>
      </c>
    </row>
    <row r="400" spans="1:25" x14ac:dyDescent="0.25">
      <c r="A400" s="8">
        <v>46289</v>
      </c>
      <c r="B400" s="16">
        <f>YEAR(Tabela32[[#This Row],[Data]])</f>
        <v>2026</v>
      </c>
      <c r="C400" s="16">
        <f>MONTH(Tabela32[[#This Row],[Data]])</f>
        <v>9</v>
      </c>
      <c r="D400" s="4" t="s">
        <v>29</v>
      </c>
      <c r="E400" s="4">
        <v>1</v>
      </c>
      <c r="F400" s="4" t="str">
        <f>IFERROR(VLOOKUP(Tabela32[[#This Row],[Placa]],Planilha2!$A$1:$B$12,2,0),"")</f>
        <v>Sandro</v>
      </c>
      <c r="G400" s="10">
        <v>2100.86</v>
      </c>
      <c r="H400" s="10">
        <v>76062.289999999994</v>
      </c>
      <c r="I400" s="4">
        <v>189</v>
      </c>
      <c r="J400" s="17">
        <f>IFERROR(Tabela32[[#This Row],[Valor Frete]]/Tabela32[[#This Row],[Valor Mercadoria]],"")</f>
        <v>2.7620257028811521E-2</v>
      </c>
      <c r="K400" s="11">
        <v>0.29166666666666669</v>
      </c>
      <c r="L400" s="15">
        <v>0.69097222222222221</v>
      </c>
      <c r="M400" s="15">
        <f>Tabela32[[#This Row],[Hr Chegada]]-Tabela32[[#This Row],[Hr Saida]]</f>
        <v>0.39930555555555552</v>
      </c>
      <c r="N400" s="4">
        <v>276205</v>
      </c>
      <c r="O400" s="4">
        <v>276245</v>
      </c>
      <c r="P400" s="4">
        <f>Tabela32[[#This Row],[Km Chegada]]-Tabela32[[#This Row],[Km Saída]]</f>
        <v>40</v>
      </c>
      <c r="Q400" s="4">
        <v>99</v>
      </c>
      <c r="R400" s="4">
        <v>3</v>
      </c>
      <c r="S400" s="4">
        <v>3</v>
      </c>
      <c r="T400" s="12">
        <f>Tabela32[[#This Row],[Entregas]]-Tabela32[[#This Row],[Realizadas]]</f>
        <v>0</v>
      </c>
      <c r="U400" s="18">
        <f>Tabela32[[#This Row],[Realizadas]]/Tabela32[[#This Row],[Entregas]]</f>
        <v>1</v>
      </c>
      <c r="V400" s="19" t="str">
        <f>IF(Tabela32[[#This Row],[% Entrega]]&gt;=96%,"Atendeu a Meta","Não Atendeu a Meta")</f>
        <v>Atendeu a Meta</v>
      </c>
      <c r="W400" s="4" t="s">
        <v>40</v>
      </c>
      <c r="X400" s="4">
        <v>0</v>
      </c>
      <c r="Y400" s="5">
        <v>0</v>
      </c>
    </row>
    <row r="401" spans="1:25" x14ac:dyDescent="0.25">
      <c r="A401" s="8">
        <v>46289</v>
      </c>
      <c r="B401" s="16">
        <f>YEAR(Tabela32[[#This Row],[Data]])</f>
        <v>2026</v>
      </c>
      <c r="C401" s="16">
        <f>MONTH(Tabela32[[#This Row],[Data]])</f>
        <v>9</v>
      </c>
      <c r="D401" s="4" t="s">
        <v>33</v>
      </c>
      <c r="E401" s="4">
        <v>1</v>
      </c>
      <c r="F401" s="4" t="str">
        <f>IFERROR(VLOOKUP(Tabela32[[#This Row],[Placa]],Planilha2!$A$1:$B$12,2,0),"")</f>
        <v>Paulo</v>
      </c>
      <c r="G401" s="10">
        <v>4045.1</v>
      </c>
      <c r="H401" s="10">
        <v>55543.93</v>
      </c>
      <c r="I401" s="4">
        <v>87</v>
      </c>
      <c r="J401" s="17">
        <f>IFERROR(Tabela32[[#This Row],[Valor Frete]]/Tabela32[[#This Row],[Valor Mercadoria]],"")</f>
        <v>7.2827039786345693E-2</v>
      </c>
      <c r="K401" s="11">
        <v>0.58333333333333337</v>
      </c>
      <c r="L401" s="15">
        <v>0.71944444444444444</v>
      </c>
      <c r="M401" s="15">
        <f>Tabela32[[#This Row],[Hr Chegada]]-Tabela32[[#This Row],[Hr Saida]]</f>
        <v>0.13611111111111107</v>
      </c>
      <c r="N401" s="4">
        <v>156124</v>
      </c>
      <c r="O401" s="4">
        <v>156143</v>
      </c>
      <c r="P401" s="4">
        <f>Tabela32[[#This Row],[Km Chegada]]-Tabela32[[#This Row],[Km Saída]]</f>
        <v>19</v>
      </c>
      <c r="Q401" s="4">
        <v>87</v>
      </c>
      <c r="R401" s="4">
        <v>7</v>
      </c>
      <c r="S401" s="4">
        <v>7</v>
      </c>
      <c r="T401" s="12">
        <f>Tabela32[[#This Row],[Entregas]]-Tabela32[[#This Row],[Realizadas]]</f>
        <v>0</v>
      </c>
      <c r="U401" s="18">
        <f>Tabela32[[#This Row],[Realizadas]]/Tabela32[[#This Row],[Entregas]]</f>
        <v>1</v>
      </c>
      <c r="V401" s="19" t="str">
        <f>IF(Tabela32[[#This Row],[% Entrega]]&gt;=96%,"Atendeu a Meta","Não Atendeu a Meta")</f>
        <v>Atendeu a Meta</v>
      </c>
      <c r="W401" s="4" t="s">
        <v>43</v>
      </c>
      <c r="X401" s="4">
        <v>0</v>
      </c>
      <c r="Y401" s="5">
        <v>38.380000000000003</v>
      </c>
    </row>
    <row r="402" spans="1:25" x14ac:dyDescent="0.25">
      <c r="A402" s="8">
        <v>46289</v>
      </c>
      <c r="B402" s="16">
        <f>YEAR(Tabela32[[#This Row],[Data]])</f>
        <v>2026</v>
      </c>
      <c r="C402" s="16">
        <f>MONTH(Tabela32[[#This Row],[Data]])</f>
        <v>9</v>
      </c>
      <c r="D402" s="4" t="s">
        <v>31</v>
      </c>
      <c r="E402" s="4">
        <v>5</v>
      </c>
      <c r="F402" s="4" t="str">
        <f>IFERROR(VLOOKUP(Tabela32[[#This Row],[Placa]],Planilha2!$A$1:$B$12,2,0),"")</f>
        <v>Jerson</v>
      </c>
      <c r="G402" s="10">
        <v>13121.13</v>
      </c>
      <c r="H402" s="10">
        <v>404814.06</v>
      </c>
      <c r="I402" s="4">
        <v>3870</v>
      </c>
      <c r="J402" s="17">
        <f>IFERROR(Tabela32[[#This Row],[Valor Frete]]/Tabela32[[#This Row],[Valor Mercadoria]],"")</f>
        <v>3.2412732897666642E-2</v>
      </c>
      <c r="K402" s="11">
        <v>0.33333333333333331</v>
      </c>
      <c r="L402" s="15">
        <v>0.75</v>
      </c>
      <c r="M402" s="15">
        <f>Tabela32[[#This Row],[Hr Chegada]]-Tabela32[[#This Row],[Hr Saida]]</f>
        <v>0.41666666666666669</v>
      </c>
      <c r="N402" s="4">
        <v>280977</v>
      </c>
      <c r="O402" s="4">
        <v>281008</v>
      </c>
      <c r="P402" s="4">
        <f>Tabela32[[#This Row],[Km Chegada]]-Tabela32[[#This Row],[Km Saída]]</f>
        <v>31</v>
      </c>
      <c r="Q402" s="4">
        <v>685</v>
      </c>
      <c r="R402" s="4">
        <v>9</v>
      </c>
      <c r="S402" s="4">
        <v>9</v>
      </c>
      <c r="T402" s="12">
        <f>Tabela32[[#This Row],[Entregas]]-Tabela32[[#This Row],[Realizadas]]</f>
        <v>0</v>
      </c>
      <c r="U402" s="18">
        <f>Tabela32[[#This Row],[Realizadas]]/Tabela32[[#This Row],[Entregas]]</f>
        <v>1</v>
      </c>
      <c r="V402" s="19" t="str">
        <f>IF(Tabela32[[#This Row],[% Entrega]]&gt;=96%,"Atendeu a Meta","Não Atendeu a Meta")</f>
        <v>Atendeu a Meta</v>
      </c>
      <c r="W402" s="4" t="s">
        <v>39</v>
      </c>
      <c r="X402" s="4">
        <v>0</v>
      </c>
      <c r="Y402" s="5">
        <v>0</v>
      </c>
    </row>
    <row r="403" spans="1:25" x14ac:dyDescent="0.25">
      <c r="A403" s="8">
        <v>46290</v>
      </c>
      <c r="B403" s="16">
        <f>YEAR(Tabela32[[#This Row],[Data]])</f>
        <v>2026</v>
      </c>
      <c r="C403" s="16">
        <f>MONTH(Tabela32[[#This Row],[Data]])</f>
        <v>9</v>
      </c>
      <c r="D403" s="4" t="s">
        <v>33</v>
      </c>
      <c r="E403" s="4">
        <v>1</v>
      </c>
      <c r="F403" s="4" t="str">
        <f>IFERROR(VLOOKUP(Tabela32[[#This Row],[Placa]],Planilha2!$A$1:$B$12,2,0),"")</f>
        <v>Paulo</v>
      </c>
      <c r="G403" s="10">
        <v>1400.31</v>
      </c>
      <c r="H403" s="10">
        <v>7221.36</v>
      </c>
      <c r="I403" s="4">
        <v>105</v>
      </c>
      <c r="J403" s="17">
        <f>IFERROR(Tabela32[[#This Row],[Valor Frete]]/Tabela32[[#This Row],[Valor Mercadoria]],"")</f>
        <v>0.19391222705972283</v>
      </c>
      <c r="K403" s="11">
        <v>0.29166666666666669</v>
      </c>
      <c r="L403" s="15">
        <v>0.50416666666666665</v>
      </c>
      <c r="M403" s="15">
        <f>Tabela32[[#This Row],[Hr Chegada]]-Tabela32[[#This Row],[Hr Saida]]</f>
        <v>0.21249999999999997</v>
      </c>
      <c r="N403" s="4">
        <v>156143</v>
      </c>
      <c r="O403" s="4">
        <v>156190</v>
      </c>
      <c r="P403" s="4">
        <f>Tabela32[[#This Row],[Km Chegada]]-Tabela32[[#This Row],[Km Saída]]</f>
        <v>47</v>
      </c>
      <c r="Q403" s="4">
        <v>38</v>
      </c>
      <c r="R403" s="4">
        <v>1</v>
      </c>
      <c r="S403" s="4">
        <v>1</v>
      </c>
      <c r="T403" s="12">
        <f>Tabela32[[#This Row],[Entregas]]-Tabela32[[#This Row],[Realizadas]]</f>
        <v>0</v>
      </c>
      <c r="U403" s="18">
        <f>Tabela32[[#This Row],[Realizadas]]/Tabela32[[#This Row],[Entregas]]</f>
        <v>1</v>
      </c>
      <c r="V403" s="19" t="str">
        <f>IF(Tabela32[[#This Row],[% Entrega]]&gt;=96%,"Atendeu a Meta","Não Atendeu a Meta")</f>
        <v>Atendeu a Meta</v>
      </c>
      <c r="W403" s="4" t="s">
        <v>40</v>
      </c>
      <c r="X403" s="4">
        <v>0</v>
      </c>
      <c r="Y403" s="5">
        <v>0</v>
      </c>
    </row>
    <row r="404" spans="1:25" x14ac:dyDescent="0.25">
      <c r="A404" s="8">
        <v>46290</v>
      </c>
      <c r="B404" s="16">
        <f>YEAR(Tabela32[[#This Row],[Data]])</f>
        <v>2026</v>
      </c>
      <c r="C404" s="16">
        <f>MONTH(Tabela32[[#This Row],[Data]])</f>
        <v>9</v>
      </c>
      <c r="D404" s="4" t="s">
        <v>23</v>
      </c>
      <c r="E404" s="4">
        <v>5</v>
      </c>
      <c r="F404" s="4" t="str">
        <f>IFERROR(VLOOKUP(Tabela32[[#This Row],[Placa]],Planilha2!$A$1:$B$12,2,0),"")</f>
        <v>William</v>
      </c>
      <c r="G404" s="10">
        <v>11508.77</v>
      </c>
      <c r="H404" s="10">
        <v>507702.82</v>
      </c>
      <c r="I404" s="4">
        <v>2305</v>
      </c>
      <c r="J404" s="17">
        <f>IFERROR(Tabela32[[#This Row],[Valor Frete]]/Tabela32[[#This Row],[Valor Mercadoria]],"")</f>
        <v>2.2668320022331174E-2</v>
      </c>
      <c r="K404" s="11">
        <v>0.29166666666666669</v>
      </c>
      <c r="L404" s="15">
        <v>0.77430555555555558</v>
      </c>
      <c r="M404" s="15">
        <f>Tabela32[[#This Row],[Hr Chegada]]-Tabela32[[#This Row],[Hr Saida]]</f>
        <v>0.4826388888888889</v>
      </c>
      <c r="N404" s="4">
        <v>126093</v>
      </c>
      <c r="O404" s="4">
        <v>126124</v>
      </c>
      <c r="P404" s="4">
        <f>Tabela32[[#This Row],[Km Chegada]]-Tabela32[[#This Row],[Km Saída]]</f>
        <v>31</v>
      </c>
      <c r="Q404" s="4">
        <v>352</v>
      </c>
      <c r="R404" s="4">
        <v>10</v>
      </c>
      <c r="S404" s="4">
        <v>10</v>
      </c>
      <c r="T404" s="12">
        <f>Tabela32[[#This Row],[Entregas]]-Tabela32[[#This Row],[Realizadas]]</f>
        <v>0</v>
      </c>
      <c r="U404" s="18">
        <f>Tabela32[[#This Row],[Realizadas]]/Tabela32[[#This Row],[Entregas]]</f>
        <v>1</v>
      </c>
      <c r="V404" s="19" t="str">
        <f>IF(Tabela32[[#This Row],[% Entrega]]&gt;=96%,"Atendeu a Meta","Não Atendeu a Meta")</f>
        <v>Atendeu a Meta</v>
      </c>
      <c r="W404" s="4" t="s">
        <v>39</v>
      </c>
      <c r="X404" s="4">
        <v>2</v>
      </c>
      <c r="Y404" s="5">
        <v>21.21</v>
      </c>
    </row>
    <row r="405" spans="1:25" x14ac:dyDescent="0.25">
      <c r="A405" s="8">
        <v>46290</v>
      </c>
      <c r="B405" s="16">
        <f>YEAR(Tabela32[[#This Row],[Data]])</f>
        <v>2026</v>
      </c>
      <c r="C405" s="16">
        <f>MONTH(Tabela32[[#This Row],[Data]])</f>
        <v>9</v>
      </c>
      <c r="D405" s="4" t="s">
        <v>36</v>
      </c>
      <c r="E405" s="4">
        <v>11</v>
      </c>
      <c r="F405" s="4" t="str">
        <f>IFERROR(VLOOKUP(Tabela32[[#This Row],[Placa]],Planilha2!$A$1:$B$12,2,0),"")</f>
        <v>Heremilton</v>
      </c>
      <c r="G405" s="10">
        <v>25255.55</v>
      </c>
      <c r="H405" s="10">
        <v>552525.32999999996</v>
      </c>
      <c r="I405" s="4">
        <v>4094</v>
      </c>
      <c r="J405" s="17">
        <f>IFERROR(Tabela32[[#This Row],[Valor Frete]]/Tabela32[[#This Row],[Valor Mercadoria]],"")</f>
        <v>4.5709307119005747E-2</v>
      </c>
      <c r="K405" s="11">
        <v>0.27083333333333331</v>
      </c>
      <c r="L405" s="15">
        <v>0.77083333333333337</v>
      </c>
      <c r="M405" s="15">
        <f>Tabela32[[#This Row],[Hr Chegada]]-Tabela32[[#This Row],[Hr Saida]]</f>
        <v>0.5</v>
      </c>
      <c r="N405" s="4">
        <v>366659</v>
      </c>
      <c r="O405" s="4">
        <v>366793</v>
      </c>
      <c r="P405" s="4">
        <f>Tabela32[[#This Row],[Km Chegada]]-Tabela32[[#This Row],[Km Saída]]</f>
        <v>134</v>
      </c>
      <c r="Q405" s="4">
        <v>52</v>
      </c>
      <c r="R405" s="4">
        <v>4</v>
      </c>
      <c r="S405" s="4">
        <v>4</v>
      </c>
      <c r="T405" s="12">
        <f>Tabela32[[#This Row],[Entregas]]-Tabela32[[#This Row],[Realizadas]]</f>
        <v>0</v>
      </c>
      <c r="U405" s="18">
        <f>Tabela32[[#This Row],[Realizadas]]/Tabela32[[#This Row],[Entregas]]</f>
        <v>1</v>
      </c>
      <c r="V405" s="19" t="str">
        <f>IF(Tabela32[[#This Row],[% Entrega]]&gt;=96%,"Atendeu a Meta","Não Atendeu a Meta")</f>
        <v>Atendeu a Meta</v>
      </c>
      <c r="W405" s="4" t="s">
        <v>41</v>
      </c>
      <c r="X405" s="4">
        <v>0</v>
      </c>
      <c r="Y405" s="5" t="s">
        <v>89</v>
      </c>
    </row>
    <row r="406" spans="1:25" x14ac:dyDescent="0.25">
      <c r="A406" s="8">
        <v>46290</v>
      </c>
      <c r="B406" s="16">
        <f>YEAR(Tabela32[[#This Row],[Data]])</f>
        <v>2026</v>
      </c>
      <c r="C406" s="16">
        <f>MONTH(Tabela32[[#This Row],[Data]])</f>
        <v>9</v>
      </c>
      <c r="D406" s="4" t="s">
        <v>27</v>
      </c>
      <c r="E406" s="4">
        <v>1</v>
      </c>
      <c r="F406" s="4" t="str">
        <f>IFERROR(VLOOKUP(Tabela32[[#This Row],[Placa]],Planilha2!$A$1:$B$12,2,0),"")</f>
        <v>Rosinaldo</v>
      </c>
      <c r="G406" s="10">
        <v>4236.0200000000004</v>
      </c>
      <c r="H406" s="10">
        <v>57103.57</v>
      </c>
      <c r="I406" s="4">
        <v>642</v>
      </c>
      <c r="J406" s="17">
        <f>IFERROR(Tabela32[[#This Row],[Valor Frete]]/Tabela32[[#This Row],[Valor Mercadoria]],"")</f>
        <v>7.4181351533713219E-2</v>
      </c>
      <c r="K406" s="11">
        <v>0.29166666666666669</v>
      </c>
      <c r="L406" s="15">
        <v>0.75069444444444444</v>
      </c>
      <c r="M406" s="15">
        <f>Tabela32[[#This Row],[Hr Chegada]]-Tabela32[[#This Row],[Hr Saida]]</f>
        <v>0.45902777777777776</v>
      </c>
      <c r="N406" s="4">
        <v>291751</v>
      </c>
      <c r="O406" s="4">
        <v>291858</v>
      </c>
      <c r="P406" s="4">
        <f>Tabela32[[#This Row],[Km Chegada]]-Tabela32[[#This Row],[Km Saída]]</f>
        <v>107</v>
      </c>
      <c r="Q406" s="4">
        <v>103</v>
      </c>
      <c r="R406" s="4">
        <v>11</v>
      </c>
      <c r="S406" s="4">
        <v>11</v>
      </c>
      <c r="T406" s="12">
        <f>Tabela32[[#This Row],[Entregas]]-Tabela32[[#This Row],[Realizadas]]</f>
        <v>0</v>
      </c>
      <c r="U406" s="18">
        <f>Tabela32[[#This Row],[Realizadas]]/Tabela32[[#This Row],[Entregas]]</f>
        <v>1</v>
      </c>
      <c r="V406" s="19" t="str">
        <f>IF(Tabela32[[#This Row],[% Entrega]]&gt;=96%,"Atendeu a Meta","Não Atendeu a Meta")</f>
        <v>Atendeu a Meta</v>
      </c>
      <c r="W406" s="4" t="s">
        <v>40</v>
      </c>
      <c r="X406" s="4">
        <v>0</v>
      </c>
      <c r="Y406" s="5">
        <v>0</v>
      </c>
    </row>
    <row r="407" spans="1:25" x14ac:dyDescent="0.25">
      <c r="A407" s="8">
        <v>46290</v>
      </c>
      <c r="B407" s="16">
        <f>YEAR(Tabela32[[#This Row],[Data]])</f>
        <v>2026</v>
      </c>
      <c r="C407" s="16">
        <f>MONTH(Tabela32[[#This Row],[Data]])</f>
        <v>9</v>
      </c>
      <c r="D407" s="4" t="s">
        <v>31</v>
      </c>
      <c r="E407" s="4">
        <v>5</v>
      </c>
      <c r="F407" s="4" t="str">
        <f>IFERROR(VLOOKUP(Tabela32[[#This Row],[Placa]],Planilha2!$A$1:$B$12,2,0),"")</f>
        <v>Jerson</v>
      </c>
      <c r="G407" s="10">
        <v>5918.1</v>
      </c>
      <c r="H407" s="10">
        <v>83496.66</v>
      </c>
      <c r="I407" s="4">
        <v>1627</v>
      </c>
      <c r="J407" s="17">
        <f>IFERROR(Tabela32[[#This Row],[Valor Frete]]/Tabela32[[#This Row],[Valor Mercadoria]],"")</f>
        <v>7.0878284233165736E-2</v>
      </c>
      <c r="K407" s="11">
        <v>0.29166666666666669</v>
      </c>
      <c r="L407" s="15">
        <v>0.79861111111111116</v>
      </c>
      <c r="M407" s="15">
        <f>Tabela32[[#This Row],[Hr Chegada]]-Tabela32[[#This Row],[Hr Saida]]</f>
        <v>0.50694444444444442</v>
      </c>
      <c r="N407" s="4">
        <v>281008</v>
      </c>
      <c r="O407" s="4">
        <v>281099</v>
      </c>
      <c r="P407" s="4">
        <f>Tabela32[[#This Row],[Km Chegada]]-Tabela32[[#This Row],[Km Saída]]</f>
        <v>91</v>
      </c>
      <c r="Q407" s="4">
        <v>123</v>
      </c>
      <c r="R407" s="4">
        <v>19</v>
      </c>
      <c r="S407" s="4">
        <v>19</v>
      </c>
      <c r="T407" s="12">
        <f>Tabela32[[#This Row],[Entregas]]-Tabela32[[#This Row],[Realizadas]]</f>
        <v>0</v>
      </c>
      <c r="U407" s="18">
        <f>Tabela32[[#This Row],[Realizadas]]/Tabela32[[#This Row],[Entregas]]</f>
        <v>1</v>
      </c>
      <c r="V407" s="19" t="str">
        <f>IF(Tabela32[[#This Row],[% Entrega]]&gt;=96%,"Atendeu a Meta","Não Atendeu a Meta")</f>
        <v>Atendeu a Meta</v>
      </c>
      <c r="W407" s="4" t="s">
        <v>39</v>
      </c>
      <c r="X407" s="4">
        <v>0</v>
      </c>
      <c r="Y407" s="5">
        <v>0</v>
      </c>
    </row>
    <row r="408" spans="1:25" x14ac:dyDescent="0.25">
      <c r="A408" s="8">
        <v>46290</v>
      </c>
      <c r="B408" s="16">
        <f>YEAR(Tabela32[[#This Row],[Data]])</f>
        <v>2026</v>
      </c>
      <c r="C408" s="16">
        <f>MONTH(Tabela32[[#This Row],[Data]])</f>
        <v>9</v>
      </c>
      <c r="D408" s="4" t="s">
        <v>28</v>
      </c>
      <c r="E408" s="4">
        <v>1</v>
      </c>
      <c r="F408" s="4" t="str">
        <f>IFERROR(VLOOKUP(Tabela32[[#This Row],[Placa]],Planilha2!$A$1:$B$12,2,0),"")</f>
        <v>Edilson</v>
      </c>
      <c r="G408" s="10">
        <v>6735.3</v>
      </c>
      <c r="H408" s="10">
        <v>111500.64</v>
      </c>
      <c r="I408" s="4">
        <v>2337</v>
      </c>
      <c r="J408" s="17">
        <f>IFERROR(Tabela32[[#This Row],[Valor Frete]]/Tabela32[[#This Row],[Valor Mercadoria]],"")</f>
        <v>6.0405931302277727E-2</v>
      </c>
      <c r="K408" s="11">
        <v>0.29166666666666669</v>
      </c>
      <c r="L408" s="15">
        <v>0.83333333333333337</v>
      </c>
      <c r="M408" s="15">
        <f>Tabela32[[#This Row],[Hr Chegada]]-Tabela32[[#This Row],[Hr Saida]]</f>
        <v>0.54166666666666674</v>
      </c>
      <c r="N408" s="4">
        <v>106227</v>
      </c>
      <c r="O408" s="4">
        <v>106302</v>
      </c>
      <c r="P408" s="4">
        <f>Tabela32[[#This Row],[Km Chegada]]-Tabela32[[#This Row],[Km Saída]]</f>
        <v>75</v>
      </c>
      <c r="Q408" s="4">
        <v>19</v>
      </c>
      <c r="R408" s="4">
        <v>19</v>
      </c>
      <c r="S408" s="4">
        <v>19</v>
      </c>
      <c r="T408" s="12">
        <f>Tabela32[[#This Row],[Entregas]]-Tabela32[[#This Row],[Realizadas]]</f>
        <v>0</v>
      </c>
      <c r="U408" s="18">
        <f>Tabela32[[#This Row],[Realizadas]]/Tabela32[[#This Row],[Entregas]]</f>
        <v>1</v>
      </c>
      <c r="V408" s="19" t="str">
        <f>IF(Tabela32[[#This Row],[% Entrega]]&gt;=96%,"Atendeu a Meta","Não Atendeu a Meta")</f>
        <v>Atendeu a Meta</v>
      </c>
      <c r="W408" s="4" t="s">
        <v>40</v>
      </c>
      <c r="X408" s="4">
        <v>0</v>
      </c>
      <c r="Y408" s="5">
        <v>0</v>
      </c>
    </row>
    <row r="409" spans="1:25" x14ac:dyDescent="0.25">
      <c r="A409" s="8">
        <v>46290</v>
      </c>
      <c r="B409" s="16">
        <f>YEAR(Tabela32[[#This Row],[Data]])</f>
        <v>2026</v>
      </c>
      <c r="C409" s="16">
        <f>MONTH(Tabela32[[#This Row],[Data]])</f>
        <v>9</v>
      </c>
      <c r="D409" s="4" t="s">
        <v>22</v>
      </c>
      <c r="E409" s="4">
        <v>2</v>
      </c>
      <c r="F409" s="4" t="str">
        <f>IFERROR(VLOOKUP(Tabela32[[#This Row],[Placa]],Planilha2!$A$1:$B$12,2,0),"")</f>
        <v>Wesley</v>
      </c>
      <c r="G409" s="10">
        <v>9289.91</v>
      </c>
      <c r="H409" s="10">
        <v>164673.81</v>
      </c>
      <c r="I409" s="4">
        <v>1816</v>
      </c>
      <c r="J409" s="17">
        <f>IFERROR(Tabela32[[#This Row],[Valor Frete]]/Tabela32[[#This Row],[Valor Mercadoria]],"")</f>
        <v>5.6414010218139729E-2</v>
      </c>
      <c r="K409" s="11">
        <v>0.27083333333333331</v>
      </c>
      <c r="L409" s="15">
        <v>0.7729166666666667</v>
      </c>
      <c r="M409" s="15">
        <f>Tabela32[[#This Row],[Hr Chegada]]-Tabela32[[#This Row],[Hr Saida]]</f>
        <v>0.50208333333333344</v>
      </c>
      <c r="N409" s="4">
        <v>305511</v>
      </c>
      <c r="O409" s="4">
        <v>305567</v>
      </c>
      <c r="P409" s="4">
        <f>Tabela32[[#This Row],[Km Chegada]]-Tabela32[[#This Row],[Km Saída]]</f>
        <v>56</v>
      </c>
      <c r="Q409" s="4">
        <v>272</v>
      </c>
      <c r="R409" s="4">
        <v>27</v>
      </c>
      <c r="S409" s="4">
        <v>27</v>
      </c>
      <c r="T409" s="12">
        <f>Tabela32[[#This Row],[Entregas]]-Tabela32[[#This Row],[Realizadas]]</f>
        <v>0</v>
      </c>
      <c r="U409" s="18">
        <f>Tabela32[[#This Row],[Realizadas]]/Tabela32[[#This Row],[Entregas]]</f>
        <v>1</v>
      </c>
      <c r="V409" s="19" t="str">
        <f>IF(Tabela32[[#This Row],[% Entrega]]&gt;=96%,"Atendeu a Meta","Não Atendeu a Meta")</f>
        <v>Atendeu a Meta</v>
      </c>
      <c r="W409" s="4" t="s">
        <v>39</v>
      </c>
      <c r="X409" s="4">
        <v>0</v>
      </c>
      <c r="Y409" s="5">
        <v>0</v>
      </c>
    </row>
    <row r="410" spans="1:25" x14ac:dyDescent="0.25">
      <c r="A410" s="8">
        <v>46290</v>
      </c>
      <c r="B410" s="16">
        <f>YEAR(Tabela32[[#This Row],[Data]])</f>
        <v>2026</v>
      </c>
      <c r="C410" s="16">
        <f>MONTH(Tabela32[[#This Row],[Data]])</f>
        <v>9</v>
      </c>
      <c r="D410" s="4" t="s">
        <v>53</v>
      </c>
      <c r="E410" s="4">
        <v>3</v>
      </c>
      <c r="F410" s="4" t="str">
        <f>IFERROR(VLOOKUP(Tabela32[[#This Row],[Placa]],Planilha2!$A$1:$B$12,2,0),"")</f>
        <v>Arnaldo</v>
      </c>
      <c r="G410" s="10">
        <v>11040.71</v>
      </c>
      <c r="H410" s="10">
        <v>199413.43</v>
      </c>
      <c r="I410" s="4">
        <v>2635</v>
      </c>
      <c r="J410" s="17">
        <f>IFERROR(Tabela32[[#This Row],[Valor Frete]]/Tabela32[[#This Row],[Valor Mercadoria]],"")</f>
        <v>5.5365929967705785E-2</v>
      </c>
      <c r="K410" s="11">
        <v>0.2986111111111111</v>
      </c>
      <c r="L410" s="15">
        <v>0.73958333333333337</v>
      </c>
      <c r="M410" s="15">
        <f>Tabela32[[#This Row],[Hr Chegada]]-Tabela32[[#This Row],[Hr Saida]]</f>
        <v>0.44097222222222227</v>
      </c>
      <c r="N410" s="4">
        <v>14111</v>
      </c>
      <c r="O410" s="4">
        <v>14170</v>
      </c>
      <c r="P410" s="4">
        <f>Tabela32[[#This Row],[Km Chegada]]-Tabela32[[#This Row],[Km Saída]]</f>
        <v>59</v>
      </c>
      <c r="Q410" s="4">
        <v>204</v>
      </c>
      <c r="R410" s="4">
        <v>23</v>
      </c>
      <c r="S410" s="4">
        <v>23</v>
      </c>
      <c r="T410" s="12">
        <f>Tabela32[[#This Row],[Entregas]]-Tabela32[[#This Row],[Realizadas]]</f>
        <v>0</v>
      </c>
      <c r="U410" s="18">
        <f>Tabela32[[#This Row],[Realizadas]]/Tabela32[[#This Row],[Entregas]]</f>
        <v>1</v>
      </c>
      <c r="V410" s="19" t="str">
        <f>IF(Tabela32[[#This Row],[% Entrega]]&gt;=96%,"Atendeu a Meta","Não Atendeu a Meta")</f>
        <v>Atendeu a Meta</v>
      </c>
      <c r="W410" s="4" t="s">
        <v>39</v>
      </c>
      <c r="X410" s="4">
        <v>1</v>
      </c>
      <c r="Y410" s="5">
        <v>29</v>
      </c>
    </row>
    <row r="411" spans="1:25" x14ac:dyDescent="0.25">
      <c r="A411" s="8">
        <v>46290</v>
      </c>
      <c r="B411" s="16">
        <f>YEAR(Tabela32[[#This Row],[Data]])</f>
        <v>2026</v>
      </c>
      <c r="C411" s="16">
        <f>MONTH(Tabela32[[#This Row],[Data]])</f>
        <v>9</v>
      </c>
      <c r="D411" s="4" t="s">
        <v>29</v>
      </c>
      <c r="E411" s="4">
        <v>1</v>
      </c>
      <c r="F411" s="4" t="str">
        <f>IFERROR(VLOOKUP(Tabela32[[#This Row],[Placa]],Planilha2!$A$1:$B$12,2,0),"")</f>
        <v>Sandro</v>
      </c>
      <c r="G411" s="10">
        <v>4396.1099999999997</v>
      </c>
      <c r="H411" s="10">
        <v>244440.09</v>
      </c>
      <c r="I411" s="4">
        <v>333</v>
      </c>
      <c r="J411" s="17">
        <f>IFERROR(Tabela32[[#This Row],[Valor Frete]]/Tabela32[[#This Row],[Valor Mercadoria]],"")</f>
        <v>1.7984406731318091E-2</v>
      </c>
      <c r="K411" s="11">
        <v>0.29166666666666669</v>
      </c>
      <c r="L411" s="15">
        <v>0.85347222222222219</v>
      </c>
      <c r="M411" s="15">
        <f>Tabela32[[#This Row],[Hr Chegada]]-Tabela32[[#This Row],[Hr Saida]]</f>
        <v>0.56180555555555545</v>
      </c>
      <c r="N411" s="4">
        <v>276245</v>
      </c>
      <c r="O411" s="4">
        <v>276281</v>
      </c>
      <c r="P411" s="4">
        <f>Tabela32[[#This Row],[Km Chegada]]-Tabela32[[#This Row],[Km Saída]]</f>
        <v>36</v>
      </c>
      <c r="Q411" s="4">
        <v>199</v>
      </c>
      <c r="R411" s="4">
        <v>5</v>
      </c>
      <c r="S411" s="4">
        <v>5</v>
      </c>
      <c r="T411" s="12">
        <f>Tabela32[[#This Row],[Entregas]]-Tabela32[[#This Row],[Realizadas]]</f>
        <v>0</v>
      </c>
      <c r="U411" s="18">
        <f>Tabela32[[#This Row],[Realizadas]]/Tabela32[[#This Row],[Entregas]]</f>
        <v>1</v>
      </c>
      <c r="V411" s="19" t="str">
        <f>IF(Tabela32[[#This Row],[% Entrega]]&gt;=96%,"Atendeu a Meta","Não Atendeu a Meta")</f>
        <v>Atendeu a Meta</v>
      </c>
      <c r="W411" s="4" t="s">
        <v>40</v>
      </c>
      <c r="X411" s="4">
        <v>0</v>
      </c>
      <c r="Y411" s="5">
        <v>0</v>
      </c>
    </row>
    <row r="412" spans="1:25" x14ac:dyDescent="0.25">
      <c r="A412" s="8">
        <v>46290</v>
      </c>
      <c r="B412" s="16">
        <f>YEAR(Tabela32[[#This Row],[Data]])</f>
        <v>2026</v>
      </c>
      <c r="C412" s="16">
        <f>MONTH(Tabela32[[#This Row],[Data]])</f>
        <v>9</v>
      </c>
      <c r="D412" s="4" t="s">
        <v>25</v>
      </c>
      <c r="E412" s="4">
        <v>1</v>
      </c>
      <c r="F412" s="4" t="str">
        <f>IFERROR(VLOOKUP(Tabela32[[#This Row],[Placa]],Planilha2!$A$1:$B$12,2,0),"")</f>
        <v>Gilberto</v>
      </c>
      <c r="G412" s="10">
        <v>14980.47</v>
      </c>
      <c r="H412" s="10">
        <v>140701.66</v>
      </c>
      <c r="I412" s="4">
        <v>5351</v>
      </c>
      <c r="J412" s="17">
        <f>IFERROR(Tabela32[[#This Row],[Valor Frete]]/Tabela32[[#This Row],[Valor Mercadoria]],"")</f>
        <v>0.10646974598593932</v>
      </c>
      <c r="K412" s="11">
        <v>0.3125</v>
      </c>
      <c r="L412" s="15">
        <v>0.69791666666666663</v>
      </c>
      <c r="M412" s="15">
        <f>Tabela32[[#This Row],[Hr Chegada]]-Tabela32[[#This Row],[Hr Saida]]</f>
        <v>0.38541666666666663</v>
      </c>
      <c r="N412" s="4">
        <v>120351</v>
      </c>
      <c r="O412" s="4">
        <v>120398</v>
      </c>
      <c r="P412" s="4">
        <f>Tabela32[[#This Row],[Km Chegada]]-Tabela32[[#This Row],[Km Saída]]</f>
        <v>47</v>
      </c>
      <c r="Q412" s="4">
        <v>424</v>
      </c>
      <c r="R412" s="4">
        <v>12</v>
      </c>
      <c r="S412" s="4">
        <v>12</v>
      </c>
      <c r="T412" s="12">
        <f>Tabela32[[#This Row],[Entregas]]-Tabela32[[#This Row],[Realizadas]]</f>
        <v>0</v>
      </c>
      <c r="U412" s="18">
        <f>Tabela32[[#This Row],[Realizadas]]/Tabela32[[#This Row],[Entregas]]</f>
        <v>1</v>
      </c>
      <c r="V412" s="19" t="str">
        <f>IF(Tabela32[[#This Row],[% Entrega]]&gt;=96%,"Atendeu a Meta","Não Atendeu a Meta")</f>
        <v>Atendeu a Meta</v>
      </c>
      <c r="W412" s="4" t="s">
        <v>43</v>
      </c>
      <c r="X412" s="4">
        <v>0</v>
      </c>
      <c r="Y412" s="5">
        <v>0</v>
      </c>
    </row>
    <row r="413" spans="1:25" x14ac:dyDescent="0.25">
      <c r="A413" s="8">
        <v>46290</v>
      </c>
      <c r="B413" s="16">
        <f>YEAR(Tabela32[[#This Row],[Data]])</f>
        <v>2026</v>
      </c>
      <c r="C413" s="16">
        <f>MONTH(Tabela32[[#This Row],[Data]])</f>
        <v>9</v>
      </c>
      <c r="D413" s="4" t="s">
        <v>35</v>
      </c>
      <c r="E413" s="4">
        <v>1</v>
      </c>
      <c r="F413" s="4" t="str">
        <f>IFERROR(VLOOKUP(Tabela32[[#This Row],[Placa]],Planilha2!$A$1:$B$12,2,0),"")</f>
        <v>Osvaldo</v>
      </c>
      <c r="G413" s="10">
        <v>4004.13</v>
      </c>
      <c r="H413" s="10">
        <v>51763.71</v>
      </c>
      <c r="I413" s="4">
        <v>523</v>
      </c>
      <c r="J413" s="17">
        <f>IFERROR(Tabela32[[#This Row],[Valor Frete]]/Tabela32[[#This Row],[Valor Mercadoria]],"")</f>
        <v>7.7353999549104963E-2</v>
      </c>
      <c r="K413" s="11">
        <v>0.3125</v>
      </c>
      <c r="L413" s="15">
        <v>0.68958333333333333</v>
      </c>
      <c r="M413" s="15">
        <f>Tabela32[[#This Row],[Hr Chegada]]-Tabela32[[#This Row],[Hr Saida]]</f>
        <v>0.37708333333333333</v>
      </c>
      <c r="N413" s="4">
        <v>143760</v>
      </c>
      <c r="O413" s="4">
        <v>143838</v>
      </c>
      <c r="P413" s="4">
        <f>Tabela32[[#This Row],[Km Chegada]]-Tabela32[[#This Row],[Km Saída]]</f>
        <v>78</v>
      </c>
      <c r="Q413" s="4">
        <v>105</v>
      </c>
      <c r="R413" s="4">
        <v>17</v>
      </c>
      <c r="S413" s="4">
        <v>17</v>
      </c>
      <c r="T413" s="12">
        <f>Tabela32[[#This Row],[Entregas]]-Tabela32[[#This Row],[Realizadas]]</f>
        <v>0</v>
      </c>
      <c r="U413" s="18">
        <f>Tabela32[[#This Row],[Realizadas]]/Tabela32[[#This Row],[Entregas]]</f>
        <v>1</v>
      </c>
      <c r="V413" s="19" t="str">
        <f>IF(Tabela32[[#This Row],[% Entrega]]&gt;=96%,"Atendeu a Meta","Não Atendeu a Meta")</f>
        <v>Atendeu a Meta</v>
      </c>
      <c r="W413" s="4" t="s">
        <v>43</v>
      </c>
      <c r="X413" s="4">
        <v>0</v>
      </c>
      <c r="Y413" s="5">
        <v>0</v>
      </c>
    </row>
    <row r="414" spans="1:25" x14ac:dyDescent="0.25">
      <c r="A414" s="8">
        <v>46293</v>
      </c>
      <c r="B414" s="16">
        <f>YEAR(Tabela32[[#This Row],[Data]])</f>
        <v>2026</v>
      </c>
      <c r="C414" s="16">
        <f>MONTH(Tabela32[[#This Row],[Data]])</f>
        <v>9</v>
      </c>
      <c r="D414" s="4" t="s">
        <v>28</v>
      </c>
      <c r="E414" s="4">
        <v>11</v>
      </c>
      <c r="F414" s="4" t="str">
        <f>IFERROR(VLOOKUP(Tabela32[[#This Row],[Placa]],Planilha2!$A$1:$B$12,2,0),"")</f>
        <v>Edilson</v>
      </c>
      <c r="G414" s="10">
        <v>21693.67</v>
      </c>
      <c r="H414" s="10">
        <v>354040.34</v>
      </c>
      <c r="I414" s="4">
        <v>4005</v>
      </c>
      <c r="J414" s="17">
        <f>IFERROR(Tabela32[[#This Row],[Valor Frete]]/Tabela32[[#This Row],[Valor Mercadoria]],"")</f>
        <v>6.1274571140678483E-2</v>
      </c>
      <c r="K414" s="11">
        <v>0.27430555555555558</v>
      </c>
      <c r="L414" s="15">
        <v>0.80208333333333337</v>
      </c>
      <c r="M414" s="15">
        <f>Tabela32[[#This Row],[Hr Chegada]]-Tabela32[[#This Row],[Hr Saida]]</f>
        <v>0.52777777777777779</v>
      </c>
      <c r="N414" s="4">
        <v>106302</v>
      </c>
      <c r="O414" s="4">
        <v>106433</v>
      </c>
      <c r="P414" s="4">
        <f>Tabela32[[#This Row],[Km Chegada]]-Tabela32[[#This Row],[Km Saída]]</f>
        <v>131</v>
      </c>
      <c r="Q414" s="4">
        <v>737</v>
      </c>
      <c r="R414" s="4">
        <v>21</v>
      </c>
      <c r="S414" s="4">
        <v>21</v>
      </c>
      <c r="T414" s="12">
        <f>Tabela32[[#This Row],[Entregas]]-Tabela32[[#This Row],[Realizadas]]</f>
        <v>0</v>
      </c>
      <c r="U414" s="18">
        <f>Tabela32[[#This Row],[Realizadas]]/Tabela32[[#This Row],[Entregas]]</f>
        <v>1</v>
      </c>
      <c r="V414" s="19" t="str">
        <f>IF(Tabela32[[#This Row],[% Entrega]]&gt;=96%,"Atendeu a Meta","Não Atendeu a Meta")</f>
        <v>Atendeu a Meta</v>
      </c>
      <c r="W414" s="4" t="s">
        <v>41</v>
      </c>
      <c r="X414" s="4">
        <v>0</v>
      </c>
      <c r="Y414" s="5">
        <v>0</v>
      </c>
    </row>
    <row r="415" spans="1:25" x14ac:dyDescent="0.25">
      <c r="A415" s="8">
        <v>46293</v>
      </c>
      <c r="B415" s="16">
        <f>YEAR(Tabela32[[#This Row],[Data]])</f>
        <v>2026</v>
      </c>
      <c r="C415" s="16">
        <f>MONTH(Tabela32[[#This Row],[Data]])</f>
        <v>9</v>
      </c>
      <c r="D415" s="4" t="s">
        <v>33</v>
      </c>
      <c r="E415" s="4">
        <v>1</v>
      </c>
      <c r="F415" s="4" t="str">
        <f>IFERROR(VLOOKUP(Tabela32[[#This Row],[Placa]],Planilha2!$A$1:$B$12,2,0),"")</f>
        <v>Paulo</v>
      </c>
      <c r="G415" s="10">
        <v>2973.41</v>
      </c>
      <c r="H415" s="10">
        <v>9200.4500000000007</v>
      </c>
      <c r="I415" s="4">
        <v>177</v>
      </c>
      <c r="J415" s="17">
        <f>IFERROR(Tabela32[[#This Row],[Valor Frete]]/Tabela32[[#This Row],[Valor Mercadoria]],"")</f>
        <v>0.32318093136748743</v>
      </c>
      <c r="K415" s="11">
        <v>0.26319444444444445</v>
      </c>
      <c r="L415" s="15">
        <v>0.49791666666666667</v>
      </c>
      <c r="M415" s="15">
        <f>Tabela32[[#This Row],[Hr Chegada]]-Tabela32[[#This Row],[Hr Saida]]</f>
        <v>0.23472222222222222</v>
      </c>
      <c r="N415" s="4">
        <v>156247</v>
      </c>
      <c r="O415" s="4">
        <v>156302</v>
      </c>
      <c r="P415" s="4">
        <f>Tabela32[[#This Row],[Km Chegada]]-Tabela32[[#This Row],[Km Saída]]</f>
        <v>55</v>
      </c>
      <c r="Q415" s="4">
        <v>27</v>
      </c>
      <c r="R415" s="4">
        <v>1</v>
      </c>
      <c r="S415" s="4">
        <v>1</v>
      </c>
      <c r="T415" s="12">
        <f>Tabela32[[#This Row],[Entregas]]-Tabela32[[#This Row],[Realizadas]]</f>
        <v>0</v>
      </c>
      <c r="U415" s="18">
        <f>Tabela32[[#This Row],[Realizadas]]/Tabela32[[#This Row],[Entregas]]</f>
        <v>1</v>
      </c>
      <c r="V415" s="19" t="str">
        <f>IF(Tabela32[[#This Row],[% Entrega]]&gt;=96%,"Atendeu a Meta","Não Atendeu a Meta")</f>
        <v>Atendeu a Meta</v>
      </c>
      <c r="W415" s="4" t="s">
        <v>40</v>
      </c>
      <c r="X415" s="4">
        <v>0</v>
      </c>
      <c r="Y415" s="5">
        <v>0</v>
      </c>
    </row>
    <row r="416" spans="1:25" x14ac:dyDescent="0.25">
      <c r="A416" s="8">
        <v>46293</v>
      </c>
      <c r="B416" s="16">
        <f>YEAR(Tabela32[[#This Row],[Data]])</f>
        <v>2026</v>
      </c>
      <c r="C416" s="16">
        <f>MONTH(Tabela32[[#This Row],[Data]])</f>
        <v>9</v>
      </c>
      <c r="D416" s="4" t="s">
        <v>22</v>
      </c>
      <c r="E416" s="4">
        <v>3</v>
      </c>
      <c r="F416" s="4" t="str">
        <f>IFERROR(VLOOKUP(Tabela32[[#This Row],[Placa]],Planilha2!$A$1:$B$12,2,0),"")</f>
        <v>Wesley</v>
      </c>
      <c r="G416" s="10">
        <v>9218.99</v>
      </c>
      <c r="H416" s="10">
        <v>251213.41</v>
      </c>
      <c r="I416" s="4">
        <v>2045</v>
      </c>
      <c r="J416" s="17">
        <f>IFERROR(Tabela32[[#This Row],[Valor Frete]]/Tabela32[[#This Row],[Valor Mercadoria]],"")</f>
        <v>3.669784188670501E-2</v>
      </c>
      <c r="K416" s="11">
        <v>0.29166666666666669</v>
      </c>
      <c r="L416" s="15">
        <v>0.76388888888888884</v>
      </c>
      <c r="M416" s="15">
        <f>Tabela32[[#This Row],[Hr Chegada]]-Tabela32[[#This Row],[Hr Saida]]</f>
        <v>0.47222222222222215</v>
      </c>
      <c r="N416" s="4">
        <v>305567</v>
      </c>
      <c r="O416" s="4">
        <v>305630</v>
      </c>
      <c r="P416" s="4">
        <f>Tabela32[[#This Row],[Km Chegada]]-Tabela32[[#This Row],[Km Saída]]</f>
        <v>63</v>
      </c>
      <c r="Q416" s="4">
        <v>262</v>
      </c>
      <c r="R416" s="4">
        <v>23</v>
      </c>
      <c r="S416" s="4">
        <v>21</v>
      </c>
      <c r="T416" s="12">
        <f>Tabela32[[#This Row],[Entregas]]-Tabela32[[#This Row],[Realizadas]]</f>
        <v>2</v>
      </c>
      <c r="U416" s="18">
        <f>Tabela32[[#This Row],[Realizadas]]/Tabela32[[#This Row],[Entregas]]</f>
        <v>0.91304347826086951</v>
      </c>
      <c r="V416" s="19" t="str">
        <f>IF(Tabela32[[#This Row],[% Entrega]]&gt;=96%,"Atendeu a Meta","Não Atendeu a Meta")</f>
        <v>Não Atendeu a Meta</v>
      </c>
      <c r="W416" s="4" t="s">
        <v>39</v>
      </c>
      <c r="X416" s="4">
        <v>3</v>
      </c>
      <c r="Y416" s="5" t="s">
        <v>90</v>
      </c>
    </row>
    <row r="417" spans="1:25" x14ac:dyDescent="0.25">
      <c r="A417" s="8">
        <v>46293</v>
      </c>
      <c r="B417" s="16">
        <f>YEAR(Tabela32[[#This Row],[Data]])</f>
        <v>2026</v>
      </c>
      <c r="C417" s="16">
        <f>MONTH(Tabela32[[#This Row],[Data]])</f>
        <v>9</v>
      </c>
      <c r="D417" s="4" t="s">
        <v>23</v>
      </c>
      <c r="E417" s="4">
        <v>2</v>
      </c>
      <c r="F417" s="4" t="str">
        <f>IFERROR(VLOOKUP(Tabela32[[#This Row],[Placa]],Planilha2!$A$1:$B$12,2,0),"")</f>
        <v>William</v>
      </c>
      <c r="G417" s="10">
        <v>9319.57</v>
      </c>
      <c r="H417" s="10">
        <v>206129.93</v>
      </c>
      <c r="I417" s="4">
        <v>1859</v>
      </c>
      <c r="J417" s="17">
        <f>IFERROR(Tabela32[[#This Row],[Valor Frete]]/Tabela32[[#This Row],[Valor Mercadoria]],"")</f>
        <v>4.5212114514374499E-2</v>
      </c>
      <c r="K417" s="11">
        <v>0.27083333333333331</v>
      </c>
      <c r="L417" s="15">
        <v>0.80555555555555558</v>
      </c>
      <c r="M417" s="15">
        <f>Tabela32[[#This Row],[Hr Chegada]]-Tabela32[[#This Row],[Hr Saida]]</f>
        <v>0.53472222222222232</v>
      </c>
      <c r="N417" s="4">
        <v>126246</v>
      </c>
      <c r="O417" s="4">
        <v>126325</v>
      </c>
      <c r="P417" s="4">
        <f>Tabela32[[#This Row],[Km Chegada]]-Tabela32[[#This Row],[Km Saída]]</f>
        <v>79</v>
      </c>
      <c r="Q417" s="4">
        <v>267</v>
      </c>
      <c r="R417" s="4">
        <v>32</v>
      </c>
      <c r="S417" s="4">
        <v>32</v>
      </c>
      <c r="T417" s="12">
        <f>Tabela32[[#This Row],[Entregas]]-Tabela32[[#This Row],[Realizadas]]</f>
        <v>0</v>
      </c>
      <c r="U417" s="18">
        <f>Tabela32[[#This Row],[Realizadas]]/Tabela32[[#This Row],[Entregas]]</f>
        <v>1</v>
      </c>
      <c r="V417" s="19" t="str">
        <f>IF(Tabela32[[#This Row],[% Entrega]]&gt;=96%,"Atendeu a Meta","Não Atendeu a Meta")</f>
        <v>Atendeu a Meta</v>
      </c>
      <c r="W417" s="4" t="s">
        <v>39</v>
      </c>
      <c r="X417" s="4">
        <v>0</v>
      </c>
      <c r="Y417" s="5">
        <v>0</v>
      </c>
    </row>
    <row r="418" spans="1:25" x14ac:dyDescent="0.25">
      <c r="A418" s="8">
        <v>46293</v>
      </c>
      <c r="B418" s="16">
        <f>YEAR(Tabela32[[#This Row],[Data]])</f>
        <v>2026</v>
      </c>
      <c r="C418" s="16">
        <f>MONTH(Tabela32[[#This Row],[Data]])</f>
        <v>9</v>
      </c>
      <c r="D418" s="4" t="s">
        <v>27</v>
      </c>
      <c r="E418" s="4">
        <v>1</v>
      </c>
      <c r="F418" s="4" t="str">
        <f>IFERROR(VLOOKUP(Tabela32[[#This Row],[Placa]],Planilha2!$A$1:$B$12,2,0),"")</f>
        <v>Rosinaldo</v>
      </c>
      <c r="G418" s="10">
        <v>9333.08</v>
      </c>
      <c r="H418" s="10">
        <v>290605.62</v>
      </c>
      <c r="I418" s="4">
        <v>1402</v>
      </c>
      <c r="J418" s="17">
        <f>IFERROR(Tabela32[[#This Row],[Valor Frete]]/Tabela32[[#This Row],[Valor Mercadoria]],"")</f>
        <v>3.2115965272798232E-2</v>
      </c>
      <c r="K418" s="11">
        <v>0.29166666666666669</v>
      </c>
      <c r="L418" s="15">
        <v>0.78263888888888888</v>
      </c>
      <c r="M418" s="15">
        <f>Tabela32[[#This Row],[Hr Chegada]]-Tabela32[[#This Row],[Hr Saida]]</f>
        <v>0.4909722222222222</v>
      </c>
      <c r="N418" s="4">
        <v>291859</v>
      </c>
      <c r="O418" s="4">
        <v>291912</v>
      </c>
      <c r="P418" s="4">
        <f>Tabela32[[#This Row],[Km Chegada]]-Tabela32[[#This Row],[Km Saída]]</f>
        <v>53</v>
      </c>
      <c r="Q418" s="4">
        <v>143</v>
      </c>
      <c r="R418" s="4">
        <v>5</v>
      </c>
      <c r="S418" s="4">
        <v>5</v>
      </c>
      <c r="T418" s="12">
        <f>Tabela32[[#This Row],[Entregas]]-Tabela32[[#This Row],[Realizadas]]</f>
        <v>0</v>
      </c>
      <c r="U418" s="18">
        <f>Tabela32[[#This Row],[Realizadas]]/Tabela32[[#This Row],[Entregas]]</f>
        <v>1</v>
      </c>
      <c r="V418" s="19" t="str">
        <f>IF(Tabela32[[#This Row],[% Entrega]]&gt;=96%,"Atendeu a Meta","Não Atendeu a Meta")</f>
        <v>Atendeu a Meta</v>
      </c>
      <c r="W418" s="4" t="s">
        <v>40</v>
      </c>
      <c r="X418" s="4">
        <v>0</v>
      </c>
      <c r="Y418" s="5">
        <v>0</v>
      </c>
    </row>
    <row r="419" spans="1:25" x14ac:dyDescent="0.25">
      <c r="A419" s="8">
        <v>46293</v>
      </c>
      <c r="B419" s="16">
        <f>YEAR(Tabela32[[#This Row],[Data]])</f>
        <v>2026</v>
      </c>
      <c r="C419" s="16">
        <f>MONTH(Tabela32[[#This Row],[Data]])</f>
        <v>9</v>
      </c>
      <c r="D419" s="4" t="s">
        <v>53</v>
      </c>
      <c r="E419" s="4">
        <v>5</v>
      </c>
      <c r="F419" s="4" t="str">
        <f>IFERROR(VLOOKUP(Tabela32[[#This Row],[Placa]],Planilha2!$A$1:$B$12,2,0),"")</f>
        <v>Arnaldo</v>
      </c>
      <c r="G419" s="10">
        <v>23684.07</v>
      </c>
      <c r="H419" s="10">
        <v>464001.72</v>
      </c>
      <c r="I419" s="4">
        <v>3729</v>
      </c>
      <c r="J419" s="17">
        <f>IFERROR(Tabela32[[#This Row],[Valor Frete]]/Tabela32[[#This Row],[Valor Mercadoria]],"")</f>
        <v>5.1043065098982827E-2</v>
      </c>
      <c r="K419" s="11">
        <v>0.29375000000000001</v>
      </c>
      <c r="L419" s="15">
        <v>0.78055555555555556</v>
      </c>
      <c r="M419" s="15">
        <f>Tabela32[[#This Row],[Hr Chegada]]-Tabela32[[#This Row],[Hr Saida]]</f>
        <v>0.48680555555555555</v>
      </c>
      <c r="N419" s="4">
        <v>14171</v>
      </c>
      <c r="O419" s="4">
        <v>14237</v>
      </c>
      <c r="P419" s="4">
        <f>Tabela32[[#This Row],[Km Chegada]]-Tabela32[[#This Row],[Km Saída]]</f>
        <v>66</v>
      </c>
      <c r="Q419" s="4">
        <v>274</v>
      </c>
      <c r="R419" s="4">
        <v>21</v>
      </c>
      <c r="S419" s="4">
        <v>21</v>
      </c>
      <c r="T419" s="12">
        <f>Tabela32[[#This Row],[Entregas]]-Tabela32[[#This Row],[Realizadas]]</f>
        <v>0</v>
      </c>
      <c r="U419" s="18">
        <f>Tabela32[[#This Row],[Realizadas]]/Tabela32[[#This Row],[Entregas]]</f>
        <v>1</v>
      </c>
      <c r="V419" s="19" t="str">
        <f>IF(Tabela32[[#This Row],[% Entrega]]&gt;=96%,"Atendeu a Meta","Não Atendeu a Meta")</f>
        <v>Atendeu a Meta</v>
      </c>
      <c r="W419" s="4" t="s">
        <v>39</v>
      </c>
      <c r="X419" s="4">
        <v>0</v>
      </c>
      <c r="Y419" s="5">
        <v>38</v>
      </c>
    </row>
    <row r="420" spans="1:25" x14ac:dyDescent="0.25">
      <c r="A420" s="8">
        <v>46293</v>
      </c>
      <c r="B420" s="16">
        <f>YEAR(Tabela32[[#This Row],[Data]])</f>
        <v>2026</v>
      </c>
      <c r="C420" s="16">
        <f>MONTH(Tabela32[[#This Row],[Data]])</f>
        <v>9</v>
      </c>
      <c r="D420" s="4" t="s">
        <v>29</v>
      </c>
      <c r="E420" s="4">
        <v>1</v>
      </c>
      <c r="F420" s="4" t="str">
        <f>IFERROR(VLOOKUP(Tabela32[[#This Row],[Placa]],Planilha2!$A$1:$B$12,2,0),"")</f>
        <v>Sandro</v>
      </c>
      <c r="G420" s="10">
        <v>3368.44</v>
      </c>
      <c r="H420" s="10">
        <v>39299.07</v>
      </c>
      <c r="I420" s="4">
        <v>126</v>
      </c>
      <c r="J420" s="17">
        <f>IFERROR(Tabela32[[#This Row],[Valor Frete]]/Tabela32[[#This Row],[Valor Mercadoria]],"")</f>
        <v>8.5712969798013031E-2</v>
      </c>
      <c r="K420" s="11">
        <v>0.29166666666666669</v>
      </c>
      <c r="L420" s="15">
        <v>0.73263888888888884</v>
      </c>
      <c r="M420" s="15">
        <f>Tabela32[[#This Row],[Hr Chegada]]-Tabela32[[#This Row],[Hr Saida]]</f>
        <v>0.44097222222222215</v>
      </c>
      <c r="N420" s="4">
        <v>276287</v>
      </c>
      <c r="O420" s="4">
        <v>276329</v>
      </c>
      <c r="P420" s="4">
        <f>Tabela32[[#This Row],[Km Chegada]]-Tabela32[[#This Row],[Km Saída]]</f>
        <v>42</v>
      </c>
      <c r="Q420" s="4">
        <v>34</v>
      </c>
      <c r="R420" s="4">
        <v>5</v>
      </c>
      <c r="S420" s="4">
        <v>5</v>
      </c>
      <c r="T420" s="12">
        <f>Tabela32[[#This Row],[Entregas]]-Tabela32[[#This Row],[Realizadas]]</f>
        <v>0</v>
      </c>
      <c r="U420" s="18">
        <f>Tabela32[[#This Row],[Realizadas]]/Tabela32[[#This Row],[Entregas]]</f>
        <v>1</v>
      </c>
      <c r="V420" s="19" t="str">
        <f>IF(Tabela32[[#This Row],[% Entrega]]&gt;=96%,"Atendeu a Meta","Não Atendeu a Meta")</f>
        <v>Atendeu a Meta</v>
      </c>
      <c r="W420" s="4" t="s">
        <v>40</v>
      </c>
      <c r="X420" s="4">
        <v>0</v>
      </c>
      <c r="Y420" s="5">
        <v>0</v>
      </c>
    </row>
    <row r="421" spans="1:25" x14ac:dyDescent="0.25">
      <c r="A421" s="8">
        <v>46293</v>
      </c>
      <c r="B421" s="16">
        <f>YEAR(Tabela32[[#This Row],[Data]])</f>
        <v>2026</v>
      </c>
      <c r="C421" s="16">
        <f>MONTH(Tabela32[[#This Row],[Data]])</f>
        <v>9</v>
      </c>
      <c r="D421" s="4" t="s">
        <v>31</v>
      </c>
      <c r="E421" s="4">
        <v>1</v>
      </c>
      <c r="F421" s="4" t="str">
        <f>IFERROR(VLOOKUP(Tabela32[[#This Row],[Placa]],Planilha2!$A$1:$B$12,2,0),"")</f>
        <v>Jerson</v>
      </c>
      <c r="G421" s="10">
        <v>4705.49</v>
      </c>
      <c r="H421" s="10">
        <v>42953.85</v>
      </c>
      <c r="I421" s="4">
        <v>769</v>
      </c>
      <c r="J421" s="17">
        <f>IFERROR(Tabela32[[#This Row],[Valor Frete]]/Tabela32[[#This Row],[Valor Mercadoria]],"")</f>
        <v>0.10954757256916435</v>
      </c>
      <c r="K421" s="11">
        <v>0.2986111111111111</v>
      </c>
      <c r="L421" s="15">
        <v>0.85277777777777775</v>
      </c>
      <c r="M421" s="15">
        <f>Tabela32[[#This Row],[Hr Chegada]]-Tabela32[[#This Row],[Hr Saida]]</f>
        <v>0.5541666666666667</v>
      </c>
      <c r="N421" s="4">
        <v>281059</v>
      </c>
      <c r="O421" s="4">
        <v>281247</v>
      </c>
      <c r="P421" s="4">
        <f>Tabela32[[#This Row],[Km Chegada]]-Tabela32[[#This Row],[Km Saída]]</f>
        <v>188</v>
      </c>
      <c r="Q421" s="4">
        <v>108</v>
      </c>
      <c r="R421" s="4">
        <v>16</v>
      </c>
      <c r="S421" s="4">
        <v>15</v>
      </c>
      <c r="T421" s="12">
        <f>Tabela32[[#This Row],[Entregas]]-Tabela32[[#This Row],[Realizadas]]</f>
        <v>1</v>
      </c>
      <c r="U421" s="18">
        <f>Tabela32[[#This Row],[Realizadas]]/Tabela32[[#This Row],[Entregas]]</f>
        <v>0.9375</v>
      </c>
      <c r="V421" s="19" t="str">
        <f>IF(Tabela32[[#This Row],[% Entrega]]&gt;=96%,"Atendeu a Meta","Não Atendeu a Meta")</f>
        <v>Não Atendeu a Meta</v>
      </c>
      <c r="W421" s="4" t="s">
        <v>91</v>
      </c>
      <c r="X421" s="4">
        <v>2</v>
      </c>
      <c r="Y421" s="5">
        <v>13.42</v>
      </c>
    </row>
    <row r="422" spans="1:25" x14ac:dyDescent="0.25">
      <c r="A422" s="8">
        <v>46293</v>
      </c>
      <c r="B422" s="16">
        <f>YEAR(Tabela32[[#This Row],[Data]])</f>
        <v>2026</v>
      </c>
      <c r="C422" s="16">
        <f>MONTH(Tabela32[[#This Row],[Data]])</f>
        <v>9</v>
      </c>
      <c r="D422" s="4" t="s">
        <v>36</v>
      </c>
      <c r="E422" s="4">
        <v>5</v>
      </c>
      <c r="F422" s="4" t="str">
        <f>IFERROR(VLOOKUP(Tabela32[[#This Row],[Placa]],Planilha2!$A$1:$B$12,2,0),"")</f>
        <v>Heremilton</v>
      </c>
      <c r="G422" s="10">
        <v>12922.53</v>
      </c>
      <c r="H422" s="10">
        <v>364913.29</v>
      </c>
      <c r="I422" s="4">
        <v>2323</v>
      </c>
      <c r="J422" s="17">
        <f>IFERROR(Tabela32[[#This Row],[Valor Frete]]/Tabela32[[#This Row],[Valor Mercadoria]],"")</f>
        <v>3.5412604457349312E-2</v>
      </c>
      <c r="K422" s="11">
        <v>0.27083333333333331</v>
      </c>
      <c r="L422" s="15">
        <v>0.76388888888888884</v>
      </c>
      <c r="M422" s="15">
        <f>Tabela32[[#This Row],[Hr Chegada]]-Tabela32[[#This Row],[Hr Saida]]</f>
        <v>0.49305555555555552</v>
      </c>
      <c r="N422" s="4">
        <v>367044</v>
      </c>
      <c r="O422" s="4">
        <v>367081</v>
      </c>
      <c r="P422" s="4">
        <f>Tabela32[[#This Row],[Km Chegada]]-Tabela32[[#This Row],[Km Saída]]</f>
        <v>37</v>
      </c>
      <c r="Q422" s="4">
        <v>576</v>
      </c>
      <c r="R422" s="4">
        <v>12</v>
      </c>
      <c r="S422" s="4">
        <v>12</v>
      </c>
      <c r="T422" s="12">
        <f>Tabela32[[#This Row],[Entregas]]-Tabela32[[#This Row],[Realizadas]]</f>
        <v>0</v>
      </c>
      <c r="U422" s="18">
        <f>Tabela32[[#This Row],[Realizadas]]/Tabela32[[#This Row],[Entregas]]</f>
        <v>1</v>
      </c>
      <c r="V422" s="19" t="str">
        <f>IF(Tabela32[[#This Row],[% Entrega]]&gt;=96%,"Atendeu a Meta","Não Atendeu a Meta")</f>
        <v>Atendeu a Meta</v>
      </c>
      <c r="W422" s="4" t="s">
        <v>39</v>
      </c>
      <c r="X422" s="4">
        <v>0</v>
      </c>
      <c r="Y422" s="5">
        <v>0</v>
      </c>
    </row>
    <row r="423" spans="1:25" x14ac:dyDescent="0.25">
      <c r="A423" s="8">
        <v>46293</v>
      </c>
      <c r="B423" s="16">
        <f>YEAR(Tabela32[[#This Row],[Data]])</f>
        <v>2026</v>
      </c>
      <c r="C423" s="16">
        <f>MONTH(Tabela32[[#This Row],[Data]])</f>
        <v>9</v>
      </c>
      <c r="D423" s="4" t="s">
        <v>25</v>
      </c>
      <c r="E423" s="4">
        <v>5</v>
      </c>
      <c r="F423" s="4" t="str">
        <f>IFERROR(VLOOKUP(Tabela32[[#This Row],[Placa]],Planilha2!$A$1:$B$12,2,0),"")</f>
        <v>Gilberto</v>
      </c>
      <c r="G423" s="10">
        <v>11215.28</v>
      </c>
      <c r="H423" s="10">
        <v>148653.44</v>
      </c>
      <c r="I423" s="4">
        <v>2785</v>
      </c>
      <c r="J423" s="17">
        <f>IFERROR(Tabela32[[#This Row],[Valor Frete]]/Tabela32[[#This Row],[Valor Mercadoria]],"")</f>
        <v>7.5445815448334064E-2</v>
      </c>
      <c r="K423" s="11">
        <v>0.29166666666666669</v>
      </c>
      <c r="L423" s="15">
        <v>0.73541666666666672</v>
      </c>
      <c r="M423" s="15">
        <f>Tabela32[[#This Row],[Hr Chegada]]-Tabela32[[#This Row],[Hr Saida]]</f>
        <v>0.44375000000000003</v>
      </c>
      <c r="N423" s="4">
        <v>120399</v>
      </c>
      <c r="O423" s="4">
        <v>120461</v>
      </c>
      <c r="P423" s="4">
        <f>Tabela32[[#This Row],[Km Chegada]]-Tabela32[[#This Row],[Km Saída]]</f>
        <v>62</v>
      </c>
      <c r="Q423" s="4">
        <v>302</v>
      </c>
      <c r="R423" s="4">
        <v>11</v>
      </c>
      <c r="S423" s="4">
        <v>10</v>
      </c>
      <c r="T423" s="12">
        <f>Tabela32[[#This Row],[Entregas]]-Tabela32[[#This Row],[Realizadas]]</f>
        <v>1</v>
      </c>
      <c r="U423" s="18">
        <f>Tabela32[[#This Row],[Realizadas]]/Tabela32[[#This Row],[Entregas]]</f>
        <v>0.90909090909090906</v>
      </c>
      <c r="V423" s="19" t="str">
        <f>IF(Tabela32[[#This Row],[% Entrega]]&gt;=96%,"Atendeu a Meta","Não Atendeu a Meta")</f>
        <v>Não Atendeu a Meta</v>
      </c>
      <c r="W423" s="4" t="s">
        <v>39</v>
      </c>
      <c r="X423" s="4">
        <v>1</v>
      </c>
      <c r="Y423" s="5">
        <v>13</v>
      </c>
    </row>
    <row r="424" spans="1:25" x14ac:dyDescent="0.25">
      <c r="A424" s="8">
        <v>46293</v>
      </c>
      <c r="B424" s="16">
        <f>YEAR(Tabela32[[#This Row],[Data]])</f>
        <v>2026</v>
      </c>
      <c r="C424" s="16">
        <f>MONTH(Tabela32[[#This Row],[Data]])</f>
        <v>9</v>
      </c>
      <c r="D424" s="4" t="s">
        <v>35</v>
      </c>
      <c r="E424" s="4">
        <v>1</v>
      </c>
      <c r="F424" s="4" t="str">
        <f>IFERROR(VLOOKUP(Tabela32[[#This Row],[Placa]],Planilha2!$A$1:$B$12,2,0),"")</f>
        <v>Osvaldo</v>
      </c>
      <c r="G424" s="10">
        <v>9273.92</v>
      </c>
      <c r="H424" s="10">
        <v>193715.08</v>
      </c>
      <c r="I424" s="4">
        <v>1758</v>
      </c>
      <c r="J424" s="17">
        <f>IFERROR(Tabela32[[#This Row],[Valor Frete]]/Tabela32[[#This Row],[Valor Mercadoria]],"")</f>
        <v>4.7874021991473253E-2</v>
      </c>
      <c r="K424" s="11">
        <v>0.29166666666666669</v>
      </c>
      <c r="L424" s="15">
        <v>0.7583333333333333</v>
      </c>
      <c r="M424" s="15">
        <f>Tabela32[[#This Row],[Hr Chegada]]-Tabela32[[#This Row],[Hr Saida]]</f>
        <v>0.46666666666666662</v>
      </c>
      <c r="N424" s="4">
        <v>143838</v>
      </c>
      <c r="O424" s="4">
        <v>143896</v>
      </c>
      <c r="P424" s="4">
        <f>Tabela32[[#This Row],[Km Chegada]]-Tabela32[[#This Row],[Km Saída]]</f>
        <v>58</v>
      </c>
      <c r="Q424" s="4">
        <v>163</v>
      </c>
      <c r="R424" s="4">
        <v>20</v>
      </c>
      <c r="S424" s="4">
        <v>20</v>
      </c>
      <c r="T424" s="12">
        <f>Tabela32[[#This Row],[Entregas]]-Tabela32[[#This Row],[Realizadas]]</f>
        <v>0</v>
      </c>
      <c r="U424" s="18">
        <f>Tabela32[[#This Row],[Realizadas]]/Tabela32[[#This Row],[Entregas]]</f>
        <v>1</v>
      </c>
      <c r="V424" s="19" t="str">
        <f>IF(Tabela32[[#This Row],[% Entrega]]&gt;=96%,"Atendeu a Meta","Não Atendeu a Meta")</f>
        <v>Atendeu a Meta</v>
      </c>
      <c r="W424" s="4" t="s">
        <v>43</v>
      </c>
      <c r="X424" s="4">
        <v>0</v>
      </c>
      <c r="Y424" s="5">
        <v>0</v>
      </c>
    </row>
    <row r="425" spans="1:25" x14ac:dyDescent="0.25">
      <c r="A425" s="8">
        <v>46294</v>
      </c>
      <c r="B425" s="16">
        <f>YEAR(Tabela32[[#This Row],[Data]])</f>
        <v>2026</v>
      </c>
      <c r="C425" s="16">
        <f>MONTH(Tabela32[[#This Row],[Data]])</f>
        <v>9</v>
      </c>
      <c r="D425" s="4" t="s">
        <v>28</v>
      </c>
      <c r="E425" s="4">
        <v>11</v>
      </c>
      <c r="F425" s="4" t="str">
        <f>IFERROR(VLOOKUP(Tabela32[[#This Row],[Placa]],Planilha2!$A$1:$B$12,2,0),"")</f>
        <v>Edilson</v>
      </c>
      <c r="G425" s="10">
        <v>22617.07</v>
      </c>
      <c r="H425" s="10">
        <v>281785.12</v>
      </c>
      <c r="I425" s="4">
        <v>6226</v>
      </c>
      <c r="J425" s="17">
        <f>IFERROR(Tabela32[[#This Row],[Valor Frete]]/Tabela32[[#This Row],[Valor Mercadoria]],"")</f>
        <v>8.0263535562133309E-2</v>
      </c>
      <c r="K425" s="11">
        <v>0.27430555555555558</v>
      </c>
      <c r="L425" s="15">
        <v>0.79166666666666663</v>
      </c>
      <c r="M425" s="15">
        <f>Tabela32[[#This Row],[Hr Chegada]]-Tabela32[[#This Row],[Hr Saida]]</f>
        <v>0.51736111111111105</v>
      </c>
      <c r="N425" s="4">
        <v>106433</v>
      </c>
      <c r="O425" s="4">
        <v>106579</v>
      </c>
      <c r="P425" s="4">
        <f>Tabela32[[#This Row],[Km Chegada]]-Tabela32[[#This Row],[Km Saída]]</f>
        <v>146</v>
      </c>
      <c r="Q425" s="4">
        <v>755</v>
      </c>
      <c r="R425" s="4">
        <v>37</v>
      </c>
      <c r="S425" s="4">
        <v>37</v>
      </c>
      <c r="T425" s="12">
        <f>Tabela32[[#This Row],[Entregas]]-Tabela32[[#This Row],[Realizadas]]</f>
        <v>0</v>
      </c>
      <c r="U425" s="18">
        <f>Tabela32[[#This Row],[Realizadas]]/Tabela32[[#This Row],[Entregas]]</f>
        <v>1</v>
      </c>
      <c r="V425" s="19" t="str">
        <f>IF(Tabela32[[#This Row],[% Entrega]]&gt;=96%,"Atendeu a Meta","Não Atendeu a Meta")</f>
        <v>Atendeu a Meta</v>
      </c>
      <c r="W425" s="4" t="s">
        <v>41</v>
      </c>
      <c r="X425" s="4">
        <v>3</v>
      </c>
      <c r="Y425" s="5">
        <v>8</v>
      </c>
    </row>
    <row r="426" spans="1:25" x14ac:dyDescent="0.25">
      <c r="A426" s="8">
        <v>46294</v>
      </c>
      <c r="B426" s="16">
        <f>YEAR(Tabela32[[#This Row],[Data]])</f>
        <v>2026</v>
      </c>
      <c r="C426" s="16">
        <f>MONTH(Tabela32[[#This Row],[Data]])</f>
        <v>9</v>
      </c>
      <c r="D426" s="4" t="s">
        <v>33</v>
      </c>
      <c r="E426" s="4">
        <v>1</v>
      </c>
      <c r="F426" s="4" t="str">
        <f>IFERROR(VLOOKUP(Tabela32[[#This Row],[Placa]],Planilha2!$A$1:$B$12,2,0),"")</f>
        <v>Paulo</v>
      </c>
      <c r="G426" s="10">
        <v>1113.4100000000001</v>
      </c>
      <c r="H426" s="10">
        <v>12324</v>
      </c>
      <c r="I426" s="4">
        <v>211</v>
      </c>
      <c r="J426" s="17">
        <f>IFERROR(Tabela32[[#This Row],[Valor Frete]]/Tabela32[[#This Row],[Valor Mercadoria]],"")</f>
        <v>9.034485556637456E-2</v>
      </c>
      <c r="K426" s="11">
        <v>0.29166666666666669</v>
      </c>
      <c r="L426" s="15">
        <v>0.625</v>
      </c>
      <c r="M426" s="15">
        <f>Tabela32[[#This Row],[Hr Chegada]]-Tabela32[[#This Row],[Hr Saida]]</f>
        <v>0.33333333333333331</v>
      </c>
      <c r="N426" s="4">
        <v>156302</v>
      </c>
      <c r="O426" s="4">
        <v>156370</v>
      </c>
      <c r="P426" s="4">
        <f>Tabela32[[#This Row],[Km Chegada]]-Tabela32[[#This Row],[Km Saída]]</f>
        <v>68</v>
      </c>
      <c r="Q426" s="4">
        <v>20</v>
      </c>
      <c r="R426" s="4">
        <v>1</v>
      </c>
      <c r="S426" s="4">
        <v>1</v>
      </c>
      <c r="T426" s="12">
        <f>Tabela32[[#This Row],[Entregas]]-Tabela32[[#This Row],[Realizadas]]</f>
        <v>0</v>
      </c>
      <c r="U426" s="18">
        <f>Tabela32[[#This Row],[Realizadas]]/Tabela32[[#This Row],[Entregas]]</f>
        <v>1</v>
      </c>
      <c r="V426" s="19" t="str">
        <f>IF(Tabela32[[#This Row],[% Entrega]]&gt;=96%,"Atendeu a Meta","Não Atendeu a Meta")</f>
        <v>Atendeu a Meta</v>
      </c>
      <c r="W426" s="4" t="s">
        <v>40</v>
      </c>
      <c r="X426" s="4">
        <v>0</v>
      </c>
      <c r="Y426" s="5">
        <v>0</v>
      </c>
    </row>
    <row r="427" spans="1:25" x14ac:dyDescent="0.25">
      <c r="A427" s="8">
        <v>46294</v>
      </c>
      <c r="B427" s="16">
        <f>YEAR(Tabela32[[#This Row],[Data]])</f>
        <v>2026</v>
      </c>
      <c r="C427" s="16">
        <f>MONTH(Tabela32[[#This Row],[Data]])</f>
        <v>9</v>
      </c>
      <c r="D427" s="4" t="s">
        <v>23</v>
      </c>
      <c r="E427" s="4">
        <v>2</v>
      </c>
      <c r="F427" s="4" t="str">
        <f>IFERROR(VLOOKUP(Tabela32[[#This Row],[Placa]],Planilha2!$A$1:$B$12,2,0),"")</f>
        <v>William</v>
      </c>
      <c r="G427" s="10">
        <v>7509.04</v>
      </c>
      <c r="H427" s="10">
        <v>133454.82999999999</v>
      </c>
      <c r="I427" s="4">
        <v>1515</v>
      </c>
      <c r="J427" s="17">
        <f>IFERROR(Tabela32[[#This Row],[Valor Frete]]/Tabela32[[#This Row],[Valor Mercadoria]],"")</f>
        <v>5.6266528532537941E-2</v>
      </c>
      <c r="K427" s="11">
        <v>0.29166666666666669</v>
      </c>
      <c r="L427" s="15">
        <v>0.74305555555555558</v>
      </c>
      <c r="M427" s="15">
        <f>Tabela32[[#This Row],[Hr Chegada]]-Tabela32[[#This Row],[Hr Saida]]</f>
        <v>0.4513888888888889</v>
      </c>
      <c r="N427" s="4">
        <v>126325</v>
      </c>
      <c r="O427" s="4">
        <v>126381</v>
      </c>
      <c r="P427" s="4">
        <f>Tabela32[[#This Row],[Km Chegada]]-Tabela32[[#This Row],[Km Saída]]</f>
        <v>56</v>
      </c>
      <c r="Q427" s="4">
        <v>190</v>
      </c>
      <c r="R427" s="4">
        <v>26</v>
      </c>
      <c r="S427" s="4">
        <v>26</v>
      </c>
      <c r="T427" s="12">
        <f>Tabela32[[#This Row],[Entregas]]-Tabela32[[#This Row],[Realizadas]]</f>
        <v>0</v>
      </c>
      <c r="U427" s="18">
        <f>Tabela32[[#This Row],[Realizadas]]/Tabela32[[#This Row],[Entregas]]</f>
        <v>1</v>
      </c>
      <c r="V427" s="19" t="str">
        <f>IF(Tabela32[[#This Row],[% Entrega]]&gt;=96%,"Atendeu a Meta","Não Atendeu a Meta")</f>
        <v>Atendeu a Meta</v>
      </c>
      <c r="W427" s="4" t="s">
        <v>39</v>
      </c>
      <c r="X427" s="4">
        <v>0</v>
      </c>
      <c r="Y427" s="5">
        <v>0</v>
      </c>
    </row>
    <row r="428" spans="1:25" x14ac:dyDescent="0.25">
      <c r="A428" s="8">
        <v>46294</v>
      </c>
      <c r="B428" s="16">
        <f>YEAR(Tabela32[[#This Row],[Data]])</f>
        <v>2026</v>
      </c>
      <c r="C428" s="16">
        <f>MONTH(Tabela32[[#This Row],[Data]])</f>
        <v>9</v>
      </c>
      <c r="D428" s="4" t="s">
        <v>25</v>
      </c>
      <c r="E428" s="4">
        <v>5</v>
      </c>
      <c r="F428" s="4" t="str">
        <f>IFERROR(VLOOKUP(Tabela32[[#This Row],[Placa]],Planilha2!$A$1:$B$12,2,0),"")</f>
        <v>Gilberto</v>
      </c>
      <c r="G428" s="10">
        <v>5011.5600000000004</v>
      </c>
      <c r="H428" s="10">
        <v>90003.41</v>
      </c>
      <c r="I428" s="4">
        <v>808</v>
      </c>
      <c r="J428" s="17">
        <f>IFERROR(Tabela32[[#This Row],[Valor Frete]]/Tabela32[[#This Row],[Valor Mercadoria]],"")</f>
        <v>5.5681890275046247E-2</v>
      </c>
      <c r="K428" s="11">
        <v>0.3125</v>
      </c>
      <c r="L428" s="15">
        <v>0.71527777777777779</v>
      </c>
      <c r="M428" s="15">
        <f>Tabela32[[#This Row],[Hr Chegada]]-Tabela32[[#This Row],[Hr Saida]]</f>
        <v>0.40277777777777779</v>
      </c>
      <c r="N428" s="4">
        <v>120461</v>
      </c>
      <c r="O428" s="4">
        <v>120547</v>
      </c>
      <c r="P428" s="4">
        <f>Tabela32[[#This Row],[Km Chegada]]-Tabela32[[#This Row],[Km Saída]]</f>
        <v>86</v>
      </c>
      <c r="Q428" s="4">
        <v>119</v>
      </c>
      <c r="R428" s="4">
        <v>18</v>
      </c>
      <c r="S428" s="4">
        <v>18</v>
      </c>
      <c r="T428" s="12">
        <f>Tabela32[[#This Row],[Entregas]]-Tabela32[[#This Row],[Realizadas]]</f>
        <v>0</v>
      </c>
      <c r="U428" s="18">
        <f>Tabela32[[#This Row],[Realizadas]]/Tabela32[[#This Row],[Entregas]]</f>
        <v>1</v>
      </c>
      <c r="V428" s="19" t="str">
        <f>IF(Tabela32[[#This Row],[% Entrega]]&gt;=96%,"Atendeu a Meta","Não Atendeu a Meta")</f>
        <v>Atendeu a Meta</v>
      </c>
      <c r="W428" s="4" t="s">
        <v>39</v>
      </c>
      <c r="X428" s="4">
        <v>1</v>
      </c>
      <c r="Y428" s="5">
        <v>9</v>
      </c>
    </row>
    <row r="429" spans="1:25" x14ac:dyDescent="0.25">
      <c r="A429" s="8">
        <v>46294</v>
      </c>
      <c r="B429" s="16">
        <f>YEAR(Tabela32[[#This Row],[Data]])</f>
        <v>2026</v>
      </c>
      <c r="C429" s="16">
        <f>MONTH(Tabela32[[#This Row],[Data]])</f>
        <v>9</v>
      </c>
      <c r="D429" s="4" t="s">
        <v>35</v>
      </c>
      <c r="E429" s="4">
        <v>1</v>
      </c>
      <c r="F429" s="4" t="str">
        <f>IFERROR(VLOOKUP(Tabela32[[#This Row],[Placa]],Planilha2!$A$1:$B$12,2,0),"")</f>
        <v>Osvaldo</v>
      </c>
      <c r="G429" s="10">
        <v>8326.7800000000007</v>
      </c>
      <c r="H429" s="10">
        <v>93407.54</v>
      </c>
      <c r="I429" s="4">
        <v>885</v>
      </c>
      <c r="J429" s="17">
        <f>IFERROR(Tabela32[[#This Row],[Valor Frete]]/Tabela32[[#This Row],[Valor Mercadoria]],"")</f>
        <v>8.9144623656719796E-2</v>
      </c>
      <c r="K429" s="11">
        <v>0.3125</v>
      </c>
      <c r="L429" s="15">
        <v>0.76111111111111107</v>
      </c>
      <c r="M429" s="15">
        <f>Tabela32[[#This Row],[Hr Chegada]]-Tabela32[[#This Row],[Hr Saida]]</f>
        <v>0.44861111111111107</v>
      </c>
      <c r="N429" s="4">
        <v>143896</v>
      </c>
      <c r="O429" s="4">
        <v>143967</v>
      </c>
      <c r="P429" s="4">
        <f>Tabela32[[#This Row],[Km Chegada]]-Tabela32[[#This Row],[Km Saída]]</f>
        <v>71</v>
      </c>
      <c r="Q429" s="4">
        <v>133</v>
      </c>
      <c r="R429" s="4">
        <v>22</v>
      </c>
      <c r="S429" s="4">
        <v>22</v>
      </c>
      <c r="T429" s="12">
        <f>Tabela32[[#This Row],[Entregas]]-Tabela32[[#This Row],[Realizadas]]</f>
        <v>0</v>
      </c>
      <c r="U429" s="18">
        <f>Tabela32[[#This Row],[Realizadas]]/Tabela32[[#This Row],[Entregas]]</f>
        <v>1</v>
      </c>
      <c r="V429" s="19" t="str">
        <f>IF(Tabela32[[#This Row],[% Entrega]]&gt;=96%,"Atendeu a Meta","Não Atendeu a Meta")</f>
        <v>Atendeu a Meta</v>
      </c>
      <c r="W429" s="4" t="s">
        <v>43</v>
      </c>
      <c r="X429" s="4">
        <v>0</v>
      </c>
      <c r="Y429" s="5">
        <v>0</v>
      </c>
    </row>
    <row r="430" spans="1:25" x14ac:dyDescent="0.25">
      <c r="A430" s="8">
        <v>46294</v>
      </c>
      <c r="B430" s="16">
        <f>YEAR(Tabela32[[#This Row],[Data]])</f>
        <v>2026</v>
      </c>
      <c r="C430" s="16">
        <f>MONTH(Tabela32[[#This Row],[Data]])</f>
        <v>9</v>
      </c>
      <c r="D430" s="4" t="s">
        <v>29</v>
      </c>
      <c r="E430" s="4">
        <v>3</v>
      </c>
      <c r="F430" s="4" t="str">
        <f>IFERROR(VLOOKUP(Tabela32[[#This Row],[Placa]],Planilha2!$A$1:$B$12,2,0),"")</f>
        <v>Sandro</v>
      </c>
      <c r="G430" s="10">
        <v>10745.4</v>
      </c>
      <c r="H430" s="10">
        <v>56053.61</v>
      </c>
      <c r="I430" s="4">
        <v>3980</v>
      </c>
      <c r="J430" s="17">
        <f>IFERROR(Tabela32[[#This Row],[Valor Frete]]/Tabela32[[#This Row],[Valor Mercadoria]],"")</f>
        <v>0.19169862565497564</v>
      </c>
      <c r="K430" s="11">
        <v>0.3125</v>
      </c>
      <c r="L430" s="15">
        <v>0.71805555555555556</v>
      </c>
      <c r="M430" s="15">
        <f>Tabela32[[#This Row],[Hr Chegada]]-Tabela32[[#This Row],[Hr Saida]]</f>
        <v>0.40555555555555556</v>
      </c>
      <c r="N430" s="4">
        <v>276321</v>
      </c>
      <c r="O430" s="4">
        <v>276371</v>
      </c>
      <c r="P430" s="4">
        <f>Tabela32[[#This Row],[Km Chegada]]-Tabela32[[#This Row],[Km Saída]]</f>
        <v>50</v>
      </c>
      <c r="Q430" s="4">
        <v>265</v>
      </c>
      <c r="R430" s="4">
        <v>6</v>
      </c>
      <c r="S430" s="4">
        <v>6</v>
      </c>
      <c r="T430" s="12">
        <f>Tabela32[[#This Row],[Entregas]]-Tabela32[[#This Row],[Realizadas]]</f>
        <v>0</v>
      </c>
      <c r="U430" s="18">
        <f>Tabela32[[#This Row],[Realizadas]]/Tabela32[[#This Row],[Entregas]]</f>
        <v>1</v>
      </c>
      <c r="V430" s="19" t="str">
        <f>IF(Tabela32[[#This Row],[% Entrega]]&gt;=96%,"Atendeu a Meta","Não Atendeu a Meta")</f>
        <v>Atendeu a Meta</v>
      </c>
      <c r="W430" s="4" t="s">
        <v>39</v>
      </c>
      <c r="X430" s="4">
        <v>0</v>
      </c>
      <c r="Y430" s="5">
        <v>0</v>
      </c>
    </row>
    <row r="431" spans="1:25" x14ac:dyDescent="0.25">
      <c r="A431" s="8">
        <v>46294</v>
      </c>
      <c r="B431" s="16">
        <f>YEAR(Tabela32[[#This Row],[Data]])</f>
        <v>2026</v>
      </c>
      <c r="C431" s="16">
        <f>MONTH(Tabela32[[#This Row],[Data]])</f>
        <v>9</v>
      </c>
      <c r="D431" s="4" t="s">
        <v>53</v>
      </c>
      <c r="E431" s="4">
        <v>5</v>
      </c>
      <c r="F431" s="4" t="str">
        <f>IFERROR(VLOOKUP(Tabela32[[#This Row],[Placa]],Planilha2!$A$1:$B$12,2,0),"")</f>
        <v>Arnaldo</v>
      </c>
      <c r="G431" s="10">
        <v>2067.41</v>
      </c>
      <c r="H431" s="10">
        <v>40528.410000000003</v>
      </c>
      <c r="I431" s="4">
        <v>437</v>
      </c>
      <c r="J431" s="17">
        <f>IFERROR(Tabela32[[#This Row],[Valor Frete]]/Tabela32[[#This Row],[Valor Mercadoria]],"")</f>
        <v>5.101137695754656E-2</v>
      </c>
      <c r="K431" s="11">
        <v>0.3215277777777778</v>
      </c>
      <c r="L431" s="15">
        <v>0.70486111111111116</v>
      </c>
      <c r="M431" s="15">
        <f>Tabela32[[#This Row],[Hr Chegada]]-Tabela32[[#This Row],[Hr Saida]]</f>
        <v>0.38333333333333336</v>
      </c>
      <c r="N431" s="4">
        <v>14237</v>
      </c>
      <c r="O431" s="4">
        <v>14293</v>
      </c>
      <c r="P431" s="4">
        <f>Tabela32[[#This Row],[Km Chegada]]-Tabela32[[#This Row],[Km Saída]]</f>
        <v>56</v>
      </c>
      <c r="Q431" s="4">
        <v>87</v>
      </c>
      <c r="R431" s="4">
        <v>8</v>
      </c>
      <c r="S431" s="4">
        <v>8</v>
      </c>
      <c r="T431" s="12">
        <f>Tabela32[[#This Row],[Entregas]]-Tabela32[[#This Row],[Realizadas]]</f>
        <v>0</v>
      </c>
      <c r="U431" s="18">
        <f>Tabela32[[#This Row],[Realizadas]]/Tabela32[[#This Row],[Entregas]]</f>
        <v>1</v>
      </c>
      <c r="V431" s="19" t="str">
        <f>IF(Tabela32[[#This Row],[% Entrega]]&gt;=96%,"Atendeu a Meta","Não Atendeu a Meta")</f>
        <v>Atendeu a Meta</v>
      </c>
      <c r="W431" s="4" t="s">
        <v>39</v>
      </c>
      <c r="X431" s="4">
        <v>0</v>
      </c>
      <c r="Y431" s="5">
        <v>0</v>
      </c>
    </row>
    <row r="432" spans="1:25" x14ac:dyDescent="0.25">
      <c r="A432" s="8">
        <v>46294</v>
      </c>
      <c r="B432" s="16">
        <f>YEAR(Tabela32[[#This Row],[Data]])</f>
        <v>2026</v>
      </c>
      <c r="C432" s="16">
        <f>MONTH(Tabela32[[#This Row],[Data]])</f>
        <v>9</v>
      </c>
      <c r="D432" s="4" t="s">
        <v>27</v>
      </c>
      <c r="E432" s="4">
        <v>1</v>
      </c>
      <c r="F432" s="4" t="str">
        <f>IFERROR(VLOOKUP(Tabela32[[#This Row],[Placa]],Planilha2!$A$1:$B$12,2,0),"")</f>
        <v>Rosinaldo</v>
      </c>
      <c r="G432" s="10">
        <v>5478.94</v>
      </c>
      <c r="H432" s="10">
        <v>119535.11</v>
      </c>
      <c r="I432" s="4">
        <v>254</v>
      </c>
      <c r="J432" s="17">
        <f>IFERROR(Tabela32[[#This Row],[Valor Frete]]/Tabela32[[#This Row],[Valor Mercadoria]],"")</f>
        <v>4.5835403506133049E-2</v>
      </c>
      <c r="K432" s="11">
        <v>0.3125</v>
      </c>
      <c r="L432" s="15">
        <v>0.72499999999999998</v>
      </c>
      <c r="M432" s="15">
        <f>Tabela32[[#This Row],[Hr Chegada]]-Tabela32[[#This Row],[Hr Saida]]</f>
        <v>0.41249999999999998</v>
      </c>
      <c r="N432" s="4">
        <v>291912</v>
      </c>
      <c r="O432" s="4">
        <v>292074</v>
      </c>
      <c r="P432" s="4">
        <f>Tabela32[[#This Row],[Km Chegada]]-Tabela32[[#This Row],[Km Saída]]</f>
        <v>162</v>
      </c>
      <c r="Q432" s="4">
        <v>254</v>
      </c>
      <c r="R432" s="4">
        <v>10</v>
      </c>
      <c r="S432" s="4">
        <v>10</v>
      </c>
      <c r="T432" s="12">
        <f>Tabela32[[#This Row],[Entregas]]-Tabela32[[#This Row],[Realizadas]]</f>
        <v>0</v>
      </c>
      <c r="U432" s="18">
        <f>Tabela32[[#This Row],[Realizadas]]/Tabela32[[#This Row],[Entregas]]</f>
        <v>1</v>
      </c>
      <c r="V432" s="19" t="str">
        <f>IF(Tabela32[[#This Row],[% Entrega]]&gt;=96%,"Atendeu a Meta","Não Atendeu a Meta")</f>
        <v>Atendeu a Meta</v>
      </c>
      <c r="W432" s="4" t="s">
        <v>43</v>
      </c>
      <c r="X432" s="4">
        <v>0</v>
      </c>
      <c r="Y432" s="5">
        <v>0</v>
      </c>
    </row>
    <row r="433" spans="1:25" x14ac:dyDescent="0.25">
      <c r="A433" s="8">
        <v>46294</v>
      </c>
      <c r="B433" s="16">
        <f>YEAR(Tabela32[[#This Row],[Data]])</f>
        <v>2026</v>
      </c>
      <c r="C433" s="16">
        <f>MONTH(Tabela32[[#This Row],[Data]])</f>
        <v>9</v>
      </c>
      <c r="D433" s="4" t="s">
        <v>22</v>
      </c>
      <c r="E433" s="4">
        <v>3</v>
      </c>
      <c r="F433" s="4" t="str">
        <f>IFERROR(VLOOKUP(Tabela32[[#This Row],[Placa]],Planilha2!$A$1:$B$12,2,0),"")</f>
        <v>Wesley</v>
      </c>
      <c r="G433" s="10">
        <v>8588.69</v>
      </c>
      <c r="H433" s="10">
        <v>124979.38</v>
      </c>
      <c r="I433" s="4">
        <v>1375</v>
      </c>
      <c r="J433" s="17">
        <f>IFERROR(Tabela32[[#This Row],[Valor Frete]]/Tabela32[[#This Row],[Valor Mercadoria]],"")</f>
        <v>6.8720856192437507E-2</v>
      </c>
      <c r="K433" s="11">
        <v>0.29166666666666669</v>
      </c>
      <c r="L433" s="15">
        <v>0.72499999999999998</v>
      </c>
      <c r="M433" s="15">
        <f>Tabela32[[#This Row],[Hr Chegada]]-Tabela32[[#This Row],[Hr Saida]]</f>
        <v>0.43333333333333329</v>
      </c>
      <c r="N433" s="4">
        <v>305630</v>
      </c>
      <c r="O433" s="4">
        <v>305683</v>
      </c>
      <c r="P433" s="4">
        <f>Tabela32[[#This Row],[Km Chegada]]-Tabela32[[#This Row],[Km Saída]]</f>
        <v>53</v>
      </c>
      <c r="Q433" s="4">
        <v>185</v>
      </c>
      <c r="R433" s="4">
        <v>17</v>
      </c>
      <c r="S433" s="4">
        <v>17</v>
      </c>
      <c r="T433" s="12">
        <f>Tabela32[[#This Row],[Entregas]]-Tabela32[[#This Row],[Realizadas]]</f>
        <v>0</v>
      </c>
      <c r="U433" s="18">
        <f>Tabela32[[#This Row],[Realizadas]]/Tabela32[[#This Row],[Entregas]]</f>
        <v>1</v>
      </c>
      <c r="V433" s="19" t="str">
        <f>IF(Tabela32[[#This Row],[% Entrega]]&gt;=96%,"Atendeu a Meta","Não Atendeu a Meta")</f>
        <v>Atendeu a Meta</v>
      </c>
      <c r="W433" s="4" t="s">
        <v>39</v>
      </c>
      <c r="X433" s="4">
        <v>0</v>
      </c>
      <c r="Y433" s="5">
        <v>0</v>
      </c>
    </row>
    <row r="434" spans="1:25" x14ac:dyDescent="0.25">
      <c r="A434" s="8">
        <v>46294</v>
      </c>
      <c r="B434" s="16">
        <f>YEAR(Tabela32[[#This Row],[Data]])</f>
        <v>2026</v>
      </c>
      <c r="C434" s="16">
        <f>MONTH(Tabela32[[#This Row],[Data]])</f>
        <v>9</v>
      </c>
      <c r="D434" s="4" t="s">
        <v>31</v>
      </c>
      <c r="E434" s="4">
        <v>4</v>
      </c>
      <c r="F434" s="4" t="str">
        <f>IFERROR(VLOOKUP(Tabela32[[#This Row],[Placa]],Planilha2!$A$1:$B$12,2,0),"")</f>
        <v>Jerson</v>
      </c>
      <c r="G434" s="10">
        <v>12998.65</v>
      </c>
      <c r="H434" s="10">
        <v>189947.66</v>
      </c>
      <c r="I434" s="4">
        <v>2689</v>
      </c>
      <c r="J434" s="17">
        <f>IFERROR(Tabela32[[#This Row],[Valor Frete]]/Tabela32[[#This Row],[Valor Mercadoria]],"")</f>
        <v>6.843279880362832E-2</v>
      </c>
      <c r="K434" s="11">
        <v>0.33333333333333331</v>
      </c>
      <c r="L434" s="15">
        <v>0.73472222222222228</v>
      </c>
      <c r="M434" s="15">
        <f>Tabela32[[#This Row],[Hr Chegada]]-Tabela32[[#This Row],[Hr Saida]]</f>
        <v>0.40138888888888896</v>
      </c>
      <c r="N434" s="4">
        <v>281247</v>
      </c>
      <c r="O434" s="4">
        <v>281328</v>
      </c>
      <c r="P434" s="4">
        <f>Tabela32[[#This Row],[Km Chegada]]-Tabela32[[#This Row],[Km Saída]]</f>
        <v>81</v>
      </c>
      <c r="Q434" s="4">
        <v>406</v>
      </c>
      <c r="R434" s="4">
        <v>20</v>
      </c>
      <c r="S434" s="4">
        <v>20</v>
      </c>
      <c r="T434" s="12">
        <f>Tabela32[[#This Row],[Entregas]]-Tabela32[[#This Row],[Realizadas]]</f>
        <v>0</v>
      </c>
      <c r="U434" s="18">
        <f>Tabela32[[#This Row],[Realizadas]]/Tabela32[[#This Row],[Entregas]]</f>
        <v>1</v>
      </c>
      <c r="V434" s="19" t="str">
        <f>IF(Tabela32[[#This Row],[% Entrega]]&gt;=96%,"Atendeu a Meta","Não Atendeu a Meta")</f>
        <v>Atendeu a Meta</v>
      </c>
      <c r="W434" s="4" t="s">
        <v>39</v>
      </c>
      <c r="X434" s="4">
        <v>1</v>
      </c>
      <c r="Y434" s="5">
        <v>10</v>
      </c>
    </row>
    <row r="435" spans="1:25" x14ac:dyDescent="0.25">
      <c r="A435" s="8">
        <v>46295</v>
      </c>
      <c r="B435" s="16">
        <f>YEAR(Tabela32[[#This Row],[Data]])</f>
        <v>2026</v>
      </c>
      <c r="C435" s="16">
        <f>MONTH(Tabela32[[#This Row],[Data]])</f>
        <v>9</v>
      </c>
      <c r="D435" s="4" t="s">
        <v>29</v>
      </c>
      <c r="E435" s="4">
        <v>1</v>
      </c>
      <c r="F435" s="4" t="str">
        <f>IFERROR(VLOOKUP(Tabela32[[#This Row],[Placa]],Planilha2!$A$1:$B$12,2,0),"")</f>
        <v>Sandro</v>
      </c>
      <c r="G435" s="10">
        <v>4335.72</v>
      </c>
      <c r="H435" s="10">
        <v>230277.65</v>
      </c>
      <c r="I435" s="4">
        <v>402</v>
      </c>
      <c r="J435" s="17">
        <f>IFERROR(Tabela32[[#This Row],[Valor Frete]]/Tabela32[[#This Row],[Valor Mercadoria]],"")</f>
        <v>1.8828227576579839E-2</v>
      </c>
      <c r="K435" s="11">
        <v>0.29166666666666669</v>
      </c>
      <c r="L435" s="15">
        <v>0.69097222222222221</v>
      </c>
      <c r="M435" s="15">
        <f>Tabela32[[#This Row],[Hr Chegada]]-Tabela32[[#This Row],[Hr Saida]]</f>
        <v>0.39930555555555552</v>
      </c>
      <c r="N435" s="4">
        <v>276371</v>
      </c>
      <c r="O435" s="4">
        <v>276439</v>
      </c>
      <c r="P435" s="4">
        <f>Tabela32[[#This Row],[Km Chegada]]-Tabela32[[#This Row],[Km Saída]]</f>
        <v>68</v>
      </c>
      <c r="Q435" s="4">
        <v>370</v>
      </c>
      <c r="R435" s="4">
        <v>11</v>
      </c>
      <c r="S435" s="4">
        <v>11</v>
      </c>
      <c r="T435" s="12">
        <f>Tabela32[[#This Row],[Entregas]]-Tabela32[[#This Row],[Realizadas]]</f>
        <v>0</v>
      </c>
      <c r="U435" s="18">
        <f>Tabela32[[#This Row],[Realizadas]]/Tabela32[[#This Row],[Entregas]]</f>
        <v>1</v>
      </c>
      <c r="V435" s="19" t="str">
        <f>IF(Tabela32[[#This Row],[% Entrega]]&gt;=96%,"Atendeu a Meta","Não Atendeu a Meta")</f>
        <v>Atendeu a Meta</v>
      </c>
      <c r="W435" s="4" t="s">
        <v>40</v>
      </c>
      <c r="X435" s="4">
        <v>0</v>
      </c>
      <c r="Y435" s="5">
        <v>0</v>
      </c>
    </row>
    <row r="436" spans="1:25" x14ac:dyDescent="0.25">
      <c r="A436" s="8">
        <v>46295</v>
      </c>
      <c r="B436" s="16">
        <f>YEAR(Tabela32[[#This Row],[Data]])</f>
        <v>2026</v>
      </c>
      <c r="C436" s="16">
        <f>MONTH(Tabela32[[#This Row],[Data]])</f>
        <v>9</v>
      </c>
      <c r="D436" s="4" t="s">
        <v>22</v>
      </c>
      <c r="E436" s="4">
        <v>3</v>
      </c>
      <c r="F436" s="4" t="str">
        <f>IFERROR(VLOOKUP(Tabela32[[#This Row],[Placa]],Planilha2!$A$1:$B$12,2,0),"")</f>
        <v>Wesley</v>
      </c>
      <c r="G436" s="10">
        <v>5957.62</v>
      </c>
      <c r="H436" s="10">
        <v>67258.740000000005</v>
      </c>
      <c r="I436" s="4">
        <v>611</v>
      </c>
      <c r="J436" s="17">
        <f>IFERROR(Tabela32[[#This Row],[Valor Frete]]/Tabela32[[#This Row],[Valor Mercadoria]],"")</f>
        <v>8.8577633181947793E-2</v>
      </c>
      <c r="K436" s="11">
        <v>0.29166666666666669</v>
      </c>
      <c r="L436" s="15">
        <v>0.72083333333333333</v>
      </c>
      <c r="M436" s="15">
        <f>Tabela32[[#This Row],[Hr Chegada]]-Tabela32[[#This Row],[Hr Saida]]</f>
        <v>0.42916666666666664</v>
      </c>
      <c r="N436" s="4">
        <v>305683</v>
      </c>
      <c r="O436" s="4">
        <v>305745</v>
      </c>
      <c r="P436" s="4">
        <f>Tabela32[[#This Row],[Km Chegada]]-Tabela32[[#This Row],[Km Saída]]</f>
        <v>62</v>
      </c>
      <c r="Q436" s="4">
        <v>611</v>
      </c>
      <c r="R436" s="4">
        <v>17</v>
      </c>
      <c r="S436" s="4">
        <v>17</v>
      </c>
      <c r="T436" s="12">
        <f>Tabela32[[#This Row],[Entregas]]-Tabela32[[#This Row],[Realizadas]]</f>
        <v>0</v>
      </c>
      <c r="U436" s="18">
        <f>Tabela32[[#This Row],[Realizadas]]/Tabela32[[#This Row],[Entregas]]</f>
        <v>1</v>
      </c>
      <c r="V436" s="19" t="str">
        <f>IF(Tabela32[[#This Row],[% Entrega]]&gt;=96%,"Atendeu a Meta","Não Atendeu a Meta")</f>
        <v>Atendeu a Meta</v>
      </c>
      <c r="W436" s="4" t="s">
        <v>39</v>
      </c>
      <c r="X436" s="4">
        <v>0</v>
      </c>
      <c r="Y436" s="5">
        <v>0</v>
      </c>
    </row>
    <row r="437" spans="1:25" x14ac:dyDescent="0.25">
      <c r="A437" s="8">
        <v>46295</v>
      </c>
      <c r="B437" s="16">
        <f>YEAR(Tabela32[[#This Row],[Data]])</f>
        <v>2026</v>
      </c>
      <c r="C437" s="16">
        <f>MONTH(Tabela32[[#This Row],[Data]])</f>
        <v>9</v>
      </c>
      <c r="D437" s="4" t="s">
        <v>27</v>
      </c>
      <c r="E437" s="4">
        <v>1</v>
      </c>
      <c r="F437" s="4" t="str">
        <f>IFERROR(VLOOKUP(Tabela32[[#This Row],[Placa]],Planilha2!$A$1:$B$12,2,0),"")</f>
        <v>Rosinaldo</v>
      </c>
      <c r="G437" s="10">
        <v>4387.9399999999996</v>
      </c>
      <c r="H437" s="10">
        <v>185606.16</v>
      </c>
      <c r="I437" s="4">
        <v>485</v>
      </c>
      <c r="J437" s="17">
        <f>IFERROR(Tabela32[[#This Row],[Valor Frete]]/Tabela32[[#This Row],[Valor Mercadoria]],"")</f>
        <v>2.3641133462380771E-2</v>
      </c>
      <c r="K437" s="11">
        <v>0.29166666666666669</v>
      </c>
      <c r="L437" s="15">
        <v>0.44236111111111109</v>
      </c>
      <c r="M437" s="15">
        <f>Tabela32[[#This Row],[Hr Chegada]]-Tabela32[[#This Row],[Hr Saida]]</f>
        <v>0.15069444444444441</v>
      </c>
      <c r="N437" s="4">
        <v>292074</v>
      </c>
      <c r="O437" s="4">
        <v>292110</v>
      </c>
      <c r="P437" s="4">
        <f>Tabela32[[#This Row],[Km Chegada]]-Tabela32[[#This Row],[Km Saída]]</f>
        <v>36</v>
      </c>
      <c r="Q437" s="4">
        <v>18</v>
      </c>
      <c r="R437" s="4">
        <v>2</v>
      </c>
      <c r="S437" s="4">
        <v>2</v>
      </c>
      <c r="T437" s="12">
        <f>Tabela32[[#This Row],[Entregas]]-Tabela32[[#This Row],[Realizadas]]</f>
        <v>0</v>
      </c>
      <c r="U437" s="18">
        <f>Tabela32[[#This Row],[Realizadas]]/Tabela32[[#This Row],[Entregas]]</f>
        <v>1</v>
      </c>
      <c r="V437" s="19" t="str">
        <f>IF(Tabela32[[#This Row],[% Entrega]]&gt;=96%,"Atendeu a Meta","Não Atendeu a Meta")</f>
        <v>Atendeu a Meta</v>
      </c>
      <c r="W437" s="4" t="s">
        <v>40</v>
      </c>
      <c r="X437" s="4">
        <v>0</v>
      </c>
      <c r="Y437" s="5">
        <v>0</v>
      </c>
    </row>
    <row r="438" spans="1:25" x14ac:dyDescent="0.25">
      <c r="A438" s="8">
        <v>46295</v>
      </c>
      <c r="B438" s="16">
        <f>YEAR(Tabela32[[#This Row],[Data]])</f>
        <v>2026</v>
      </c>
      <c r="C438" s="16">
        <f>MONTH(Tabela32[[#This Row],[Data]])</f>
        <v>9</v>
      </c>
      <c r="D438" s="4" t="s">
        <v>33</v>
      </c>
      <c r="E438" s="4">
        <v>1</v>
      </c>
      <c r="F438" s="4" t="str">
        <f>IFERROR(VLOOKUP(Tabela32[[#This Row],[Placa]],Planilha2!$A$1:$B$12,2,0),"")</f>
        <v>Paulo</v>
      </c>
      <c r="G438" s="10">
        <v>2210.2199999999998</v>
      </c>
      <c r="H438" s="10">
        <v>38816.51</v>
      </c>
      <c r="I438" s="4">
        <v>293</v>
      </c>
      <c r="J438" s="17">
        <f>IFERROR(Tabela32[[#This Row],[Valor Frete]]/Tabela32[[#This Row],[Valor Mercadoria]],"")</f>
        <v>5.6940204052347822E-2</v>
      </c>
      <c r="K438" s="11">
        <v>0.27083333333333331</v>
      </c>
      <c r="L438" s="15">
        <v>0.7270833333333333</v>
      </c>
      <c r="M438" s="15">
        <f>Tabela32[[#This Row],[Hr Chegada]]-Tabela32[[#This Row],[Hr Saida]]</f>
        <v>0.45624999999999999</v>
      </c>
      <c r="N438" s="4">
        <v>156370</v>
      </c>
      <c r="O438" s="4">
        <v>156531</v>
      </c>
      <c r="P438" s="4">
        <f>Tabela32[[#This Row],[Km Chegada]]-Tabela32[[#This Row],[Km Saída]]</f>
        <v>161</v>
      </c>
      <c r="Q438" s="4">
        <v>59</v>
      </c>
      <c r="R438" s="4">
        <v>10</v>
      </c>
      <c r="S438" s="4">
        <v>10</v>
      </c>
      <c r="T438" s="12">
        <f>Tabela32[[#This Row],[Entregas]]-Tabela32[[#This Row],[Realizadas]]</f>
        <v>0</v>
      </c>
      <c r="U438" s="18">
        <f>Tabela32[[#This Row],[Realizadas]]/Tabela32[[#This Row],[Entregas]]</f>
        <v>1</v>
      </c>
      <c r="V438" s="19" t="str">
        <f>IF(Tabela32[[#This Row],[% Entrega]]&gt;=96%,"Atendeu a Meta","Não Atendeu a Meta")</f>
        <v>Atendeu a Meta</v>
      </c>
      <c r="W438" s="4" t="s">
        <v>91</v>
      </c>
      <c r="X438" s="4">
        <v>0</v>
      </c>
      <c r="Y438" s="5">
        <v>0</v>
      </c>
    </row>
    <row r="439" spans="1:25" x14ac:dyDescent="0.25">
      <c r="A439" s="8">
        <v>46295</v>
      </c>
      <c r="B439" s="16">
        <f>YEAR(Tabela32[[#This Row],[Data]])</f>
        <v>2026</v>
      </c>
      <c r="C439" s="16">
        <f>MONTH(Tabela32[[#This Row],[Data]])</f>
        <v>9</v>
      </c>
      <c r="D439" s="4" t="s">
        <v>23</v>
      </c>
      <c r="E439" s="4">
        <v>2</v>
      </c>
      <c r="F439" s="4" t="str">
        <f>IFERROR(VLOOKUP(Tabela32[[#This Row],[Placa]],Planilha2!$A$1:$B$12,2,0),"")</f>
        <v>William</v>
      </c>
      <c r="G439" s="10">
        <v>5686</v>
      </c>
      <c r="H439" s="10">
        <v>130464.87</v>
      </c>
      <c r="I439" s="4">
        <v>854</v>
      </c>
      <c r="J439" s="17">
        <f>IFERROR(Tabela32[[#This Row],[Valor Frete]]/Tabela32[[#This Row],[Valor Mercadoria]],"")</f>
        <v>4.3582613465218648E-2</v>
      </c>
      <c r="K439" s="11">
        <v>0.29166666666666669</v>
      </c>
      <c r="L439" s="15">
        <v>0.76736111111111116</v>
      </c>
      <c r="M439" s="15">
        <f>Tabela32[[#This Row],[Hr Chegada]]-Tabela32[[#This Row],[Hr Saida]]</f>
        <v>0.47569444444444448</v>
      </c>
      <c r="N439" s="4">
        <v>126381</v>
      </c>
      <c r="O439" s="4">
        <v>126467</v>
      </c>
      <c r="P439" s="4">
        <f>Tabela32[[#This Row],[Km Chegada]]-Tabela32[[#This Row],[Km Saída]]</f>
        <v>86</v>
      </c>
      <c r="Q439" s="4">
        <v>171</v>
      </c>
      <c r="R439" s="4">
        <v>29</v>
      </c>
      <c r="S439" s="4">
        <v>29</v>
      </c>
      <c r="T439" s="12">
        <f>Tabela32[[#This Row],[Entregas]]-Tabela32[[#This Row],[Realizadas]]</f>
        <v>0</v>
      </c>
      <c r="U439" s="18">
        <f>Tabela32[[#This Row],[Realizadas]]/Tabela32[[#This Row],[Entregas]]</f>
        <v>1</v>
      </c>
      <c r="V439" s="19" t="str">
        <f>IF(Tabela32[[#This Row],[% Entrega]]&gt;=96%,"Atendeu a Meta","Não Atendeu a Meta")</f>
        <v>Atendeu a Meta</v>
      </c>
      <c r="W439" s="4" t="s">
        <v>39</v>
      </c>
      <c r="X439" s="4">
        <v>0</v>
      </c>
      <c r="Y439" s="5">
        <v>0</v>
      </c>
    </row>
    <row r="440" spans="1:25" x14ac:dyDescent="0.25">
      <c r="A440" s="8">
        <v>46295</v>
      </c>
      <c r="B440" s="16">
        <f>YEAR(Tabela32[[#This Row],[Data]])</f>
        <v>2026</v>
      </c>
      <c r="C440" s="16">
        <f>MONTH(Tabela32[[#This Row],[Data]])</f>
        <v>9</v>
      </c>
      <c r="D440" s="4" t="s">
        <v>35</v>
      </c>
      <c r="E440" s="4">
        <v>5</v>
      </c>
      <c r="F440" s="4" t="str">
        <f>IFERROR(VLOOKUP(Tabela32[[#This Row],[Placa]],Planilha2!$A$1:$B$12,2,0),"")</f>
        <v>Osvaldo</v>
      </c>
      <c r="G440" s="10">
        <v>5528.24</v>
      </c>
      <c r="H440" s="10">
        <v>167798.9</v>
      </c>
      <c r="I440" s="4">
        <v>937</v>
      </c>
      <c r="J440" s="17">
        <f>IFERROR(Tabela32[[#This Row],[Valor Frete]]/Tabela32[[#This Row],[Valor Mercadoria]],"")</f>
        <v>3.2945627176340253E-2</v>
      </c>
      <c r="K440" s="11">
        <v>0.3125</v>
      </c>
      <c r="L440" s="15">
        <v>0.79861111111111116</v>
      </c>
      <c r="M440" s="15">
        <f>Tabela32[[#This Row],[Hr Chegada]]-Tabela32[[#This Row],[Hr Saida]]</f>
        <v>0.48611111111111116</v>
      </c>
      <c r="N440" s="4">
        <v>143967</v>
      </c>
      <c r="O440" s="4">
        <v>144011</v>
      </c>
      <c r="P440" s="4">
        <f>Tabela32[[#This Row],[Km Chegada]]-Tabela32[[#This Row],[Km Saída]]</f>
        <v>44</v>
      </c>
      <c r="Q440" s="4">
        <v>294</v>
      </c>
      <c r="R440" s="4">
        <v>11</v>
      </c>
      <c r="S440" s="4">
        <v>11</v>
      </c>
      <c r="T440" s="12">
        <f>Tabela32[[#This Row],[Entregas]]-Tabela32[[#This Row],[Realizadas]]</f>
        <v>0</v>
      </c>
      <c r="U440" s="18">
        <f>Tabela32[[#This Row],[Realizadas]]/Tabela32[[#This Row],[Entregas]]</f>
        <v>1</v>
      </c>
      <c r="V440" s="19" t="str">
        <f>IF(Tabela32[[#This Row],[% Entrega]]&gt;=96%,"Atendeu a Meta","Não Atendeu a Meta")</f>
        <v>Atendeu a Meta</v>
      </c>
      <c r="W440" s="4" t="s">
        <v>39</v>
      </c>
      <c r="X440" s="4">
        <v>0</v>
      </c>
      <c r="Y440" s="5">
        <v>0</v>
      </c>
    </row>
    <row r="441" spans="1:25" x14ac:dyDescent="0.25">
      <c r="A441" s="8">
        <v>46295</v>
      </c>
      <c r="B441" s="16">
        <f>YEAR(Tabela32[[#This Row],[Data]])</f>
        <v>2026</v>
      </c>
      <c r="C441" s="16">
        <f>MONTH(Tabela32[[#This Row],[Data]])</f>
        <v>9</v>
      </c>
      <c r="D441" s="4" t="s">
        <v>31</v>
      </c>
      <c r="E441" s="4">
        <v>11</v>
      </c>
      <c r="F441" s="4" t="str">
        <f>IFERROR(VLOOKUP(Tabela32[[#This Row],[Placa]],Planilha2!$A$1:$B$12,2,0),"")</f>
        <v>Jerson</v>
      </c>
      <c r="G441" s="10">
        <v>18788.560000000001</v>
      </c>
      <c r="H441" s="10">
        <v>430956.89</v>
      </c>
      <c r="I441" s="4">
        <v>3167</v>
      </c>
      <c r="J441" s="17">
        <f>IFERROR(Tabela32[[#This Row],[Valor Frete]]/Tabela32[[#This Row],[Valor Mercadoria]],"")</f>
        <v>4.3597307378007114E-2</v>
      </c>
      <c r="K441" s="11">
        <v>0.27430555555555558</v>
      </c>
      <c r="L441" s="15">
        <v>0.79861111111111116</v>
      </c>
      <c r="M441" s="15">
        <f>Tabela32[[#This Row],[Hr Chegada]]-Tabela32[[#This Row],[Hr Saida]]</f>
        <v>0.52430555555555558</v>
      </c>
      <c r="N441" s="4">
        <v>281328</v>
      </c>
      <c r="O441" s="4">
        <v>281467</v>
      </c>
      <c r="P441" s="4">
        <f>Tabela32[[#This Row],[Km Chegada]]-Tabela32[[#This Row],[Km Saída]]</f>
        <v>139</v>
      </c>
      <c r="Q441" s="4">
        <v>209</v>
      </c>
      <c r="R441" s="4">
        <v>41</v>
      </c>
      <c r="S441" s="4">
        <v>41</v>
      </c>
      <c r="T441" s="12">
        <f>Tabela32[[#This Row],[Entregas]]-Tabela32[[#This Row],[Realizadas]]</f>
        <v>0</v>
      </c>
      <c r="U441" s="18">
        <f>Tabela32[[#This Row],[Realizadas]]/Tabela32[[#This Row],[Entregas]]</f>
        <v>1</v>
      </c>
      <c r="V441" s="19" t="str">
        <f>IF(Tabela32[[#This Row],[% Entrega]]&gt;=96%,"Atendeu a Meta","Não Atendeu a Meta")</f>
        <v>Atendeu a Meta</v>
      </c>
      <c r="W441" s="4" t="s">
        <v>41</v>
      </c>
      <c r="X441" s="4">
        <v>0</v>
      </c>
      <c r="Y441" s="5">
        <v>0</v>
      </c>
    </row>
    <row r="442" spans="1:25" x14ac:dyDescent="0.25">
      <c r="A442" s="8">
        <v>46295</v>
      </c>
      <c r="B442" s="16">
        <f>YEAR(Tabela32[[#This Row],[Data]])</f>
        <v>2026</v>
      </c>
      <c r="C442" s="16">
        <f>MONTH(Tabela32[[#This Row],[Data]])</f>
        <v>9</v>
      </c>
      <c r="D442" s="4" t="s">
        <v>53</v>
      </c>
      <c r="E442" s="4">
        <v>5</v>
      </c>
      <c r="F442" s="4" t="str">
        <f>IFERROR(VLOOKUP(Tabela32[[#This Row],[Placa]],Planilha2!$A$1:$B$12,2,0),"")</f>
        <v>Arnaldo</v>
      </c>
      <c r="G442" s="10">
        <v>9128.23</v>
      </c>
      <c r="H442" s="10">
        <v>139821.72</v>
      </c>
      <c r="I442" s="4">
        <v>1480</v>
      </c>
      <c r="J442" s="17">
        <f>IFERROR(Tabela32[[#This Row],[Valor Frete]]/Tabela32[[#This Row],[Valor Mercadoria]],"")</f>
        <v>6.5284778359184822E-2</v>
      </c>
      <c r="K442" s="11">
        <v>0.29166666666666669</v>
      </c>
      <c r="L442" s="15">
        <v>0.78472222222222221</v>
      </c>
      <c r="M442" s="15">
        <f>Tabela32[[#This Row],[Hr Chegada]]-Tabela32[[#This Row],[Hr Saida]]</f>
        <v>0.49305555555555552</v>
      </c>
      <c r="N442" s="4">
        <v>14293</v>
      </c>
      <c r="O442" s="4">
        <v>14374</v>
      </c>
      <c r="P442" s="4">
        <f>Tabela32[[#This Row],[Km Chegada]]-Tabela32[[#This Row],[Km Saída]]</f>
        <v>81</v>
      </c>
      <c r="Q442" s="4">
        <v>205</v>
      </c>
      <c r="R442" s="4">
        <v>19</v>
      </c>
      <c r="S442" s="4">
        <v>19</v>
      </c>
      <c r="T442" s="12">
        <f>Tabela32[[#This Row],[Entregas]]-Tabela32[[#This Row],[Realizadas]]</f>
        <v>0</v>
      </c>
      <c r="U442" s="18">
        <f>Tabela32[[#This Row],[Realizadas]]/Tabela32[[#This Row],[Entregas]]</f>
        <v>1</v>
      </c>
      <c r="V442" s="19" t="str">
        <f>IF(Tabela32[[#This Row],[% Entrega]]&gt;=96%,"Atendeu a Meta","Não Atendeu a Meta")</f>
        <v>Atendeu a Meta</v>
      </c>
      <c r="W442" s="4" t="s">
        <v>39</v>
      </c>
      <c r="X442" s="4">
        <v>0</v>
      </c>
      <c r="Y442" s="5">
        <v>38</v>
      </c>
    </row>
    <row r="443" spans="1:25" x14ac:dyDescent="0.25">
      <c r="A443" s="8">
        <v>46295</v>
      </c>
      <c r="B443" s="16">
        <f>YEAR(Tabela32[[#This Row],[Data]])</f>
        <v>2026</v>
      </c>
      <c r="C443" s="16">
        <f>MONTH(Tabela32[[#This Row],[Data]])</f>
        <v>9</v>
      </c>
      <c r="D443" s="4" t="s">
        <v>25</v>
      </c>
      <c r="E443" s="4">
        <v>1</v>
      </c>
      <c r="F443" s="4" t="str">
        <f>IFERROR(VLOOKUP(Tabela32[[#This Row],[Placa]],Planilha2!$A$1:$B$12,2,0),"")</f>
        <v>Gilberto</v>
      </c>
      <c r="G443" s="10">
        <v>7688.66</v>
      </c>
      <c r="H443" s="10">
        <v>179365.1</v>
      </c>
      <c r="I443" s="4">
        <v>1406</v>
      </c>
      <c r="J443" s="17">
        <f>IFERROR(Tabela32[[#This Row],[Valor Frete]]/Tabela32[[#This Row],[Valor Mercadoria]],"")</f>
        <v>4.2865975599489528E-2</v>
      </c>
      <c r="K443" s="11">
        <v>0.3125</v>
      </c>
      <c r="L443" s="15">
        <v>0.70833333333333337</v>
      </c>
      <c r="M443" s="15">
        <f>Tabela32[[#This Row],[Hr Chegada]]-Tabela32[[#This Row],[Hr Saida]]</f>
        <v>0.39583333333333337</v>
      </c>
      <c r="N443" s="4">
        <v>120547</v>
      </c>
      <c r="O443" s="4">
        <v>120577</v>
      </c>
      <c r="P443" s="4">
        <f>Tabela32[[#This Row],[Km Chegada]]-Tabela32[[#This Row],[Km Saída]]</f>
        <v>30</v>
      </c>
      <c r="Q443" s="4">
        <v>223</v>
      </c>
      <c r="R443" s="4">
        <v>14</v>
      </c>
      <c r="S443" s="4">
        <v>14</v>
      </c>
      <c r="T443" s="12">
        <f>Tabela32[[#This Row],[Entregas]]-Tabela32[[#This Row],[Realizadas]]</f>
        <v>0</v>
      </c>
      <c r="U443" s="18">
        <f>Tabela32[[#This Row],[Realizadas]]/Tabela32[[#This Row],[Entregas]]</f>
        <v>1</v>
      </c>
      <c r="V443" s="19" t="str">
        <f>IF(Tabela32[[#This Row],[% Entrega]]&gt;=96%,"Atendeu a Meta","Não Atendeu a Meta")</f>
        <v>Atendeu a Meta</v>
      </c>
      <c r="W443" s="4" t="s">
        <v>43</v>
      </c>
      <c r="X443" s="4">
        <v>0</v>
      </c>
      <c r="Y443" s="5">
        <v>38.380000000000003</v>
      </c>
    </row>
    <row r="444" spans="1:25" x14ac:dyDescent="0.25">
      <c r="A444" s="8">
        <v>46295</v>
      </c>
      <c r="B444" s="16">
        <f>YEAR(Tabela32[[#This Row],[Data]])</f>
        <v>2026</v>
      </c>
      <c r="C444" s="16">
        <f>MONTH(Tabela32[[#This Row],[Data]])</f>
        <v>9</v>
      </c>
      <c r="D444" s="4" t="s">
        <v>28</v>
      </c>
      <c r="E444" s="4">
        <v>1</v>
      </c>
      <c r="F444" s="4" t="str">
        <f>IFERROR(VLOOKUP(Tabela32[[#This Row],[Placa]],Planilha2!$A$1:$B$12,2,0),"")</f>
        <v>Edilson</v>
      </c>
      <c r="G444" s="10">
        <v>16471</v>
      </c>
      <c r="H444" s="10">
        <v>145619.81</v>
      </c>
      <c r="I444" s="4">
        <v>3858</v>
      </c>
      <c r="J444" s="17">
        <f>IFERROR(Tabela32[[#This Row],[Valor Frete]]/Tabela32[[#This Row],[Valor Mercadoria]],"")</f>
        <v>0.11310961056740838</v>
      </c>
      <c r="K444" s="11">
        <v>0.28472222222222221</v>
      </c>
      <c r="L444" s="15">
        <v>0.70833333333333337</v>
      </c>
      <c r="M444" s="15">
        <f>Tabela32[[#This Row],[Hr Chegada]]-Tabela32[[#This Row],[Hr Saida]]</f>
        <v>0.42361111111111116</v>
      </c>
      <c r="N444" s="4">
        <v>106579</v>
      </c>
      <c r="O444" s="4">
        <v>106612</v>
      </c>
      <c r="P444" s="4">
        <f>Tabela32[[#This Row],[Km Chegada]]-Tabela32[[#This Row],[Km Saída]]</f>
        <v>33</v>
      </c>
      <c r="Q444" s="4">
        <v>1158</v>
      </c>
      <c r="R444" s="4">
        <v>4</v>
      </c>
      <c r="S444" s="4">
        <v>4</v>
      </c>
      <c r="T444" s="12">
        <f>Tabela32[[#This Row],[Entregas]]-Tabela32[[#This Row],[Realizadas]]</f>
        <v>0</v>
      </c>
      <c r="U444" s="18">
        <f>Tabela32[[#This Row],[Realizadas]]/Tabela32[[#This Row],[Entregas]]</f>
        <v>1</v>
      </c>
      <c r="V444" s="19" t="str">
        <f>IF(Tabela32[[#This Row],[% Entrega]]&gt;=96%,"Atendeu a Meta","Não Atendeu a Meta")</f>
        <v>Atendeu a Meta</v>
      </c>
      <c r="W444" s="4" t="s">
        <v>40</v>
      </c>
      <c r="X444" s="4">
        <v>0</v>
      </c>
      <c r="Y444" s="5">
        <v>0</v>
      </c>
    </row>
    <row r="445" spans="1:25" x14ac:dyDescent="0.25">
      <c r="A445" s="8">
        <v>46296</v>
      </c>
      <c r="B445" s="16">
        <f>YEAR(Tabela32[[#This Row],[Data]])</f>
        <v>2026</v>
      </c>
      <c r="C445" s="16">
        <f>MONTH(Tabela32[[#This Row],[Data]])</f>
        <v>10</v>
      </c>
      <c r="D445" s="4" t="s">
        <v>25</v>
      </c>
      <c r="E445" s="4">
        <v>1</v>
      </c>
      <c r="F445" s="4" t="str">
        <f>IFERROR(VLOOKUP(Tabela32[[#This Row],[Placa]],Planilha2!$A$1:$B$12,2,0),"")</f>
        <v>Gilberto</v>
      </c>
      <c r="G445" s="10">
        <v>13166.64</v>
      </c>
      <c r="H445" s="10">
        <v>173949.2</v>
      </c>
      <c r="I445" s="4">
        <v>3519</v>
      </c>
      <c r="J445" s="17">
        <f>IFERROR(Tabela32[[#This Row],[Valor Frete]]/Tabela32[[#This Row],[Valor Mercadoria]],"")</f>
        <v>7.5692443540987822E-2</v>
      </c>
      <c r="K445" s="11">
        <v>0.3125</v>
      </c>
      <c r="L445" s="15">
        <v>0.69444444444444442</v>
      </c>
      <c r="M445" s="15">
        <f>Tabela32[[#This Row],[Hr Chegada]]-Tabela32[[#This Row],[Hr Saida]]</f>
        <v>0.38194444444444442</v>
      </c>
      <c r="N445" s="4">
        <v>120577</v>
      </c>
      <c r="O445" s="4">
        <v>120652</v>
      </c>
      <c r="P445" s="4">
        <f>Tabela32[[#This Row],[Km Chegada]]-Tabela32[[#This Row],[Km Saída]]</f>
        <v>75</v>
      </c>
      <c r="Q445" s="4">
        <v>353</v>
      </c>
      <c r="R445" s="4">
        <v>26</v>
      </c>
      <c r="S445" s="4">
        <v>26</v>
      </c>
      <c r="T445" s="12">
        <f>Tabela32[[#This Row],[Entregas]]-Tabela32[[#This Row],[Realizadas]]</f>
        <v>0</v>
      </c>
      <c r="U445" s="18">
        <f>Tabela32[[#This Row],[Realizadas]]/Tabela32[[#This Row],[Entregas]]</f>
        <v>1</v>
      </c>
      <c r="V445" s="19" t="str">
        <f>IF(Tabela32[[#This Row],[% Entrega]]&gt;=96%,"Atendeu a Meta","Não Atendeu a Meta")</f>
        <v>Atendeu a Meta</v>
      </c>
      <c r="W445" s="4" t="s">
        <v>43</v>
      </c>
      <c r="X445" s="4">
        <v>0</v>
      </c>
      <c r="Y445" s="5">
        <v>0</v>
      </c>
    </row>
    <row r="446" spans="1:25" x14ac:dyDescent="0.25">
      <c r="A446" s="8">
        <v>46296</v>
      </c>
      <c r="B446" s="16">
        <f>YEAR(Tabela32[[#This Row],[Data]])</f>
        <v>2026</v>
      </c>
      <c r="C446" s="16">
        <f>MONTH(Tabela32[[#This Row],[Data]])</f>
        <v>10</v>
      </c>
      <c r="D446" s="4" t="s">
        <v>22</v>
      </c>
      <c r="E446" s="4">
        <v>3</v>
      </c>
      <c r="F446" s="4" t="str">
        <f>IFERROR(VLOOKUP(Tabela32[[#This Row],[Placa]],Planilha2!$A$1:$B$12,2,0),"")</f>
        <v>Wesley</v>
      </c>
      <c r="G446" s="10">
        <v>5728.99</v>
      </c>
      <c r="H446" s="10">
        <v>138851.32999999999</v>
      </c>
      <c r="I446" s="4">
        <v>1010</v>
      </c>
      <c r="J446" s="17">
        <f>IFERROR(Tabela32[[#This Row],[Valor Frete]]/Tabela32[[#This Row],[Valor Mercadoria]],"")</f>
        <v>4.1259885663320617E-2</v>
      </c>
      <c r="K446" s="11">
        <v>0.29166666666666669</v>
      </c>
      <c r="L446" s="15">
        <v>0.69444444444444442</v>
      </c>
      <c r="M446" s="15">
        <f>Tabela32[[#This Row],[Hr Chegada]]-Tabela32[[#This Row],[Hr Saida]]</f>
        <v>0.40277777777777773</v>
      </c>
      <c r="N446" s="4">
        <v>305745</v>
      </c>
      <c r="O446" s="4">
        <v>305801</v>
      </c>
      <c r="P446" s="4">
        <f>Tabela32[[#This Row],[Km Chegada]]-Tabela32[[#This Row],[Km Saída]]</f>
        <v>56</v>
      </c>
      <c r="Q446" s="4">
        <v>149</v>
      </c>
      <c r="R446" s="4">
        <v>18</v>
      </c>
      <c r="S446" s="4">
        <v>18</v>
      </c>
      <c r="T446" s="12">
        <f>Tabela32[[#This Row],[Entregas]]-Tabela32[[#This Row],[Realizadas]]</f>
        <v>0</v>
      </c>
      <c r="U446" s="18">
        <f>Tabela32[[#This Row],[Realizadas]]/Tabela32[[#This Row],[Entregas]]</f>
        <v>1</v>
      </c>
      <c r="V446" s="19" t="str">
        <f>IF(Tabela32[[#This Row],[% Entrega]]&gt;=96%,"Atendeu a Meta","Não Atendeu a Meta")</f>
        <v>Atendeu a Meta</v>
      </c>
      <c r="W446" s="4" t="s">
        <v>39</v>
      </c>
      <c r="X446" s="4">
        <v>0</v>
      </c>
      <c r="Y446" s="5">
        <v>0</v>
      </c>
    </row>
    <row r="447" spans="1:25" x14ac:dyDescent="0.25">
      <c r="A447" s="8">
        <v>46296</v>
      </c>
      <c r="B447" s="16">
        <f>YEAR(Tabela32[[#This Row],[Data]])</f>
        <v>2026</v>
      </c>
      <c r="C447" s="16">
        <f>MONTH(Tabela32[[#This Row],[Data]])</f>
        <v>10</v>
      </c>
      <c r="D447" s="4" t="s">
        <v>23</v>
      </c>
      <c r="E447" s="4">
        <v>5</v>
      </c>
      <c r="F447" s="4" t="str">
        <f>IFERROR(VLOOKUP(Tabela32[[#This Row],[Placa]],Planilha2!$A$1:$B$12,2,0),"")</f>
        <v>William</v>
      </c>
      <c r="G447" s="10">
        <v>8096.13</v>
      </c>
      <c r="H447" s="10">
        <v>182940.96</v>
      </c>
      <c r="I447" s="4">
        <v>3585</v>
      </c>
      <c r="J447" s="17">
        <f>IFERROR(Tabela32[[#This Row],[Valor Frete]]/Tabela32[[#This Row],[Valor Mercadoria]],"")</f>
        <v>4.425542535690203E-2</v>
      </c>
      <c r="K447" s="11">
        <v>0.3125</v>
      </c>
      <c r="L447" s="15">
        <v>0.43472222222222223</v>
      </c>
      <c r="M447" s="15">
        <f>Tabela32[[#This Row],[Hr Chegada]]-Tabela32[[#This Row],[Hr Saida]]</f>
        <v>0.12222222222222223</v>
      </c>
      <c r="N447" s="4">
        <v>126467</v>
      </c>
      <c r="O447" s="4">
        <v>126502</v>
      </c>
      <c r="P447" s="4">
        <f>Tabela32[[#This Row],[Km Chegada]]-Tabela32[[#This Row],[Km Saída]]</f>
        <v>35</v>
      </c>
      <c r="Q447" s="4">
        <v>713</v>
      </c>
      <c r="R447" s="4">
        <v>15</v>
      </c>
      <c r="S447" s="4">
        <v>15</v>
      </c>
      <c r="T447" s="12">
        <f>Tabela32[[#This Row],[Entregas]]-Tabela32[[#This Row],[Realizadas]]</f>
        <v>0</v>
      </c>
      <c r="U447" s="18">
        <f>Tabela32[[#This Row],[Realizadas]]/Tabela32[[#This Row],[Entregas]]</f>
        <v>1</v>
      </c>
      <c r="V447" s="19" t="str">
        <f>IF(Tabela32[[#This Row],[% Entrega]]&gt;=96%,"Atendeu a Meta","Não Atendeu a Meta")</f>
        <v>Atendeu a Meta</v>
      </c>
      <c r="W447" s="4" t="s">
        <v>39</v>
      </c>
      <c r="X447" s="4">
        <v>0</v>
      </c>
      <c r="Y447" s="5">
        <v>0</v>
      </c>
    </row>
    <row r="448" spans="1:25" x14ac:dyDescent="0.25">
      <c r="A448" s="8">
        <v>46296</v>
      </c>
      <c r="B448" s="16">
        <f>YEAR(Tabela32[[#This Row],[Data]])</f>
        <v>2026</v>
      </c>
      <c r="C448" s="16">
        <f>MONTH(Tabela32[[#This Row],[Data]])</f>
        <v>10</v>
      </c>
      <c r="D448" s="4" t="s">
        <v>36</v>
      </c>
      <c r="E448" s="4">
        <v>11</v>
      </c>
      <c r="F448" s="4" t="str">
        <f>IFERROR(VLOOKUP(Tabela32[[#This Row],[Placa]],Planilha2!$A$1:$B$12,2,0),"")</f>
        <v>Heremilton</v>
      </c>
      <c r="G448" s="10">
        <v>12506.07</v>
      </c>
      <c r="H448" s="10">
        <v>119003.46</v>
      </c>
      <c r="I448" s="4">
        <v>4222</v>
      </c>
      <c r="J448" s="17">
        <f>IFERROR(Tabela32[[#This Row],[Valor Frete]]/Tabela32[[#This Row],[Valor Mercadoria]],"")</f>
        <v>0.10508996965298319</v>
      </c>
      <c r="K448" s="11">
        <v>0.27083333333333331</v>
      </c>
      <c r="L448" s="15">
        <v>0.74097222222222225</v>
      </c>
      <c r="M448" s="15">
        <f>Tabela32[[#This Row],[Hr Chegada]]-Tabela32[[#This Row],[Hr Saida]]</f>
        <v>0.47013888888888894</v>
      </c>
      <c r="N448" s="4">
        <v>367391</v>
      </c>
      <c r="O448" s="4">
        <v>367431</v>
      </c>
      <c r="P448" s="4">
        <f>Tabela32[[#This Row],[Km Chegada]]-Tabela32[[#This Row],[Km Saída]]</f>
        <v>40</v>
      </c>
      <c r="Q448" s="4">
        <v>809</v>
      </c>
      <c r="R448" s="4">
        <v>2</v>
      </c>
      <c r="S448" s="4">
        <v>2</v>
      </c>
      <c r="T448" s="12">
        <f>Tabela32[[#This Row],[Entregas]]-Tabela32[[#This Row],[Realizadas]]</f>
        <v>0</v>
      </c>
      <c r="U448" s="18">
        <f>Tabela32[[#This Row],[Realizadas]]/Tabela32[[#This Row],[Entregas]]</f>
        <v>1</v>
      </c>
      <c r="V448" s="19" t="str">
        <f>IF(Tabela32[[#This Row],[% Entrega]]&gt;=96%,"Atendeu a Meta","Não Atendeu a Meta")</f>
        <v>Atendeu a Meta</v>
      </c>
      <c r="W448" s="4" t="s">
        <v>41</v>
      </c>
      <c r="X448" s="4">
        <v>0</v>
      </c>
      <c r="Y448" s="5">
        <v>0</v>
      </c>
    </row>
    <row r="449" spans="1:25" x14ac:dyDescent="0.25">
      <c r="A449" s="8">
        <v>46296</v>
      </c>
      <c r="B449" s="16">
        <f>YEAR(Tabela32[[#This Row],[Data]])</f>
        <v>2026</v>
      </c>
      <c r="C449" s="16">
        <f>MONTH(Tabela32[[#This Row],[Data]])</f>
        <v>10</v>
      </c>
      <c r="D449" s="4" t="s">
        <v>28</v>
      </c>
      <c r="E449" s="4">
        <v>1</v>
      </c>
      <c r="F449" s="4" t="str">
        <f>IFERROR(VLOOKUP(Tabela32[[#This Row],[Placa]],Planilha2!$A$1:$B$12,2,0),"")</f>
        <v>Edilson</v>
      </c>
      <c r="G449" s="10">
        <v>13768.88</v>
      </c>
      <c r="H449" s="10">
        <v>136214.88</v>
      </c>
      <c r="I449" s="4">
        <v>6604</v>
      </c>
      <c r="J449" s="17">
        <f>IFERROR(Tabela32[[#This Row],[Valor Frete]]/Tabela32[[#This Row],[Valor Mercadoria]],"")</f>
        <v>0.1010820550588893</v>
      </c>
      <c r="K449" s="11">
        <v>0.27083333333333331</v>
      </c>
      <c r="L449" s="15">
        <v>0.76388888888888884</v>
      </c>
      <c r="M449" s="15">
        <f>Tabela32[[#This Row],[Hr Chegada]]-Tabela32[[#This Row],[Hr Saida]]</f>
        <v>0.49305555555555552</v>
      </c>
      <c r="N449" s="4">
        <v>106612</v>
      </c>
      <c r="O449" s="4">
        <v>106643</v>
      </c>
      <c r="P449" s="4">
        <f>Tabela32[[#This Row],[Km Chegada]]-Tabela32[[#This Row],[Km Saída]]</f>
        <v>31</v>
      </c>
      <c r="Q449" s="4">
        <v>29</v>
      </c>
      <c r="R449" s="4">
        <v>4</v>
      </c>
      <c r="S449" s="4">
        <v>4</v>
      </c>
      <c r="T449" s="12">
        <f>Tabela32[[#This Row],[Entregas]]-Tabela32[[#This Row],[Realizadas]]</f>
        <v>0</v>
      </c>
      <c r="U449" s="18">
        <f>Tabela32[[#This Row],[Realizadas]]/Tabela32[[#This Row],[Entregas]]</f>
        <v>1</v>
      </c>
      <c r="V449" s="19" t="str">
        <f>IF(Tabela32[[#This Row],[% Entrega]]&gt;=96%,"Atendeu a Meta","Não Atendeu a Meta")</f>
        <v>Atendeu a Meta</v>
      </c>
      <c r="W449" s="4" t="s">
        <v>40</v>
      </c>
      <c r="X449" s="4">
        <v>0</v>
      </c>
      <c r="Y449" s="5">
        <v>0</v>
      </c>
    </row>
    <row r="450" spans="1:25" x14ac:dyDescent="0.25">
      <c r="A450" s="8">
        <v>46296</v>
      </c>
      <c r="B450" s="16">
        <f>YEAR(Tabela32[[#This Row],[Data]])</f>
        <v>2026</v>
      </c>
      <c r="C450" s="16">
        <f>MONTH(Tabela32[[#This Row],[Data]])</f>
        <v>10</v>
      </c>
      <c r="D450" s="4" t="s">
        <v>29</v>
      </c>
      <c r="E450" s="4">
        <v>1</v>
      </c>
      <c r="F450" s="4" t="str">
        <f>IFERROR(VLOOKUP(Tabela32[[#This Row],[Placa]],Planilha2!$A$1:$B$12,2,0),"")</f>
        <v>Sandro</v>
      </c>
      <c r="G450" s="10">
        <v>7307.82</v>
      </c>
      <c r="H450" s="10">
        <v>68936.05</v>
      </c>
      <c r="I450" s="4">
        <v>1954</v>
      </c>
      <c r="J450" s="17">
        <f>IFERROR(Tabela32[[#This Row],[Valor Frete]]/Tabela32[[#This Row],[Valor Mercadoria]],"")</f>
        <v>0.1060086848608239</v>
      </c>
      <c r="K450" s="11">
        <v>0.29166666666666669</v>
      </c>
      <c r="L450" s="15">
        <v>0.79236111111111107</v>
      </c>
      <c r="M450" s="15">
        <f>Tabela32[[#This Row],[Hr Chegada]]-Tabela32[[#This Row],[Hr Saida]]</f>
        <v>0.50069444444444433</v>
      </c>
      <c r="N450" s="4">
        <v>276439</v>
      </c>
      <c r="O450" s="4">
        <v>276503</v>
      </c>
      <c r="P450" s="4">
        <f>Tabela32[[#This Row],[Km Chegada]]-Tabela32[[#This Row],[Km Saída]]</f>
        <v>64</v>
      </c>
      <c r="Q450" s="4">
        <v>254</v>
      </c>
      <c r="R450" s="4">
        <v>8</v>
      </c>
      <c r="S450" s="4">
        <v>8</v>
      </c>
      <c r="T450" s="12">
        <f>Tabela32[[#This Row],[Entregas]]-Tabela32[[#This Row],[Realizadas]]</f>
        <v>0</v>
      </c>
      <c r="U450" s="18">
        <f>Tabela32[[#This Row],[Realizadas]]/Tabela32[[#This Row],[Entregas]]</f>
        <v>1</v>
      </c>
      <c r="V450" s="19" t="str">
        <f>IF(Tabela32[[#This Row],[% Entrega]]&gt;=96%,"Atendeu a Meta","Não Atendeu a Meta")</f>
        <v>Atendeu a Meta</v>
      </c>
      <c r="W450" s="4" t="s">
        <v>40</v>
      </c>
      <c r="X450" s="4">
        <v>0</v>
      </c>
      <c r="Y450" s="5">
        <v>0</v>
      </c>
    </row>
    <row r="451" spans="1:25" x14ac:dyDescent="0.25">
      <c r="A451" s="8">
        <v>46296</v>
      </c>
      <c r="B451" s="16">
        <f>YEAR(Tabela32[[#This Row],[Data]])</f>
        <v>2026</v>
      </c>
      <c r="C451" s="16">
        <f>MONTH(Tabela32[[#This Row],[Data]])</f>
        <v>10</v>
      </c>
      <c r="D451" s="4" t="s">
        <v>33</v>
      </c>
      <c r="E451" s="4">
        <v>1</v>
      </c>
      <c r="F451" s="4" t="str">
        <f>IFERROR(VLOOKUP(Tabela32[[#This Row],[Placa]],Planilha2!$A$1:$B$12,2,0),"")</f>
        <v>Paulo</v>
      </c>
      <c r="G451" s="10">
        <v>1548.42</v>
      </c>
      <c r="H451" s="10">
        <v>48223.5</v>
      </c>
      <c r="I451" s="4">
        <v>269</v>
      </c>
      <c r="J451" s="17">
        <f>IFERROR(Tabela32[[#This Row],[Valor Frete]]/Tabela32[[#This Row],[Valor Mercadoria]],"")</f>
        <v>3.2109241344987403E-2</v>
      </c>
      <c r="K451" s="11">
        <v>0.29166666666666669</v>
      </c>
      <c r="L451" s="15">
        <v>0.70972222222222225</v>
      </c>
      <c r="M451" s="15">
        <f>Tabela32[[#This Row],[Hr Chegada]]-Tabela32[[#This Row],[Hr Saida]]</f>
        <v>0.41805555555555557</v>
      </c>
      <c r="N451" s="4">
        <v>156431</v>
      </c>
      <c r="O451" s="4">
        <v>156572</v>
      </c>
      <c r="P451" s="4">
        <f>Tabela32[[#This Row],[Km Chegada]]-Tabela32[[#This Row],[Km Saída]]</f>
        <v>141</v>
      </c>
      <c r="Q451" s="4">
        <v>2</v>
      </c>
      <c r="R451" s="4">
        <v>1</v>
      </c>
      <c r="S451" s="4">
        <v>1</v>
      </c>
      <c r="T451" s="12">
        <f>Tabela32[[#This Row],[Entregas]]-Tabela32[[#This Row],[Realizadas]]</f>
        <v>0</v>
      </c>
      <c r="U451" s="18">
        <f>Tabela32[[#This Row],[Realizadas]]/Tabela32[[#This Row],[Entregas]]</f>
        <v>1</v>
      </c>
      <c r="V451" s="19" t="str">
        <f>IF(Tabela32[[#This Row],[% Entrega]]&gt;=96%,"Atendeu a Meta","Não Atendeu a Meta")</f>
        <v>Atendeu a Meta</v>
      </c>
      <c r="W451" s="4" t="s">
        <v>40</v>
      </c>
      <c r="X451" s="4">
        <v>0</v>
      </c>
      <c r="Y451" s="5">
        <v>0</v>
      </c>
    </row>
    <row r="452" spans="1:25" x14ac:dyDescent="0.25">
      <c r="A452" s="8">
        <v>46296</v>
      </c>
      <c r="B452" s="16">
        <f>YEAR(Tabela32[[#This Row],[Data]])</f>
        <v>2026</v>
      </c>
      <c r="C452" s="16">
        <f>MONTH(Tabela32[[#This Row],[Data]])</f>
        <v>10</v>
      </c>
      <c r="D452" s="4" t="s">
        <v>35</v>
      </c>
      <c r="E452" s="4">
        <v>4</v>
      </c>
      <c r="F452" s="4" t="str">
        <f>IFERROR(VLOOKUP(Tabela32[[#This Row],[Placa]],Planilha2!$A$1:$B$12,2,0),"")</f>
        <v>Osvaldo</v>
      </c>
      <c r="G452" s="10">
        <v>10079.719999999999</v>
      </c>
      <c r="H452" s="10">
        <v>182931.56</v>
      </c>
      <c r="I452" s="4">
        <v>2661</v>
      </c>
      <c r="J452" s="17">
        <f>IFERROR(Tabela32[[#This Row],[Valor Frete]]/Tabela32[[#This Row],[Valor Mercadoria]],"")</f>
        <v>5.510104434685846E-2</v>
      </c>
      <c r="K452" s="11">
        <v>0.29166666666666669</v>
      </c>
      <c r="L452" s="15">
        <v>0.73055555555555551</v>
      </c>
      <c r="M452" s="15">
        <f>Tabela32[[#This Row],[Hr Chegada]]-Tabela32[[#This Row],[Hr Saida]]</f>
        <v>0.43888888888888883</v>
      </c>
      <c r="N452" s="4">
        <v>144011</v>
      </c>
      <c r="O452" s="4">
        <v>144077</v>
      </c>
      <c r="P452" s="4">
        <f>Tabela32[[#This Row],[Km Chegada]]-Tabela32[[#This Row],[Km Saída]]</f>
        <v>66</v>
      </c>
      <c r="Q452" s="4">
        <v>355</v>
      </c>
      <c r="R452" s="4">
        <v>31</v>
      </c>
      <c r="S452" s="4">
        <v>31</v>
      </c>
      <c r="T452" s="12">
        <f>Tabela32[[#This Row],[Entregas]]-Tabela32[[#This Row],[Realizadas]]</f>
        <v>0</v>
      </c>
      <c r="U452" s="18">
        <f>Tabela32[[#This Row],[Realizadas]]/Tabela32[[#This Row],[Entregas]]</f>
        <v>1</v>
      </c>
      <c r="V452" s="19" t="str">
        <f>IF(Tabela32[[#This Row],[% Entrega]]&gt;=96%,"Atendeu a Meta","Não Atendeu a Meta")</f>
        <v>Atendeu a Meta</v>
      </c>
      <c r="W452" s="4" t="s">
        <v>39</v>
      </c>
      <c r="X452" s="4">
        <v>1</v>
      </c>
      <c r="Y452" s="5" t="s">
        <v>92</v>
      </c>
    </row>
    <row r="453" spans="1:25" x14ac:dyDescent="0.25">
      <c r="A453" s="8">
        <v>46296</v>
      </c>
      <c r="B453" s="16">
        <f>YEAR(Tabela32[[#This Row],[Data]])</f>
        <v>2026</v>
      </c>
      <c r="C453" s="16">
        <f>MONTH(Tabela32[[#This Row],[Data]])</f>
        <v>10</v>
      </c>
      <c r="D453" s="4" t="s">
        <v>31</v>
      </c>
      <c r="E453" s="4">
        <v>11</v>
      </c>
      <c r="F453" s="4" t="str">
        <f>IFERROR(VLOOKUP(Tabela32[[#This Row],[Placa]],Planilha2!$A$1:$B$12,2,0),"")</f>
        <v>Jerson</v>
      </c>
      <c r="G453" s="10">
        <v>14997.77</v>
      </c>
      <c r="H453" s="10">
        <v>231117.04</v>
      </c>
      <c r="I453" s="4">
        <v>2050</v>
      </c>
      <c r="J453" s="17">
        <f>IFERROR(Tabela32[[#This Row],[Valor Frete]]/Tabela32[[#This Row],[Valor Mercadoria]],"")</f>
        <v>6.4892532372342604E-2</v>
      </c>
      <c r="K453" s="11">
        <v>0.27777777777777779</v>
      </c>
      <c r="L453" s="15">
        <v>0.85416666666666663</v>
      </c>
      <c r="M453" s="15">
        <f>Tabela32[[#This Row],[Hr Chegada]]-Tabela32[[#This Row],[Hr Saida]]</f>
        <v>0.57638888888888884</v>
      </c>
      <c r="N453" s="4">
        <v>281467</v>
      </c>
      <c r="O453" s="4">
        <v>281577</v>
      </c>
      <c r="P453" s="4">
        <f>Tabela32[[#This Row],[Km Chegada]]-Tabela32[[#This Row],[Km Saída]]</f>
        <v>110</v>
      </c>
      <c r="Q453" s="4">
        <v>352</v>
      </c>
      <c r="R453" s="4">
        <v>43</v>
      </c>
      <c r="S453" s="4">
        <v>43</v>
      </c>
      <c r="T453" s="12">
        <f>Tabela32[[#This Row],[Entregas]]-Tabela32[[#This Row],[Realizadas]]</f>
        <v>0</v>
      </c>
      <c r="U453" s="18">
        <f>Tabela32[[#This Row],[Realizadas]]/Tabela32[[#This Row],[Entregas]]</f>
        <v>1</v>
      </c>
      <c r="V453" s="19" t="str">
        <f>IF(Tabela32[[#This Row],[% Entrega]]&gt;=96%,"Atendeu a Meta","Não Atendeu a Meta")</f>
        <v>Atendeu a Meta</v>
      </c>
      <c r="W453" s="4" t="s">
        <v>41</v>
      </c>
      <c r="X453" s="4">
        <v>0</v>
      </c>
      <c r="Y453" s="5">
        <v>0</v>
      </c>
    </row>
    <row r="454" spans="1:25" x14ac:dyDescent="0.25">
      <c r="A454" s="8">
        <v>46296</v>
      </c>
      <c r="B454" s="16">
        <f>YEAR(Tabela32[[#This Row],[Data]])</f>
        <v>2026</v>
      </c>
      <c r="C454" s="16">
        <f>MONTH(Tabela32[[#This Row],[Data]])</f>
        <v>10</v>
      </c>
      <c r="D454" s="4" t="s">
        <v>53</v>
      </c>
      <c r="E454" s="4">
        <v>5</v>
      </c>
      <c r="F454" s="4" t="str">
        <f>IFERROR(VLOOKUP(Tabela32[[#This Row],[Placa]],Planilha2!$A$1:$B$12,2,0),"")</f>
        <v>Arnaldo</v>
      </c>
      <c r="G454" s="10">
        <v>8643.84</v>
      </c>
      <c r="H454" s="10">
        <v>187927.76</v>
      </c>
      <c r="I454" s="4">
        <v>723</v>
      </c>
      <c r="J454" s="17">
        <f>IFERROR(Tabela32[[#This Row],[Valor Frete]]/Tabela32[[#This Row],[Valor Mercadoria]],"")</f>
        <v>4.5995546373776813E-2</v>
      </c>
      <c r="K454" s="11">
        <v>0.29166666666666669</v>
      </c>
      <c r="L454" s="15">
        <v>0.74652777777777779</v>
      </c>
      <c r="M454" s="15">
        <f>Tabela32[[#This Row],[Hr Chegada]]-Tabela32[[#This Row],[Hr Saida]]</f>
        <v>0.4548611111111111</v>
      </c>
      <c r="N454" s="4">
        <v>14375</v>
      </c>
      <c r="O454" s="4">
        <v>14441</v>
      </c>
      <c r="P454" s="4">
        <f>Tabela32[[#This Row],[Km Chegada]]-Tabela32[[#This Row],[Km Saída]]</f>
        <v>66</v>
      </c>
      <c r="Q454" s="4">
        <v>347</v>
      </c>
      <c r="R454" s="4">
        <v>24</v>
      </c>
      <c r="S454" s="4">
        <v>24</v>
      </c>
      <c r="T454" s="12">
        <f>Tabela32[[#This Row],[Entregas]]-Tabela32[[#This Row],[Realizadas]]</f>
        <v>0</v>
      </c>
      <c r="U454" s="18">
        <f>Tabela32[[#This Row],[Realizadas]]/Tabela32[[#This Row],[Entregas]]</f>
        <v>1</v>
      </c>
      <c r="V454" s="19" t="str">
        <f>IF(Tabela32[[#This Row],[% Entrega]]&gt;=96%,"Atendeu a Meta","Não Atendeu a Meta")</f>
        <v>Atendeu a Meta</v>
      </c>
      <c r="W454" s="4" t="s">
        <v>39</v>
      </c>
      <c r="X454" s="4">
        <v>0</v>
      </c>
      <c r="Y454" s="5">
        <v>38.380000000000003</v>
      </c>
    </row>
    <row r="455" spans="1:25" x14ac:dyDescent="0.25">
      <c r="A455" s="8">
        <v>46296</v>
      </c>
      <c r="B455" s="16">
        <f>YEAR(Tabela32[[#This Row],[Data]])</f>
        <v>2026</v>
      </c>
      <c r="C455" s="16">
        <f>MONTH(Tabela32[[#This Row],[Data]])</f>
        <v>10</v>
      </c>
      <c r="D455" s="4" t="s">
        <v>23</v>
      </c>
      <c r="E455" s="4">
        <v>5</v>
      </c>
      <c r="F455" s="4" t="str">
        <f>IFERROR(VLOOKUP(Tabela32[[#This Row],[Placa]],Planilha2!$A$1:$B$12,2,0),"")</f>
        <v>William</v>
      </c>
      <c r="G455" s="10">
        <v>6042.12</v>
      </c>
      <c r="H455" s="10">
        <v>127329.96</v>
      </c>
      <c r="I455" s="4">
        <v>2951</v>
      </c>
      <c r="J455" s="17">
        <f>IFERROR(Tabela32[[#This Row],[Valor Frete]]/Tabela32[[#This Row],[Valor Mercadoria]],"")</f>
        <v>4.7452461306042977E-2</v>
      </c>
      <c r="K455" s="11">
        <v>0.5625</v>
      </c>
      <c r="L455" s="15">
        <v>0.76041666666666663</v>
      </c>
      <c r="M455" s="15">
        <f>Tabela32[[#This Row],[Hr Chegada]]-Tabela32[[#This Row],[Hr Saida]]</f>
        <v>0.19791666666666663</v>
      </c>
      <c r="N455" s="4">
        <v>126502</v>
      </c>
      <c r="O455" s="4">
        <v>126547</v>
      </c>
      <c r="P455" s="4">
        <f>Tabela32[[#This Row],[Km Chegada]]-Tabela32[[#This Row],[Km Saída]]</f>
        <v>45</v>
      </c>
      <c r="Q455" s="4">
        <v>618</v>
      </c>
      <c r="R455" s="4">
        <v>6</v>
      </c>
      <c r="S455" s="4">
        <v>6</v>
      </c>
      <c r="T455" s="12">
        <f>Tabela32[[#This Row],[Entregas]]-Tabela32[[#This Row],[Realizadas]]</f>
        <v>0</v>
      </c>
      <c r="U455" s="18">
        <f>Tabela32[[#This Row],[Realizadas]]/Tabela32[[#This Row],[Entregas]]</f>
        <v>1</v>
      </c>
      <c r="V455" s="19" t="str">
        <f>IF(Tabela32[[#This Row],[% Entrega]]&gt;=96%,"Atendeu a Meta","Não Atendeu a Meta")</f>
        <v>Atendeu a Meta</v>
      </c>
      <c r="W455" s="4" t="s">
        <v>39</v>
      </c>
      <c r="X455" s="4">
        <v>0</v>
      </c>
      <c r="Y455" s="5">
        <v>0</v>
      </c>
    </row>
    <row r="456" spans="1:25" x14ac:dyDescent="0.25">
      <c r="A456" s="8">
        <v>46297</v>
      </c>
      <c r="B456" s="16">
        <f>YEAR(Tabela32[[#This Row],[Data]])</f>
        <v>2026</v>
      </c>
      <c r="C456" s="16">
        <f>MONTH(Tabela32[[#This Row],[Data]])</f>
        <v>10</v>
      </c>
      <c r="D456" s="4" t="s">
        <v>29</v>
      </c>
      <c r="E456" s="4">
        <v>1</v>
      </c>
      <c r="F456" s="4" t="str">
        <f>IFERROR(VLOOKUP(Tabela32[[#This Row],[Placa]],Planilha2!$A$1:$B$12,2,0),"")</f>
        <v>Sandro</v>
      </c>
      <c r="G456" s="10">
        <v>7315.87</v>
      </c>
      <c r="H456" s="10">
        <v>97436.97</v>
      </c>
      <c r="I456" s="4">
        <v>1154</v>
      </c>
      <c r="J456" s="17">
        <f>IFERROR(Tabela32[[#This Row],[Valor Frete]]/Tabela32[[#This Row],[Valor Mercadoria]],"")</f>
        <v>7.5083102440480234E-2</v>
      </c>
      <c r="K456" s="11">
        <v>0.30555555555555558</v>
      </c>
      <c r="L456" s="15">
        <v>0.76041666666666663</v>
      </c>
      <c r="M456" s="15">
        <f>Tabela32[[#This Row],[Hr Chegada]]-Tabela32[[#This Row],[Hr Saida]]</f>
        <v>0.45486111111111105</v>
      </c>
      <c r="N456" s="4">
        <v>276503</v>
      </c>
      <c r="O456" s="4">
        <v>276565</v>
      </c>
      <c r="P456" s="4">
        <f>Tabela32[[#This Row],[Km Chegada]]-Tabela32[[#This Row],[Km Saída]]</f>
        <v>62</v>
      </c>
      <c r="Q456" s="4">
        <v>131</v>
      </c>
      <c r="R456" s="4">
        <v>20</v>
      </c>
      <c r="S456" s="4">
        <v>20</v>
      </c>
      <c r="T456" s="12">
        <f>Tabela32[[#This Row],[Entregas]]-Tabela32[[#This Row],[Realizadas]]</f>
        <v>0</v>
      </c>
      <c r="U456" s="18">
        <f>Tabela32[[#This Row],[Realizadas]]/Tabela32[[#This Row],[Entregas]]</f>
        <v>1</v>
      </c>
      <c r="V456" s="19" t="str">
        <f>IF(Tabela32[[#This Row],[% Entrega]]&gt;=96%,"Atendeu a Meta","Não Atendeu a Meta")</f>
        <v>Atendeu a Meta</v>
      </c>
      <c r="W456" s="4" t="s">
        <v>43</v>
      </c>
      <c r="X456" s="4">
        <v>0</v>
      </c>
      <c r="Y456" s="5" t="s">
        <v>82</v>
      </c>
    </row>
    <row r="457" spans="1:25" x14ac:dyDescent="0.25">
      <c r="A457" s="8">
        <v>46297</v>
      </c>
      <c r="B457" s="16">
        <f>YEAR(Tabela32[[#This Row],[Data]])</f>
        <v>2026</v>
      </c>
      <c r="C457" s="16">
        <f>MONTH(Tabela32[[#This Row],[Data]])</f>
        <v>10</v>
      </c>
      <c r="D457" s="4" t="s">
        <v>25</v>
      </c>
      <c r="E457" s="4">
        <v>1</v>
      </c>
      <c r="F457" s="4" t="str">
        <f>IFERROR(VLOOKUP(Tabela32[[#This Row],[Placa]],Planilha2!$A$1:$B$12,2,0),"")</f>
        <v>Gilberto</v>
      </c>
      <c r="G457" s="10">
        <v>21328.05</v>
      </c>
      <c r="H457" s="10">
        <v>83697.179999999993</v>
      </c>
      <c r="I457" s="4">
        <v>3675</v>
      </c>
      <c r="J457" s="17">
        <f>IFERROR(Tabela32[[#This Row],[Valor Frete]]/Tabela32[[#This Row],[Valor Mercadoria]],"")</f>
        <v>0.25482399765440128</v>
      </c>
      <c r="K457" s="11">
        <v>0.3125</v>
      </c>
      <c r="L457" s="15">
        <v>0.38194444444444442</v>
      </c>
      <c r="M457" s="15">
        <f>Tabela32[[#This Row],[Hr Chegada]]-Tabela32[[#This Row],[Hr Saida]]</f>
        <v>6.944444444444442E-2</v>
      </c>
      <c r="N457" s="4">
        <v>120652</v>
      </c>
      <c r="O457" s="4">
        <v>120660</v>
      </c>
      <c r="P457" s="4">
        <f>Tabela32[[#This Row],[Km Chegada]]-Tabela32[[#This Row],[Km Saída]]</f>
        <v>8</v>
      </c>
      <c r="Q457" s="4">
        <v>300</v>
      </c>
      <c r="R457" s="4">
        <v>1</v>
      </c>
      <c r="S457" s="4">
        <v>1</v>
      </c>
      <c r="T457" s="12">
        <f>Tabela32[[#This Row],[Entregas]]-Tabela32[[#This Row],[Realizadas]]</f>
        <v>0</v>
      </c>
      <c r="U457" s="18">
        <f>Tabela32[[#This Row],[Realizadas]]/Tabela32[[#This Row],[Entregas]]</f>
        <v>1</v>
      </c>
      <c r="V457" s="19" t="str">
        <f>IF(Tabela32[[#This Row],[% Entrega]]&gt;=96%,"Atendeu a Meta","Não Atendeu a Meta")</f>
        <v>Atendeu a Meta</v>
      </c>
      <c r="W457" s="4" t="s">
        <v>43</v>
      </c>
      <c r="X457" s="4">
        <v>0</v>
      </c>
      <c r="Y457" s="5">
        <v>0</v>
      </c>
    </row>
    <row r="458" spans="1:25" x14ac:dyDescent="0.25">
      <c r="A458" s="8">
        <v>46297</v>
      </c>
      <c r="B458" s="16">
        <f>YEAR(Tabela32[[#This Row],[Data]])</f>
        <v>2026</v>
      </c>
      <c r="C458" s="16">
        <f>MONTH(Tabela32[[#This Row],[Data]])</f>
        <v>10</v>
      </c>
      <c r="D458" s="4" t="s">
        <v>27</v>
      </c>
      <c r="E458" s="4">
        <v>1</v>
      </c>
      <c r="F458" s="4" t="str">
        <f>IFERROR(VLOOKUP(Tabela32[[#This Row],[Placa]],Planilha2!$A$1:$B$12,2,0),"")</f>
        <v>Rosinaldo</v>
      </c>
      <c r="G458" s="10">
        <v>530.82000000000005</v>
      </c>
      <c r="H458" s="10">
        <v>7594.2</v>
      </c>
      <c r="I458" s="4">
        <v>22</v>
      </c>
      <c r="J458" s="17">
        <f>IFERROR(Tabela32[[#This Row],[Valor Frete]]/Tabela32[[#This Row],[Valor Mercadoria]],"")</f>
        <v>6.9898080113771049E-2</v>
      </c>
      <c r="K458" s="11">
        <v>0.29166666666666669</v>
      </c>
      <c r="L458" s="15">
        <v>0.45833333333333331</v>
      </c>
      <c r="M458" s="15">
        <f>Tabela32[[#This Row],[Hr Chegada]]-Tabela32[[#This Row],[Hr Saida]]</f>
        <v>0.16666666666666663</v>
      </c>
      <c r="N458" s="4">
        <v>292124</v>
      </c>
      <c r="O458" s="4">
        <v>292183</v>
      </c>
      <c r="P458" s="4">
        <f>Tabela32[[#This Row],[Km Chegada]]-Tabela32[[#This Row],[Km Saída]]</f>
        <v>59</v>
      </c>
      <c r="Q458" s="4">
        <v>9</v>
      </c>
      <c r="R458" s="4">
        <v>1</v>
      </c>
      <c r="S458" s="4">
        <v>1</v>
      </c>
      <c r="T458" s="12">
        <f>Tabela32[[#This Row],[Entregas]]-Tabela32[[#This Row],[Realizadas]]</f>
        <v>0</v>
      </c>
      <c r="U458" s="18">
        <f>Tabela32[[#This Row],[Realizadas]]/Tabela32[[#This Row],[Entregas]]</f>
        <v>1</v>
      </c>
      <c r="V458" s="19" t="str">
        <f>IF(Tabela32[[#This Row],[% Entrega]]&gt;=96%,"Atendeu a Meta","Não Atendeu a Meta")</f>
        <v>Atendeu a Meta</v>
      </c>
      <c r="W458" s="4" t="s">
        <v>40</v>
      </c>
      <c r="X458" s="4">
        <v>0</v>
      </c>
      <c r="Y458" s="5">
        <v>0</v>
      </c>
    </row>
    <row r="459" spans="1:25" x14ac:dyDescent="0.25">
      <c r="A459" s="8">
        <v>46297</v>
      </c>
      <c r="B459" s="16">
        <f>YEAR(Tabela32[[#This Row],[Data]])</f>
        <v>2026</v>
      </c>
      <c r="C459" s="16">
        <f>MONTH(Tabela32[[#This Row],[Data]])</f>
        <v>10</v>
      </c>
      <c r="D459" s="4" t="s">
        <v>25</v>
      </c>
      <c r="E459" s="4">
        <v>5</v>
      </c>
      <c r="F459" s="4" t="str">
        <f>IFERROR(VLOOKUP(Tabela32[[#This Row],[Placa]],Planilha2!$A$1:$B$12,2,0),"")</f>
        <v>Gilberto</v>
      </c>
      <c r="G459" s="10">
        <v>9277.34</v>
      </c>
      <c r="H459" s="10">
        <v>146614.56</v>
      </c>
      <c r="I459" s="4">
        <v>2984</v>
      </c>
      <c r="J459" s="17">
        <f>IFERROR(Tabela32[[#This Row],[Valor Frete]]/Tabela32[[#This Row],[Valor Mercadoria]],"")</f>
        <v>6.3277071526866097E-2</v>
      </c>
      <c r="K459" s="11">
        <v>0.4375</v>
      </c>
      <c r="L459" s="15">
        <v>0.79861111111111116</v>
      </c>
      <c r="M459" s="15">
        <f>Tabela32[[#This Row],[Hr Chegada]]-Tabela32[[#This Row],[Hr Saida]]</f>
        <v>0.36111111111111116</v>
      </c>
      <c r="N459" s="4">
        <v>120660</v>
      </c>
      <c r="O459" s="4">
        <v>120714</v>
      </c>
      <c r="P459" s="4">
        <f>Tabela32[[#This Row],[Km Chegada]]-Tabela32[[#This Row],[Km Saída]]</f>
        <v>54</v>
      </c>
      <c r="Q459" s="4">
        <v>556</v>
      </c>
      <c r="R459" s="4">
        <v>4</v>
      </c>
      <c r="S459" s="4">
        <v>4</v>
      </c>
      <c r="T459" s="12">
        <f>Tabela32[[#This Row],[Entregas]]-Tabela32[[#This Row],[Realizadas]]</f>
        <v>0</v>
      </c>
      <c r="U459" s="18">
        <f>Tabela32[[#This Row],[Realizadas]]/Tabela32[[#This Row],[Entregas]]</f>
        <v>1</v>
      </c>
      <c r="V459" s="19" t="str">
        <f>IF(Tabela32[[#This Row],[% Entrega]]&gt;=96%,"Atendeu a Meta","Não Atendeu a Meta")</f>
        <v>Atendeu a Meta</v>
      </c>
      <c r="W459" s="4" t="s">
        <v>39</v>
      </c>
      <c r="X459" s="4">
        <v>0</v>
      </c>
      <c r="Y459" s="5">
        <v>0</v>
      </c>
    </row>
    <row r="460" spans="1:25" x14ac:dyDescent="0.25">
      <c r="A460" s="8">
        <v>46297</v>
      </c>
      <c r="B460" s="16">
        <f>YEAR(Tabela32[[#This Row],[Data]])</f>
        <v>2026</v>
      </c>
      <c r="C460" s="16">
        <f>MONTH(Tabela32[[#This Row],[Data]])</f>
        <v>10</v>
      </c>
      <c r="D460" s="4" t="s">
        <v>23</v>
      </c>
      <c r="E460" s="4">
        <v>2</v>
      </c>
      <c r="F460" s="4" t="str">
        <f>IFERROR(VLOOKUP(Tabela32[[#This Row],[Placa]],Planilha2!$A$1:$B$12,2,0),"")</f>
        <v>William</v>
      </c>
      <c r="G460" s="10">
        <v>9347.4699999999993</v>
      </c>
      <c r="H460" s="10">
        <v>214620.24</v>
      </c>
      <c r="I460" s="4">
        <v>1625</v>
      </c>
      <c r="J460" s="17">
        <f>IFERROR(Tabela32[[#This Row],[Valor Frete]]/Tabela32[[#This Row],[Valor Mercadoria]],"")</f>
        <v>4.355353437308615E-2</v>
      </c>
      <c r="K460" s="11">
        <v>0.27083333333333331</v>
      </c>
      <c r="L460" s="15">
        <v>0.77986111111111112</v>
      </c>
      <c r="M460" s="15">
        <f>Tabela32[[#This Row],[Hr Chegada]]-Tabela32[[#This Row],[Hr Saida]]</f>
        <v>0.50902777777777786</v>
      </c>
      <c r="N460" s="4">
        <v>126547</v>
      </c>
      <c r="O460" s="4">
        <v>126632</v>
      </c>
      <c r="P460" s="4">
        <f>Tabela32[[#This Row],[Km Chegada]]-Tabela32[[#This Row],[Km Saída]]</f>
        <v>85</v>
      </c>
      <c r="Q460" s="4">
        <v>340</v>
      </c>
      <c r="R460" s="4">
        <v>35</v>
      </c>
      <c r="S460" s="4">
        <v>34</v>
      </c>
      <c r="T460" s="12">
        <f>Tabela32[[#This Row],[Entregas]]-Tabela32[[#This Row],[Realizadas]]</f>
        <v>1</v>
      </c>
      <c r="U460" s="18">
        <f>Tabela32[[#This Row],[Realizadas]]/Tabela32[[#This Row],[Entregas]]</f>
        <v>0.97142857142857142</v>
      </c>
      <c r="V460" s="19" t="str">
        <f>IF(Tabela32[[#This Row],[% Entrega]]&gt;=96%,"Atendeu a Meta","Não Atendeu a Meta")</f>
        <v>Atendeu a Meta</v>
      </c>
      <c r="W460" s="4" t="s">
        <v>39</v>
      </c>
      <c r="X460" s="4">
        <v>1</v>
      </c>
      <c r="Y460" s="5">
        <v>13</v>
      </c>
    </row>
    <row r="461" spans="1:25" x14ac:dyDescent="0.25">
      <c r="A461" s="8">
        <v>46297</v>
      </c>
      <c r="B461" s="16">
        <f>YEAR(Tabela32[[#This Row],[Data]])</f>
        <v>2026</v>
      </c>
      <c r="C461" s="16">
        <f>MONTH(Tabela32[[#This Row],[Data]])</f>
        <v>10</v>
      </c>
      <c r="D461" s="4" t="s">
        <v>53</v>
      </c>
      <c r="E461" s="4">
        <v>5</v>
      </c>
      <c r="F461" s="4" t="str">
        <f>IFERROR(VLOOKUP(Tabela32[[#This Row],[Placa]],Planilha2!$A$1:$B$12,2,0),"")</f>
        <v>Arnaldo</v>
      </c>
      <c r="G461" s="10">
        <v>6435.47</v>
      </c>
      <c r="H461" s="10">
        <v>119341.57</v>
      </c>
      <c r="I461" s="4">
        <v>925</v>
      </c>
      <c r="J461" s="17">
        <f>IFERROR(Tabela32[[#This Row],[Valor Frete]]/Tabela32[[#This Row],[Valor Mercadoria]],"")</f>
        <v>5.3924797537019162E-2</v>
      </c>
      <c r="K461" s="11">
        <v>0.31597222222222221</v>
      </c>
      <c r="L461" s="15">
        <v>0.7680555555555556</v>
      </c>
      <c r="M461" s="15">
        <f>Tabela32[[#This Row],[Hr Chegada]]-Tabela32[[#This Row],[Hr Saida]]</f>
        <v>0.45208333333333339</v>
      </c>
      <c r="N461" s="4">
        <v>14441</v>
      </c>
      <c r="O461" s="4">
        <v>14507</v>
      </c>
      <c r="P461" s="4">
        <f>Tabela32[[#This Row],[Km Chegada]]-Tabela32[[#This Row],[Km Saída]]</f>
        <v>66</v>
      </c>
      <c r="Q461" s="4">
        <v>176</v>
      </c>
      <c r="R461" s="4">
        <v>24</v>
      </c>
      <c r="S461" s="4">
        <v>24</v>
      </c>
      <c r="T461" s="12">
        <f>Tabela32[[#This Row],[Entregas]]-Tabela32[[#This Row],[Realizadas]]</f>
        <v>0</v>
      </c>
      <c r="U461" s="18">
        <f>Tabela32[[#This Row],[Realizadas]]/Tabela32[[#This Row],[Entregas]]</f>
        <v>1</v>
      </c>
      <c r="V461" s="19" t="str">
        <f>IF(Tabela32[[#This Row],[% Entrega]]&gt;=96%,"Atendeu a Meta","Não Atendeu a Meta")</f>
        <v>Atendeu a Meta</v>
      </c>
      <c r="W461" s="4" t="s">
        <v>39</v>
      </c>
      <c r="X461" s="4">
        <v>2</v>
      </c>
      <c r="Y461" s="5" t="s">
        <v>93</v>
      </c>
    </row>
    <row r="462" spans="1:25" x14ac:dyDescent="0.25">
      <c r="A462" s="8">
        <v>46297</v>
      </c>
      <c r="B462" s="16">
        <f>YEAR(Tabela32[[#This Row],[Data]])</f>
        <v>2026</v>
      </c>
      <c r="C462" s="16">
        <f>MONTH(Tabela32[[#This Row],[Data]])</f>
        <v>10</v>
      </c>
      <c r="D462" s="4" t="s">
        <v>33</v>
      </c>
      <c r="E462" s="4">
        <v>1</v>
      </c>
      <c r="F462" s="4" t="str">
        <f>IFERROR(VLOOKUP(Tabela32[[#This Row],[Placa]],Planilha2!$A$1:$B$12,2,0),"")</f>
        <v>Paulo</v>
      </c>
      <c r="G462" s="10">
        <v>1407.66</v>
      </c>
      <c r="H462" s="10">
        <v>10652.29</v>
      </c>
      <c r="I462" s="4">
        <v>37</v>
      </c>
      <c r="J462" s="17">
        <f>IFERROR(Tabela32[[#This Row],[Valor Frete]]/Tabela32[[#This Row],[Valor Mercadoria]],"")</f>
        <v>0.13214623334513048</v>
      </c>
      <c r="K462" s="11">
        <v>0.2951388888888889</v>
      </c>
      <c r="L462" s="15">
        <v>0.62916666666666665</v>
      </c>
      <c r="M462" s="15">
        <f>Tabela32[[#This Row],[Hr Chegada]]-Tabela32[[#This Row],[Hr Saida]]</f>
        <v>0.33402777777777776</v>
      </c>
      <c r="N462" s="4">
        <v>156572</v>
      </c>
      <c r="O462" s="4">
        <v>156632</v>
      </c>
      <c r="P462" s="4">
        <f>Tabela32[[#This Row],[Km Chegada]]-Tabela32[[#This Row],[Km Saída]]</f>
        <v>60</v>
      </c>
      <c r="Q462" s="4">
        <v>11</v>
      </c>
      <c r="R462" s="4">
        <v>2</v>
      </c>
      <c r="S462" s="4">
        <v>2</v>
      </c>
      <c r="T462" s="12">
        <f>Tabela32[[#This Row],[Entregas]]-Tabela32[[#This Row],[Realizadas]]</f>
        <v>0</v>
      </c>
      <c r="U462" s="18">
        <f>Tabela32[[#This Row],[Realizadas]]/Tabela32[[#This Row],[Entregas]]</f>
        <v>1</v>
      </c>
      <c r="V462" s="19" t="str">
        <f>IF(Tabela32[[#This Row],[% Entrega]]&gt;=96%,"Atendeu a Meta","Não Atendeu a Meta")</f>
        <v>Atendeu a Meta</v>
      </c>
      <c r="W462" s="4" t="s">
        <v>40</v>
      </c>
      <c r="X462" s="4">
        <v>0</v>
      </c>
      <c r="Y462" s="5">
        <v>0</v>
      </c>
    </row>
    <row r="463" spans="1:25" x14ac:dyDescent="0.25">
      <c r="A463" s="8">
        <v>46297</v>
      </c>
      <c r="B463" s="16">
        <f>YEAR(Tabela32[[#This Row],[Data]])</f>
        <v>2026</v>
      </c>
      <c r="C463" s="16">
        <f>MONTH(Tabela32[[#This Row],[Data]])</f>
        <v>10</v>
      </c>
      <c r="D463" s="4" t="s">
        <v>22</v>
      </c>
      <c r="E463" s="4">
        <v>3</v>
      </c>
      <c r="F463" s="4" t="str">
        <f>IFERROR(VLOOKUP(Tabela32[[#This Row],[Placa]],Planilha2!$A$1:$B$12,2,0),"")</f>
        <v>Wesley</v>
      </c>
      <c r="G463" s="10">
        <v>4722.1000000000004</v>
      </c>
      <c r="H463" s="10">
        <v>77528.509999999995</v>
      </c>
      <c r="I463" s="4">
        <v>537</v>
      </c>
      <c r="J463" s="17">
        <f>IFERROR(Tabela32[[#This Row],[Valor Frete]]/Tabela32[[#This Row],[Valor Mercadoria]],"")</f>
        <v>6.0907916326522989E-2</v>
      </c>
      <c r="K463" s="11">
        <v>0.3125</v>
      </c>
      <c r="L463" s="15">
        <v>0.7319444444444444</v>
      </c>
      <c r="M463" s="15">
        <f>Tabela32[[#This Row],[Hr Chegada]]-Tabela32[[#This Row],[Hr Saida]]</f>
        <v>0.4194444444444444</v>
      </c>
      <c r="N463" s="4">
        <v>305801</v>
      </c>
      <c r="O463" s="4">
        <v>305858</v>
      </c>
      <c r="P463" s="4">
        <f>Tabela32[[#This Row],[Km Chegada]]-Tabela32[[#This Row],[Km Saída]]</f>
        <v>57</v>
      </c>
      <c r="Q463" s="4">
        <v>92</v>
      </c>
      <c r="R463" s="4">
        <v>17</v>
      </c>
      <c r="S463" s="4">
        <v>17</v>
      </c>
      <c r="T463" s="12">
        <f>Tabela32[[#This Row],[Entregas]]-Tabela32[[#This Row],[Realizadas]]</f>
        <v>0</v>
      </c>
      <c r="U463" s="18">
        <f>Tabela32[[#This Row],[Realizadas]]/Tabela32[[#This Row],[Entregas]]</f>
        <v>1</v>
      </c>
      <c r="V463" s="19" t="str">
        <f>IF(Tabela32[[#This Row],[% Entrega]]&gt;=96%,"Atendeu a Meta","Não Atendeu a Meta")</f>
        <v>Atendeu a Meta</v>
      </c>
      <c r="W463" s="4" t="s">
        <v>39</v>
      </c>
      <c r="X463" s="4">
        <v>0</v>
      </c>
      <c r="Y463" s="5">
        <v>0</v>
      </c>
    </row>
    <row r="464" spans="1:25" x14ac:dyDescent="0.25">
      <c r="A464" s="8">
        <v>46297</v>
      </c>
      <c r="B464" s="16">
        <f>YEAR(Tabela32[[#This Row],[Data]])</f>
        <v>2026</v>
      </c>
      <c r="C464" s="16">
        <f>MONTH(Tabela32[[#This Row],[Data]])</f>
        <v>10</v>
      </c>
      <c r="D464" s="4" t="s">
        <v>35</v>
      </c>
      <c r="E464" s="4">
        <v>1</v>
      </c>
      <c r="F464" s="4" t="str">
        <f>IFERROR(VLOOKUP(Tabela32[[#This Row],[Placa]],Planilha2!$A$1:$B$12,2,0),"")</f>
        <v>Osvaldo</v>
      </c>
      <c r="G464" s="10">
        <v>8358.85</v>
      </c>
      <c r="H464" s="10">
        <v>139999.38</v>
      </c>
      <c r="I464" s="4">
        <v>1219</v>
      </c>
      <c r="J464" s="17">
        <f>IFERROR(Tabela32[[#This Row],[Valor Frete]]/Tabela32[[#This Row],[Valor Mercadoria]],"")</f>
        <v>5.9706335842344443E-2</v>
      </c>
      <c r="K464" s="11">
        <v>0.3125</v>
      </c>
      <c r="L464" s="15">
        <v>0.72222222222222221</v>
      </c>
      <c r="M464" s="15">
        <f>Tabela32[[#This Row],[Hr Chegada]]-Tabela32[[#This Row],[Hr Saida]]</f>
        <v>0.40972222222222221</v>
      </c>
      <c r="N464" s="4">
        <v>144077</v>
      </c>
      <c r="O464" s="4">
        <v>144128</v>
      </c>
      <c r="P464" s="4">
        <f>Tabela32[[#This Row],[Km Chegada]]-Tabela32[[#This Row],[Km Saída]]</f>
        <v>51</v>
      </c>
      <c r="Q464" s="4">
        <v>142</v>
      </c>
      <c r="R464" s="4">
        <v>17</v>
      </c>
      <c r="S464" s="4">
        <v>17</v>
      </c>
      <c r="T464" s="12">
        <f>Tabela32[[#This Row],[Entregas]]-Tabela32[[#This Row],[Realizadas]]</f>
        <v>0</v>
      </c>
      <c r="U464" s="18">
        <f>Tabela32[[#This Row],[Realizadas]]/Tabela32[[#This Row],[Entregas]]</f>
        <v>1</v>
      </c>
      <c r="V464" s="19" t="str">
        <f>IF(Tabela32[[#This Row],[% Entrega]]&gt;=96%,"Atendeu a Meta","Não Atendeu a Meta")</f>
        <v>Atendeu a Meta</v>
      </c>
      <c r="W464" s="4" t="s">
        <v>43</v>
      </c>
      <c r="X464" s="4">
        <v>0</v>
      </c>
      <c r="Y464" s="5">
        <v>38.380000000000003</v>
      </c>
    </row>
    <row r="465" spans="1:25" x14ac:dyDescent="0.25">
      <c r="A465" s="8">
        <v>46297</v>
      </c>
      <c r="B465" s="16">
        <f>YEAR(Tabela32[[#This Row],[Data]])</f>
        <v>2026</v>
      </c>
      <c r="C465" s="16">
        <f>MONTH(Tabela32[[#This Row],[Data]])</f>
        <v>10</v>
      </c>
      <c r="D465" s="4" t="s">
        <v>31</v>
      </c>
      <c r="E465" s="4">
        <v>11</v>
      </c>
      <c r="F465" s="4" t="str">
        <f>IFERROR(VLOOKUP(Tabela32[[#This Row],[Placa]],Planilha2!$A$1:$B$12,2,0),"")</f>
        <v>Jerson</v>
      </c>
      <c r="G465" s="10">
        <v>9147.68</v>
      </c>
      <c r="H465" s="10">
        <v>147663.99</v>
      </c>
      <c r="I465" s="4">
        <v>1098</v>
      </c>
      <c r="J465" s="17">
        <f>IFERROR(Tabela32[[#This Row],[Valor Frete]]/Tabela32[[#This Row],[Valor Mercadoria]],"")</f>
        <v>6.1949294475924704E-2</v>
      </c>
      <c r="K465" s="11">
        <v>0.27083333333333331</v>
      </c>
      <c r="L465" s="15">
        <v>0.75694444444444442</v>
      </c>
      <c r="M465" s="15">
        <f>Tabela32[[#This Row],[Hr Chegada]]-Tabela32[[#This Row],[Hr Saida]]</f>
        <v>0.4861111111111111</v>
      </c>
      <c r="N465" s="4">
        <v>281617</v>
      </c>
      <c r="O465" s="4">
        <v>281735</v>
      </c>
      <c r="P465" s="4">
        <f>Tabela32[[#This Row],[Km Chegada]]-Tabela32[[#This Row],[Km Saída]]</f>
        <v>118</v>
      </c>
      <c r="Q465" s="4">
        <v>178</v>
      </c>
      <c r="R465" s="4">
        <v>31</v>
      </c>
      <c r="S465" s="4">
        <v>31</v>
      </c>
      <c r="T465" s="12">
        <f>Tabela32[[#This Row],[Entregas]]-Tabela32[[#This Row],[Realizadas]]</f>
        <v>0</v>
      </c>
      <c r="U465" s="18">
        <f>Tabela32[[#This Row],[Realizadas]]/Tabela32[[#This Row],[Entregas]]</f>
        <v>1</v>
      </c>
      <c r="V465" s="19" t="str">
        <f>IF(Tabela32[[#This Row],[% Entrega]]&gt;=96%,"Atendeu a Meta","Não Atendeu a Meta")</f>
        <v>Atendeu a Meta</v>
      </c>
      <c r="W465" s="4" t="s">
        <v>41</v>
      </c>
      <c r="X465" s="4">
        <v>0</v>
      </c>
      <c r="Y465" s="5">
        <v>0</v>
      </c>
    </row>
    <row r="466" spans="1:25" x14ac:dyDescent="0.25">
      <c r="A466" s="8">
        <v>46297</v>
      </c>
      <c r="B466" s="16">
        <f>YEAR(Tabela32[[#This Row],[Data]])</f>
        <v>2026</v>
      </c>
      <c r="C466" s="16">
        <f>MONTH(Tabela32[[#This Row],[Data]])</f>
        <v>10</v>
      </c>
      <c r="D466" s="4" t="s">
        <v>28</v>
      </c>
      <c r="E466" s="4">
        <v>5</v>
      </c>
      <c r="F466" s="4" t="str">
        <f>IFERROR(VLOOKUP(Tabela32[[#This Row],[Placa]],Planilha2!$A$1:$B$12,2,0),"")</f>
        <v>Edilson</v>
      </c>
      <c r="G466" s="10">
        <v>14684.14</v>
      </c>
      <c r="H466" s="10">
        <v>277099.78000000003</v>
      </c>
      <c r="I466" s="4">
        <v>2217</v>
      </c>
      <c r="J466" s="17">
        <f>IFERROR(Tabela32[[#This Row],[Valor Frete]]/Tabela32[[#This Row],[Valor Mercadoria]],"")</f>
        <v>5.2992247052668168E-2</v>
      </c>
      <c r="K466" s="11">
        <v>0.27083333333333331</v>
      </c>
      <c r="L466" s="15">
        <v>0.75</v>
      </c>
      <c r="M466" s="15">
        <f>Tabela32[[#This Row],[Hr Chegada]]-Tabela32[[#This Row],[Hr Saida]]</f>
        <v>0.47916666666666669</v>
      </c>
      <c r="N466" s="4">
        <v>106643</v>
      </c>
      <c r="O466" s="4">
        <v>106674</v>
      </c>
      <c r="P466" s="4">
        <f>Tabela32[[#This Row],[Km Chegada]]-Tabela32[[#This Row],[Km Saída]]</f>
        <v>31</v>
      </c>
      <c r="Q466" s="4">
        <v>343</v>
      </c>
      <c r="R466" s="4">
        <v>8</v>
      </c>
      <c r="S466" s="4">
        <v>8</v>
      </c>
      <c r="T466" s="12">
        <f>Tabela32[[#This Row],[Entregas]]-Tabela32[[#This Row],[Realizadas]]</f>
        <v>0</v>
      </c>
      <c r="U466" s="18">
        <f>Tabela32[[#This Row],[Realizadas]]/Tabela32[[#This Row],[Entregas]]</f>
        <v>1</v>
      </c>
      <c r="V466" s="19" t="str">
        <f>IF(Tabela32[[#This Row],[% Entrega]]&gt;=96%,"Atendeu a Meta","Não Atendeu a Meta")</f>
        <v>Atendeu a Meta</v>
      </c>
      <c r="W466" s="4" t="s">
        <v>39</v>
      </c>
      <c r="X466" s="4">
        <v>0</v>
      </c>
      <c r="Y466" s="5">
        <v>0</v>
      </c>
    </row>
    <row r="467" spans="1:25" x14ac:dyDescent="0.25">
      <c r="A467" s="8">
        <v>46300</v>
      </c>
      <c r="B467" s="16">
        <f>YEAR(Tabela32[[#This Row],[Data]])</f>
        <v>2026</v>
      </c>
      <c r="C467" s="16">
        <f>MONTH(Tabela32[[#This Row],[Data]])</f>
        <v>10</v>
      </c>
      <c r="D467" s="4" t="s">
        <v>27</v>
      </c>
      <c r="E467" s="4">
        <v>1</v>
      </c>
      <c r="F467" s="4" t="str">
        <f>IFERROR(VLOOKUP(Tabela32[[#This Row],[Placa]],Planilha2!$A$1:$B$12,2,0),"")</f>
        <v>Rosinaldo</v>
      </c>
      <c r="G467" s="10">
        <v>2662.58</v>
      </c>
      <c r="H467" s="10">
        <v>66312.78</v>
      </c>
      <c r="I467" s="4">
        <v>527</v>
      </c>
      <c r="J467" s="17">
        <f>IFERROR(Tabela32[[#This Row],[Valor Frete]]/Tabela32[[#This Row],[Valor Mercadoria]],"")</f>
        <v>4.0151838001664233E-2</v>
      </c>
      <c r="K467" s="11">
        <v>0.29166666666666669</v>
      </c>
      <c r="L467" s="15">
        <v>0.4826388888888889</v>
      </c>
      <c r="M467" s="15">
        <f>Tabela32[[#This Row],[Hr Chegada]]-Tabela32[[#This Row],[Hr Saida]]</f>
        <v>0.19097222222222221</v>
      </c>
      <c r="N467" s="4">
        <v>292172</v>
      </c>
      <c r="O467" s="4">
        <v>292204</v>
      </c>
      <c r="P467" s="4">
        <f>Tabela32[[#This Row],[Km Chegada]]-Tabela32[[#This Row],[Km Saída]]</f>
        <v>32</v>
      </c>
      <c r="Q467" s="4">
        <v>71</v>
      </c>
      <c r="R467" s="4">
        <v>2</v>
      </c>
      <c r="S467" s="4">
        <v>2</v>
      </c>
      <c r="T467" s="12">
        <f>Tabela32[[#This Row],[Entregas]]-Tabela32[[#This Row],[Realizadas]]</f>
        <v>0</v>
      </c>
      <c r="U467" s="18">
        <f>Tabela32[[#This Row],[Realizadas]]/Tabela32[[#This Row],[Entregas]]</f>
        <v>1</v>
      </c>
      <c r="V467" s="19" t="str">
        <f>IF(Tabela32[[#This Row],[% Entrega]]&gt;=96%,"Atendeu a Meta","Não Atendeu a Meta")</f>
        <v>Atendeu a Meta</v>
      </c>
      <c r="W467" s="4" t="s">
        <v>40</v>
      </c>
      <c r="X467" s="4">
        <v>0</v>
      </c>
      <c r="Y467" s="5">
        <v>0</v>
      </c>
    </row>
    <row r="468" spans="1:25" x14ac:dyDescent="0.25">
      <c r="A468" s="8">
        <v>46300</v>
      </c>
      <c r="B468" s="16">
        <f>YEAR(Tabela32[[#This Row],[Data]])</f>
        <v>2026</v>
      </c>
      <c r="C468" s="16">
        <f>MONTH(Tabela32[[#This Row],[Data]])</f>
        <v>10</v>
      </c>
      <c r="D468" s="4" t="s">
        <v>36</v>
      </c>
      <c r="E468" s="4">
        <v>5</v>
      </c>
      <c r="F468" s="4" t="str">
        <f>IFERROR(VLOOKUP(Tabela32[[#This Row],[Placa]],Planilha2!$A$1:$B$12,2,0),"")</f>
        <v>Heremilton</v>
      </c>
      <c r="G468" s="10">
        <v>63334.46</v>
      </c>
      <c r="H468" s="10">
        <v>996731.26</v>
      </c>
      <c r="I468" s="4">
        <v>10926</v>
      </c>
      <c r="J468" s="17">
        <f>IFERROR(Tabela32[[#This Row],[Valor Frete]]/Tabela32[[#This Row],[Valor Mercadoria]],"")</f>
        <v>6.3542162809261143E-2</v>
      </c>
      <c r="K468" s="11">
        <v>0.27777777777777779</v>
      </c>
      <c r="L468" s="15">
        <v>0.81041666666666667</v>
      </c>
      <c r="M468" s="15">
        <f>Tabela32[[#This Row],[Hr Chegada]]-Tabela32[[#This Row],[Hr Saida]]</f>
        <v>0.53263888888888888</v>
      </c>
      <c r="N468" s="4">
        <v>367835</v>
      </c>
      <c r="O468" s="4">
        <v>367889</v>
      </c>
      <c r="P468" s="4">
        <f>Tabela32[[#This Row],[Km Chegada]]-Tabela32[[#This Row],[Km Saída]]</f>
        <v>54</v>
      </c>
      <c r="Q468" s="4">
        <v>1202</v>
      </c>
      <c r="R468" s="4">
        <v>33</v>
      </c>
      <c r="S468" s="4">
        <v>33</v>
      </c>
      <c r="T468" s="12">
        <f>Tabela32[[#This Row],[Entregas]]-Tabela32[[#This Row],[Realizadas]]</f>
        <v>0</v>
      </c>
      <c r="U468" s="18">
        <f>Tabela32[[#This Row],[Realizadas]]/Tabela32[[#This Row],[Entregas]]</f>
        <v>1</v>
      </c>
      <c r="V468" s="19" t="str">
        <f>IF(Tabela32[[#This Row],[% Entrega]]&gt;=96%,"Atendeu a Meta","Não Atendeu a Meta")</f>
        <v>Atendeu a Meta</v>
      </c>
      <c r="W468" s="4" t="s">
        <v>39</v>
      </c>
      <c r="X468" s="4">
        <v>0</v>
      </c>
      <c r="Y468" s="5">
        <v>0</v>
      </c>
    </row>
    <row r="469" spans="1:25" x14ac:dyDescent="0.25">
      <c r="A469" s="8">
        <v>46300</v>
      </c>
      <c r="B469" s="16">
        <f>YEAR(Tabela32[[#This Row],[Data]])</f>
        <v>2026</v>
      </c>
      <c r="C469" s="16">
        <f>MONTH(Tabela32[[#This Row],[Data]])</f>
        <v>10</v>
      </c>
      <c r="D469" s="4" t="s">
        <v>23</v>
      </c>
      <c r="E469" s="4">
        <v>3</v>
      </c>
      <c r="F469" s="4" t="str">
        <f>IFERROR(VLOOKUP(Tabela32[[#This Row],[Placa]],Planilha2!$A$1:$B$12,2,0),"")</f>
        <v>William</v>
      </c>
      <c r="G469" s="10">
        <v>10856.39</v>
      </c>
      <c r="H469" s="10">
        <v>151158.64000000001</v>
      </c>
      <c r="I469" s="4">
        <v>1531</v>
      </c>
      <c r="J469" s="17">
        <f>IFERROR(Tabela32[[#This Row],[Valor Frete]]/Tabela32[[#This Row],[Valor Mercadoria]],"")</f>
        <v>7.1821167483380369E-2</v>
      </c>
      <c r="K469" s="11">
        <v>0.29166666666666669</v>
      </c>
      <c r="L469" s="15">
        <v>0.70833333333333337</v>
      </c>
      <c r="M469" s="15">
        <f>Tabela32[[#This Row],[Hr Chegada]]-Tabela32[[#This Row],[Hr Saida]]</f>
        <v>0.41666666666666669</v>
      </c>
      <c r="N469" s="4">
        <v>126632</v>
      </c>
      <c r="O469" s="4">
        <v>126676</v>
      </c>
      <c r="P469" s="4">
        <f>Tabela32[[#This Row],[Km Chegada]]-Tabela32[[#This Row],[Km Saída]]</f>
        <v>44</v>
      </c>
      <c r="Q469" s="4">
        <v>312</v>
      </c>
      <c r="R469" s="4">
        <v>22</v>
      </c>
      <c r="S469" s="4">
        <v>22</v>
      </c>
      <c r="T469" s="12">
        <f>Tabela32[[#This Row],[Entregas]]-Tabela32[[#This Row],[Realizadas]]</f>
        <v>0</v>
      </c>
      <c r="U469" s="18">
        <f>Tabela32[[#This Row],[Realizadas]]/Tabela32[[#This Row],[Entregas]]</f>
        <v>1</v>
      </c>
      <c r="V469" s="19" t="str">
        <f>IF(Tabela32[[#This Row],[% Entrega]]&gt;=96%,"Atendeu a Meta","Não Atendeu a Meta")</f>
        <v>Atendeu a Meta</v>
      </c>
      <c r="W469" s="4" t="s">
        <v>39</v>
      </c>
      <c r="X469" s="4">
        <v>0</v>
      </c>
      <c r="Y469" s="5">
        <v>0</v>
      </c>
    </row>
    <row r="470" spans="1:25" x14ac:dyDescent="0.25">
      <c r="A470" s="8">
        <v>46300</v>
      </c>
      <c r="B470" s="16">
        <f>YEAR(Tabela32[[#This Row],[Data]])</f>
        <v>2026</v>
      </c>
      <c r="C470" s="16">
        <f>MONTH(Tabela32[[#This Row],[Data]])</f>
        <v>10</v>
      </c>
      <c r="D470" s="4" t="s">
        <v>33</v>
      </c>
      <c r="E470" s="4">
        <v>1</v>
      </c>
      <c r="F470" s="4" t="str">
        <f>IFERROR(VLOOKUP(Tabela32[[#This Row],[Placa]],Planilha2!$A$1:$B$12,2,0),"")</f>
        <v>Paulo</v>
      </c>
      <c r="G470" s="10">
        <v>1275.44</v>
      </c>
      <c r="H470" s="10">
        <v>15864.18</v>
      </c>
      <c r="I470" s="4">
        <v>137</v>
      </c>
      <c r="J470" s="17">
        <f>IFERROR(Tabela32[[#This Row],[Valor Frete]]/Tabela32[[#This Row],[Valor Mercadoria]],"")</f>
        <v>8.0397474057909077E-2</v>
      </c>
      <c r="K470" s="11">
        <v>0.3125</v>
      </c>
      <c r="L470" s="15">
        <v>0.6479166666666667</v>
      </c>
      <c r="M470" s="15">
        <f>Tabela32[[#This Row],[Hr Chegada]]-Tabela32[[#This Row],[Hr Saida]]</f>
        <v>0.3354166666666667</v>
      </c>
      <c r="N470" s="4">
        <v>156661</v>
      </c>
      <c r="O470" s="4">
        <v>156691</v>
      </c>
      <c r="P470" s="4">
        <f>Tabela32[[#This Row],[Km Chegada]]-Tabela32[[#This Row],[Km Saída]]</f>
        <v>30</v>
      </c>
      <c r="Q470" s="4">
        <v>76</v>
      </c>
      <c r="R470" s="4">
        <v>2</v>
      </c>
      <c r="S470" s="4">
        <v>2</v>
      </c>
      <c r="T470" s="12">
        <f>Tabela32[[#This Row],[Entregas]]-Tabela32[[#This Row],[Realizadas]]</f>
        <v>0</v>
      </c>
      <c r="U470" s="18">
        <f>Tabela32[[#This Row],[Realizadas]]/Tabela32[[#This Row],[Entregas]]</f>
        <v>1</v>
      </c>
      <c r="V470" s="19" t="str">
        <f>IF(Tabela32[[#This Row],[% Entrega]]&gt;=96%,"Atendeu a Meta","Não Atendeu a Meta")</f>
        <v>Atendeu a Meta</v>
      </c>
      <c r="W470" s="4" t="s">
        <v>43</v>
      </c>
      <c r="X470" s="4">
        <v>0</v>
      </c>
      <c r="Y470" s="5">
        <v>0</v>
      </c>
    </row>
    <row r="471" spans="1:25" x14ac:dyDescent="0.25">
      <c r="A471" s="8">
        <v>46300</v>
      </c>
      <c r="B471" s="16">
        <f>YEAR(Tabela32[[#This Row],[Data]])</f>
        <v>2026</v>
      </c>
      <c r="C471" s="16">
        <f>MONTH(Tabela32[[#This Row],[Data]])</f>
        <v>10</v>
      </c>
      <c r="D471" s="4" t="s">
        <v>31</v>
      </c>
      <c r="E471" s="4">
        <v>2</v>
      </c>
      <c r="F471" s="4" t="str">
        <f>IFERROR(VLOOKUP(Tabela32[[#This Row],[Placa]],Planilha2!$A$1:$B$12,2,0),"")</f>
        <v>Jerson</v>
      </c>
      <c r="G471" s="10">
        <v>12657.88</v>
      </c>
      <c r="H471" s="10">
        <v>263127.61</v>
      </c>
      <c r="I471" s="4">
        <v>245</v>
      </c>
      <c r="J471" s="17">
        <f>IFERROR(Tabela32[[#This Row],[Valor Frete]]/Tabela32[[#This Row],[Valor Mercadoria]],"")</f>
        <v>4.8105480074857973E-2</v>
      </c>
      <c r="K471" s="11">
        <v>0.27430555555555558</v>
      </c>
      <c r="L471" s="15">
        <v>0.79236111111111107</v>
      </c>
      <c r="M471" s="15">
        <f>Tabela32[[#This Row],[Hr Chegada]]-Tabela32[[#This Row],[Hr Saida]]</f>
        <v>0.51805555555555549</v>
      </c>
      <c r="N471" s="4">
        <v>281766</v>
      </c>
      <c r="O471" s="4">
        <v>281825</v>
      </c>
      <c r="P471" s="4">
        <f>Tabela32[[#This Row],[Km Chegada]]-Tabela32[[#This Row],[Km Saída]]</f>
        <v>59</v>
      </c>
      <c r="Q471" s="4">
        <v>245</v>
      </c>
      <c r="R471" s="4">
        <v>48</v>
      </c>
      <c r="S471" s="4">
        <v>47</v>
      </c>
      <c r="T471" s="12">
        <f>Tabela32[[#This Row],[Entregas]]-Tabela32[[#This Row],[Realizadas]]</f>
        <v>1</v>
      </c>
      <c r="U471" s="18">
        <f>Tabela32[[#This Row],[Realizadas]]/Tabela32[[#This Row],[Entregas]]</f>
        <v>0.97916666666666663</v>
      </c>
      <c r="V471" s="19" t="str">
        <f>IF(Tabela32[[#This Row],[% Entrega]]&gt;=96%,"Atendeu a Meta","Não Atendeu a Meta")</f>
        <v>Atendeu a Meta</v>
      </c>
      <c r="W471" s="4" t="s">
        <v>39</v>
      </c>
      <c r="X471" s="4">
        <v>5</v>
      </c>
      <c r="Y471" s="5" t="s">
        <v>94</v>
      </c>
    </row>
    <row r="472" spans="1:25" x14ac:dyDescent="0.25">
      <c r="A472" s="8">
        <v>46300</v>
      </c>
      <c r="B472" s="16">
        <f>YEAR(Tabela32[[#This Row],[Data]])</f>
        <v>2026</v>
      </c>
      <c r="C472" s="16">
        <f>MONTH(Tabela32[[#This Row],[Data]])</f>
        <v>10</v>
      </c>
      <c r="D472" s="4" t="s">
        <v>28</v>
      </c>
      <c r="E472" s="4">
        <v>1</v>
      </c>
      <c r="F472" s="4" t="str">
        <f>IFERROR(VLOOKUP(Tabela32[[#This Row],[Placa]],Planilha2!$A$1:$B$12,2,0),"")</f>
        <v>Edilson</v>
      </c>
      <c r="G472" s="10">
        <v>10169.49</v>
      </c>
      <c r="H472" s="10">
        <v>123211.28</v>
      </c>
      <c r="I472" s="4">
        <v>3496</v>
      </c>
      <c r="J472" s="17">
        <f>IFERROR(Tabela32[[#This Row],[Valor Frete]]/Tabela32[[#This Row],[Valor Mercadoria]],"")</f>
        <v>8.2537004728787819E-2</v>
      </c>
      <c r="K472" s="11">
        <v>0.27083333333333331</v>
      </c>
      <c r="L472" s="15">
        <v>0.44722222222222224</v>
      </c>
      <c r="M472" s="15">
        <f>Tabela32[[#This Row],[Hr Chegada]]-Tabela32[[#This Row],[Hr Saida]]</f>
        <v>0.17638888888888893</v>
      </c>
      <c r="N472" s="4">
        <v>106677</v>
      </c>
      <c r="O472" s="4">
        <v>106699</v>
      </c>
      <c r="P472" s="4">
        <f>Tabela32[[#This Row],[Km Chegada]]-Tabela32[[#This Row],[Km Saída]]</f>
        <v>22</v>
      </c>
      <c r="Q472" s="4">
        <v>307</v>
      </c>
      <c r="R472" s="4">
        <v>2</v>
      </c>
      <c r="S472" s="4">
        <v>2</v>
      </c>
      <c r="T472" s="12">
        <f>Tabela32[[#This Row],[Entregas]]-Tabela32[[#This Row],[Realizadas]]</f>
        <v>0</v>
      </c>
      <c r="U472" s="18">
        <f>Tabela32[[#This Row],[Realizadas]]/Tabela32[[#This Row],[Entregas]]</f>
        <v>1</v>
      </c>
      <c r="V472" s="19" t="str">
        <f>IF(Tabela32[[#This Row],[% Entrega]]&gt;=96%,"Atendeu a Meta","Não Atendeu a Meta")</f>
        <v>Atendeu a Meta</v>
      </c>
      <c r="W472" s="4" t="s">
        <v>43</v>
      </c>
      <c r="X472" s="4">
        <v>0</v>
      </c>
      <c r="Y472" s="5">
        <v>0</v>
      </c>
    </row>
    <row r="473" spans="1:25" x14ac:dyDescent="0.25">
      <c r="A473" s="8">
        <v>46300</v>
      </c>
      <c r="B473" s="16">
        <f>YEAR(Tabela32[[#This Row],[Data]])</f>
        <v>2026</v>
      </c>
      <c r="C473" s="16">
        <f>MONTH(Tabela32[[#This Row],[Data]])</f>
        <v>10</v>
      </c>
      <c r="D473" s="4" t="s">
        <v>53</v>
      </c>
      <c r="E473" s="4">
        <v>1</v>
      </c>
      <c r="F473" s="4" t="str">
        <f>IFERROR(VLOOKUP(Tabela32[[#This Row],[Placa]],Planilha2!$A$1:$B$12,2,0),"")</f>
        <v>Arnaldo</v>
      </c>
      <c r="G473" s="10">
        <v>9033.7900000000009</v>
      </c>
      <c r="H473" s="10">
        <v>153227.56</v>
      </c>
      <c r="I473" s="4">
        <v>1938</v>
      </c>
      <c r="J473" s="17">
        <f>IFERROR(Tabela32[[#This Row],[Valor Frete]]/Tabela32[[#This Row],[Valor Mercadoria]],"")</f>
        <v>5.8956691602998844E-2</v>
      </c>
      <c r="K473" s="11">
        <v>0.3263888888888889</v>
      </c>
      <c r="L473" s="15">
        <v>0.79166666666666663</v>
      </c>
      <c r="M473" s="15">
        <f>Tabela32[[#This Row],[Hr Chegada]]-Tabela32[[#This Row],[Hr Saida]]</f>
        <v>0.46527777777777773</v>
      </c>
      <c r="N473" s="4">
        <v>14508</v>
      </c>
      <c r="O473" s="4">
        <v>14572</v>
      </c>
      <c r="P473" s="4">
        <f>Tabela32[[#This Row],[Km Chegada]]-Tabela32[[#This Row],[Km Saída]]</f>
        <v>64</v>
      </c>
      <c r="Q473" s="4">
        <v>345</v>
      </c>
      <c r="R473" s="4">
        <v>22</v>
      </c>
      <c r="S473" s="4">
        <v>22</v>
      </c>
      <c r="T473" s="12">
        <f>Tabela32[[#This Row],[Entregas]]-Tabela32[[#This Row],[Realizadas]]</f>
        <v>0</v>
      </c>
      <c r="U473" s="18">
        <f>Tabela32[[#This Row],[Realizadas]]/Tabela32[[#This Row],[Entregas]]</f>
        <v>1</v>
      </c>
      <c r="V473" s="19" t="str">
        <f>IF(Tabela32[[#This Row],[% Entrega]]&gt;=96%,"Atendeu a Meta","Não Atendeu a Meta")</f>
        <v>Atendeu a Meta</v>
      </c>
      <c r="W473" s="4" t="s">
        <v>43</v>
      </c>
      <c r="X473" s="4">
        <v>1</v>
      </c>
      <c r="Y473" s="5">
        <v>10.38</v>
      </c>
    </row>
    <row r="474" spans="1:25" x14ac:dyDescent="0.25">
      <c r="A474" s="8">
        <v>46300</v>
      </c>
      <c r="B474" s="16">
        <f>YEAR(Tabela32[[#This Row],[Data]])</f>
        <v>2026</v>
      </c>
      <c r="C474" s="16">
        <f>MONTH(Tabela32[[#This Row],[Data]])</f>
        <v>10</v>
      </c>
      <c r="D474" s="4" t="s">
        <v>22</v>
      </c>
      <c r="E474" s="4">
        <v>5</v>
      </c>
      <c r="F474" s="4" t="str">
        <f>IFERROR(VLOOKUP(Tabela32[[#This Row],[Placa]],Planilha2!$A$1:$B$12,2,0),"")</f>
        <v>Wesley</v>
      </c>
      <c r="G474" s="10">
        <v>14452.93</v>
      </c>
      <c r="H474" s="10">
        <v>116696.96000000001</v>
      </c>
      <c r="I474" s="4">
        <v>2197</v>
      </c>
      <c r="J474" s="17">
        <f>IFERROR(Tabela32[[#This Row],[Valor Frete]]/Tabela32[[#This Row],[Valor Mercadoria]],"")</f>
        <v>0.12385009858011725</v>
      </c>
      <c r="K474" s="11">
        <v>0.29166666666666669</v>
      </c>
      <c r="L474" s="15">
        <v>0.76388888888888884</v>
      </c>
      <c r="M474" s="15">
        <f>Tabela32[[#This Row],[Hr Chegada]]-Tabela32[[#This Row],[Hr Saida]]</f>
        <v>0.47222222222222215</v>
      </c>
      <c r="N474" s="4">
        <v>305860</v>
      </c>
      <c r="O474" s="4">
        <v>305906</v>
      </c>
      <c r="P474" s="4">
        <f>Tabela32[[#This Row],[Km Chegada]]-Tabela32[[#This Row],[Km Saída]]</f>
        <v>46</v>
      </c>
      <c r="Q474" s="4">
        <v>504</v>
      </c>
      <c r="R474" s="4">
        <v>16</v>
      </c>
      <c r="S474" s="4">
        <v>16</v>
      </c>
      <c r="T474" s="12">
        <f>Tabela32[[#This Row],[Entregas]]-Tabela32[[#This Row],[Realizadas]]</f>
        <v>0</v>
      </c>
      <c r="U474" s="18">
        <f>Tabela32[[#This Row],[Realizadas]]/Tabela32[[#This Row],[Entregas]]</f>
        <v>1</v>
      </c>
      <c r="V474" s="19" t="str">
        <f>IF(Tabela32[[#This Row],[% Entrega]]&gt;=96%,"Atendeu a Meta","Não Atendeu a Meta")</f>
        <v>Atendeu a Meta</v>
      </c>
      <c r="W474" s="4" t="s">
        <v>39</v>
      </c>
      <c r="X474" s="4">
        <v>4</v>
      </c>
      <c r="Y474" s="5" t="s">
        <v>88</v>
      </c>
    </row>
    <row r="475" spans="1:25" x14ac:dyDescent="0.25">
      <c r="A475" s="8">
        <v>46300</v>
      </c>
      <c r="B475" s="16">
        <f>YEAR(Tabela32[[#This Row],[Data]])</f>
        <v>2026</v>
      </c>
      <c r="C475" s="16">
        <f>MONTH(Tabela32[[#This Row],[Data]])</f>
        <v>10</v>
      </c>
      <c r="D475" s="4" t="s">
        <v>29</v>
      </c>
      <c r="E475" s="4">
        <v>5</v>
      </c>
      <c r="F475" s="4" t="str">
        <f>IFERROR(VLOOKUP(Tabela32[[#This Row],[Placa]],Planilha2!$A$1:$B$12,2,0),"")</f>
        <v>Sandro</v>
      </c>
      <c r="G475" s="10">
        <v>7520.67</v>
      </c>
      <c r="H475" s="10">
        <v>54089.18</v>
      </c>
      <c r="I475" s="4">
        <v>2768</v>
      </c>
      <c r="J475" s="17">
        <f>IFERROR(Tabela32[[#This Row],[Valor Frete]]/Tabela32[[#This Row],[Valor Mercadoria]],"")</f>
        <v>0.13904204131029532</v>
      </c>
      <c r="K475" s="11">
        <v>0.29166666666666669</v>
      </c>
      <c r="L475" s="15">
        <v>0.77430555555555558</v>
      </c>
      <c r="M475" s="15">
        <f>Tabela32[[#This Row],[Hr Chegada]]-Tabela32[[#This Row],[Hr Saida]]</f>
        <v>0.4826388888888889</v>
      </c>
      <c r="N475" s="4">
        <v>276566</v>
      </c>
      <c r="O475" s="4">
        <v>276623</v>
      </c>
      <c r="P475" s="4">
        <f>Tabela32[[#This Row],[Km Chegada]]-Tabela32[[#This Row],[Km Saída]]</f>
        <v>57</v>
      </c>
      <c r="Q475" s="4">
        <v>267</v>
      </c>
      <c r="R475" s="4">
        <v>5</v>
      </c>
      <c r="S475" s="4">
        <v>5</v>
      </c>
      <c r="T475" s="12">
        <f>Tabela32[[#This Row],[Entregas]]-Tabela32[[#This Row],[Realizadas]]</f>
        <v>0</v>
      </c>
      <c r="U475" s="18">
        <f>Tabela32[[#This Row],[Realizadas]]/Tabela32[[#This Row],[Entregas]]</f>
        <v>1</v>
      </c>
      <c r="V475" s="19" t="str">
        <f>IF(Tabela32[[#This Row],[% Entrega]]&gt;=96%,"Atendeu a Meta","Não Atendeu a Meta")</f>
        <v>Atendeu a Meta</v>
      </c>
      <c r="W475" s="4" t="s">
        <v>39</v>
      </c>
      <c r="X475" s="4">
        <v>0</v>
      </c>
      <c r="Y475" s="5">
        <v>0</v>
      </c>
    </row>
    <row r="476" spans="1:25" x14ac:dyDescent="0.25">
      <c r="A476" s="8">
        <v>46300</v>
      </c>
      <c r="B476" s="16">
        <f>YEAR(Tabela32[[#This Row],[Data]])</f>
        <v>2026</v>
      </c>
      <c r="C476" s="16">
        <f>MONTH(Tabela32[[#This Row],[Data]])</f>
        <v>10</v>
      </c>
      <c r="D476" s="4" t="s">
        <v>25</v>
      </c>
      <c r="E476" s="4">
        <v>1</v>
      </c>
      <c r="F476" s="4" t="str">
        <f>IFERROR(VLOOKUP(Tabela32[[#This Row],[Placa]],Planilha2!$A$1:$B$12,2,0),"")</f>
        <v>Gilberto</v>
      </c>
      <c r="G476" s="10">
        <v>3823.44</v>
      </c>
      <c r="H476" s="10">
        <v>69287.11</v>
      </c>
      <c r="I476" s="4">
        <v>405</v>
      </c>
      <c r="J476" s="17">
        <f>IFERROR(Tabela32[[#This Row],[Valor Frete]]/Tabela32[[#This Row],[Valor Mercadoria]],"")</f>
        <v>5.5182558487430054E-2</v>
      </c>
      <c r="K476" s="11">
        <v>0.3125</v>
      </c>
      <c r="L476" s="15">
        <v>0.79861111111111116</v>
      </c>
      <c r="M476" s="15">
        <f>Tabela32[[#This Row],[Hr Chegada]]-Tabela32[[#This Row],[Hr Saida]]</f>
        <v>0.48611111111111116</v>
      </c>
      <c r="N476" s="4">
        <v>120715</v>
      </c>
      <c r="O476" s="4">
        <v>120828</v>
      </c>
      <c r="P476" s="4">
        <f>Tabela32[[#This Row],[Km Chegada]]-Tabela32[[#This Row],[Km Saída]]</f>
        <v>113</v>
      </c>
      <c r="Q476" s="4">
        <v>115</v>
      </c>
      <c r="R476" s="4">
        <v>16</v>
      </c>
      <c r="S476" s="4">
        <v>16</v>
      </c>
      <c r="T476" s="12">
        <f>Tabela32[[#This Row],[Entregas]]-Tabela32[[#This Row],[Realizadas]]</f>
        <v>0</v>
      </c>
      <c r="U476" s="18">
        <f>Tabela32[[#This Row],[Realizadas]]/Tabela32[[#This Row],[Entregas]]</f>
        <v>1</v>
      </c>
      <c r="V476" s="19" t="str">
        <f>IF(Tabela32[[#This Row],[% Entrega]]&gt;=96%,"Atendeu a Meta","Não Atendeu a Meta")</f>
        <v>Atendeu a Meta</v>
      </c>
      <c r="W476" s="4" t="s">
        <v>40</v>
      </c>
      <c r="X476" s="4">
        <v>0</v>
      </c>
      <c r="Y476" s="5">
        <v>0</v>
      </c>
    </row>
    <row r="477" spans="1:25" x14ac:dyDescent="0.25">
      <c r="A477" s="8">
        <v>46300</v>
      </c>
      <c r="B477" s="16">
        <f>YEAR(Tabela32[[#This Row],[Data]])</f>
        <v>2026</v>
      </c>
      <c r="C477" s="16">
        <f>MONTH(Tabela32[[#This Row],[Data]])</f>
        <v>10</v>
      </c>
      <c r="D477" s="4" t="s">
        <v>35</v>
      </c>
      <c r="E477" s="4">
        <v>11</v>
      </c>
      <c r="F477" s="4" t="str">
        <f>IFERROR(VLOOKUP(Tabela32[[#This Row],[Placa]],Planilha2!$A$1:$B$12,2,0),"")</f>
        <v>Osvaldo</v>
      </c>
      <c r="G477" s="10">
        <v>13461.47</v>
      </c>
      <c r="H477" s="10">
        <v>199033</v>
      </c>
      <c r="I477" s="4">
        <v>2989</v>
      </c>
      <c r="J477" s="17">
        <f>IFERROR(Tabela32[[#This Row],[Valor Frete]]/Tabela32[[#This Row],[Valor Mercadoria]],"")</f>
        <v>6.7634362140951504E-2</v>
      </c>
      <c r="K477" s="11">
        <v>0.27083333333333331</v>
      </c>
      <c r="L477" s="15">
        <v>0.77777777777777779</v>
      </c>
      <c r="M477" s="15">
        <f>Tabela32[[#This Row],[Hr Chegada]]-Tabela32[[#This Row],[Hr Saida]]</f>
        <v>0.50694444444444442</v>
      </c>
      <c r="N477" s="4">
        <v>144186</v>
      </c>
      <c r="O477" s="4">
        <v>144311</v>
      </c>
      <c r="P477" s="4">
        <f>Tabela32[[#This Row],[Km Chegada]]-Tabela32[[#This Row],[Km Saída]]</f>
        <v>125</v>
      </c>
      <c r="Q477" s="4">
        <v>235</v>
      </c>
      <c r="R477" s="4">
        <v>22</v>
      </c>
      <c r="S477" s="4">
        <v>22</v>
      </c>
      <c r="T477" s="12">
        <f>Tabela32[[#This Row],[Entregas]]-Tabela32[[#This Row],[Realizadas]]</f>
        <v>0</v>
      </c>
      <c r="U477" s="18">
        <f>Tabela32[[#This Row],[Realizadas]]/Tabela32[[#This Row],[Entregas]]</f>
        <v>1</v>
      </c>
      <c r="V477" s="19" t="str">
        <f>IF(Tabela32[[#This Row],[% Entrega]]&gt;=96%,"Atendeu a Meta","Não Atendeu a Meta")</f>
        <v>Atendeu a Meta</v>
      </c>
      <c r="W477" s="4" t="s">
        <v>41</v>
      </c>
      <c r="X477" s="4">
        <v>0</v>
      </c>
      <c r="Y477" s="5">
        <v>0</v>
      </c>
    </row>
    <row r="478" spans="1:25" x14ac:dyDescent="0.25">
      <c r="A478" s="8">
        <v>46300</v>
      </c>
      <c r="B478" s="16">
        <f>YEAR(Tabela32[[#This Row],[Data]])</f>
        <v>2026</v>
      </c>
      <c r="C478" s="16">
        <f>MONTH(Tabela32[[#This Row],[Data]])</f>
        <v>10</v>
      </c>
      <c r="D478" s="4" t="s">
        <v>27</v>
      </c>
      <c r="E478" s="4">
        <v>4</v>
      </c>
      <c r="F478" s="4" t="str">
        <f>IFERROR(VLOOKUP(Tabela32[[#This Row],[Placa]],Planilha2!$A$1:$B$12,2,0),"")</f>
        <v>Rosinaldo</v>
      </c>
      <c r="G478" s="10">
        <v>2965.97</v>
      </c>
      <c r="H478" s="10">
        <v>40516.230000000003</v>
      </c>
      <c r="I478" s="4">
        <v>1109</v>
      </c>
      <c r="J478" s="17">
        <f>IFERROR(Tabela32[[#This Row],[Valor Frete]]/Tabela32[[#This Row],[Valor Mercadoria]],"")</f>
        <v>7.3204491138489425E-2</v>
      </c>
      <c r="K478" s="11">
        <v>0.56944444444444442</v>
      </c>
      <c r="L478" s="15">
        <v>0.74652777777777779</v>
      </c>
      <c r="M478" s="15">
        <f>Tabela32[[#This Row],[Hr Chegada]]-Tabela32[[#This Row],[Hr Saida]]</f>
        <v>0.17708333333333337</v>
      </c>
      <c r="N478" s="4">
        <v>292204</v>
      </c>
      <c r="O478" s="4">
        <v>292247</v>
      </c>
      <c r="P478" s="4">
        <f>Tabela32[[#This Row],[Km Chegada]]-Tabela32[[#This Row],[Km Saída]]</f>
        <v>43</v>
      </c>
      <c r="Q478" s="4">
        <v>202</v>
      </c>
      <c r="R478" s="4">
        <v>5</v>
      </c>
      <c r="S478" s="4">
        <v>5</v>
      </c>
      <c r="T478" s="12">
        <f>Tabela32[[#This Row],[Entregas]]-Tabela32[[#This Row],[Realizadas]]</f>
        <v>0</v>
      </c>
      <c r="U478" s="18">
        <f>Tabela32[[#This Row],[Realizadas]]/Tabela32[[#This Row],[Entregas]]</f>
        <v>1</v>
      </c>
      <c r="V478" s="19" t="str">
        <f>IF(Tabela32[[#This Row],[% Entrega]]&gt;=96%,"Atendeu a Meta","Não Atendeu a Meta")</f>
        <v>Atendeu a Meta</v>
      </c>
      <c r="W478" s="4" t="s">
        <v>39</v>
      </c>
      <c r="X478" s="4">
        <v>0</v>
      </c>
      <c r="Y478" s="5">
        <v>0</v>
      </c>
    </row>
    <row r="479" spans="1:25" x14ac:dyDescent="0.25">
      <c r="A479" s="8">
        <v>46298</v>
      </c>
      <c r="B479" s="16">
        <f>YEAR(Tabela32[[#This Row],[Data]])</f>
        <v>2026</v>
      </c>
      <c r="C479" s="16">
        <f>MONTH(Tabela32[[#This Row],[Data]])</f>
        <v>10</v>
      </c>
      <c r="D479" s="4" t="s">
        <v>35</v>
      </c>
      <c r="E479" s="4">
        <v>3</v>
      </c>
      <c r="F479" s="4" t="str">
        <f>IFERROR(VLOOKUP(Tabela32[[#This Row],[Placa]],Planilha2!$A$1:$B$12,2,0),"")</f>
        <v>Osvaldo</v>
      </c>
      <c r="G479" s="10">
        <v>13116.14</v>
      </c>
      <c r="H479" s="10">
        <v>179913.44</v>
      </c>
      <c r="I479" s="4">
        <v>2596</v>
      </c>
      <c r="J479" s="17">
        <f>IFERROR(Tabela32[[#This Row],[Valor Frete]]/Tabela32[[#This Row],[Valor Mercadoria]],"")</f>
        <v>7.2902502447843798E-2</v>
      </c>
      <c r="K479" s="11">
        <v>0.3125</v>
      </c>
      <c r="L479" s="15">
        <v>0.51388888888888884</v>
      </c>
      <c r="M479" s="15">
        <f>Tabela32[[#This Row],[Hr Chegada]]-Tabela32[[#This Row],[Hr Saida]]</f>
        <v>0.20138888888888884</v>
      </c>
      <c r="N479" s="4">
        <v>144128</v>
      </c>
      <c r="O479" s="4">
        <v>144168</v>
      </c>
      <c r="P479" s="4">
        <f>Tabela32[[#This Row],[Km Chegada]]-Tabela32[[#This Row],[Km Saída]]</f>
        <v>40</v>
      </c>
      <c r="Q479" s="4">
        <v>405</v>
      </c>
      <c r="R479" s="4">
        <v>8</v>
      </c>
      <c r="S479" s="4">
        <v>8</v>
      </c>
      <c r="T479" s="12">
        <f>Tabela32[[#This Row],[Entregas]]-Tabela32[[#This Row],[Realizadas]]</f>
        <v>0</v>
      </c>
      <c r="U479" s="18">
        <f>Tabela32[[#This Row],[Realizadas]]/Tabela32[[#This Row],[Entregas]]</f>
        <v>1</v>
      </c>
      <c r="V479" s="19" t="str">
        <f>IF(Tabela32[[#This Row],[% Entrega]]&gt;=96%,"Atendeu a Meta","Não Atendeu a Meta")</f>
        <v>Atendeu a Meta</v>
      </c>
      <c r="W479" s="4" t="s">
        <v>39</v>
      </c>
      <c r="X479" s="4">
        <v>0</v>
      </c>
      <c r="Y479" s="5">
        <v>0</v>
      </c>
    </row>
    <row r="480" spans="1:25" x14ac:dyDescent="0.25">
      <c r="A480" s="8">
        <v>46301</v>
      </c>
      <c r="B480" s="16">
        <f>YEAR(Tabela32[[#This Row],[Data]])</f>
        <v>2026</v>
      </c>
      <c r="C480" s="16">
        <f>MONTH(Tabela32[[#This Row],[Data]])</f>
        <v>10</v>
      </c>
      <c r="D480" s="4" t="s">
        <v>27</v>
      </c>
      <c r="E480" s="4">
        <v>1</v>
      </c>
      <c r="F480" s="4" t="str">
        <f>IFERROR(VLOOKUP(Tabela32[[#This Row],[Placa]],Planilha2!$A$1:$B$12,2,0),"")</f>
        <v>Rosinaldo</v>
      </c>
      <c r="G480" s="10">
        <v>1829.66</v>
      </c>
      <c r="H480" s="10">
        <v>25503.46</v>
      </c>
      <c r="I480" s="4">
        <v>118.5</v>
      </c>
      <c r="J480" s="17">
        <f>IFERROR(Tabela32[[#This Row],[Valor Frete]]/Tabela32[[#This Row],[Valor Mercadoria]],"")</f>
        <v>7.1741638193405927E-2</v>
      </c>
      <c r="K480" s="11">
        <v>0.29166666666666669</v>
      </c>
      <c r="L480" s="15">
        <v>0.56944444444444442</v>
      </c>
      <c r="M480" s="15">
        <f>Tabela32[[#This Row],[Hr Chegada]]-Tabela32[[#This Row],[Hr Saida]]</f>
        <v>0.27777777777777773</v>
      </c>
      <c r="N480" s="4">
        <v>292247</v>
      </c>
      <c r="O480" s="4">
        <v>292290</v>
      </c>
      <c r="P480" s="4">
        <f>Tabela32[[#This Row],[Km Chegada]]-Tabela32[[#This Row],[Km Saída]]</f>
        <v>43</v>
      </c>
      <c r="Q480" s="4">
        <v>51</v>
      </c>
      <c r="R480" s="4">
        <v>2</v>
      </c>
      <c r="S480" s="4">
        <v>2</v>
      </c>
      <c r="T480" s="12">
        <f>Tabela32[[#This Row],[Entregas]]-Tabela32[[#This Row],[Realizadas]]</f>
        <v>0</v>
      </c>
      <c r="U480" s="18">
        <f>Tabela32[[#This Row],[Realizadas]]/Tabela32[[#This Row],[Entregas]]</f>
        <v>1</v>
      </c>
      <c r="V480" s="19" t="str">
        <f>IF(Tabela32[[#This Row],[% Entrega]]&gt;=96%,"Atendeu a Meta","Não Atendeu a Meta")</f>
        <v>Atendeu a Meta</v>
      </c>
      <c r="W480" s="4" t="s">
        <v>40</v>
      </c>
      <c r="X480" s="4">
        <v>0</v>
      </c>
      <c r="Y480" s="5">
        <v>0</v>
      </c>
    </row>
    <row r="481" spans="1:25" x14ac:dyDescent="0.25">
      <c r="A481" s="8">
        <v>46301</v>
      </c>
      <c r="B481" s="16">
        <f>YEAR(Tabela32[[#This Row],[Data]])</f>
        <v>2026</v>
      </c>
      <c r="C481" s="16">
        <f>MONTH(Tabela32[[#This Row],[Data]])</f>
        <v>10</v>
      </c>
      <c r="D481" s="4" t="s">
        <v>27</v>
      </c>
      <c r="E481" s="4">
        <v>4</v>
      </c>
      <c r="F481" s="4" t="str">
        <f>IFERROR(VLOOKUP(Tabela32[[#This Row],[Placa]],Planilha2!$A$1:$B$12,2,0),"")</f>
        <v>Rosinaldo</v>
      </c>
      <c r="G481" s="10">
        <v>1270.51</v>
      </c>
      <c r="H481" s="10">
        <v>33344.06</v>
      </c>
      <c r="I481" s="4">
        <v>59</v>
      </c>
      <c r="J481" s="17">
        <f>IFERROR(Tabela32[[#This Row],[Valor Frete]]/Tabela32[[#This Row],[Valor Mercadoria]],"")</f>
        <v>3.8103038442229294E-2</v>
      </c>
      <c r="K481" s="11">
        <v>0.61458333333333337</v>
      </c>
      <c r="L481" s="15">
        <v>0.78472222222222221</v>
      </c>
      <c r="M481" s="15">
        <f>Tabela32[[#This Row],[Hr Chegada]]-Tabela32[[#This Row],[Hr Saida]]</f>
        <v>0.17013888888888884</v>
      </c>
      <c r="N481" s="4">
        <v>292290</v>
      </c>
      <c r="O481" s="4">
        <v>292343</v>
      </c>
      <c r="P481" s="4">
        <f>Tabela32[[#This Row],[Km Chegada]]-Tabela32[[#This Row],[Km Saída]]</f>
        <v>53</v>
      </c>
      <c r="Q481" s="4">
        <v>24</v>
      </c>
      <c r="R481" s="4">
        <v>6</v>
      </c>
      <c r="S481" s="4">
        <v>6</v>
      </c>
      <c r="T481" s="12">
        <f>Tabela32[[#This Row],[Entregas]]-Tabela32[[#This Row],[Realizadas]]</f>
        <v>0</v>
      </c>
      <c r="U481" s="18">
        <f>Tabela32[[#This Row],[Realizadas]]/Tabela32[[#This Row],[Entregas]]</f>
        <v>1</v>
      </c>
      <c r="V481" s="19" t="str">
        <f>IF(Tabela32[[#This Row],[% Entrega]]&gt;=96%,"Atendeu a Meta","Não Atendeu a Meta")</f>
        <v>Atendeu a Meta</v>
      </c>
      <c r="W481" s="4" t="s">
        <v>39</v>
      </c>
      <c r="X481" s="4">
        <v>0</v>
      </c>
      <c r="Y481" s="5">
        <v>0</v>
      </c>
    </row>
    <row r="482" spans="1:25" x14ac:dyDescent="0.25">
      <c r="A482" s="8">
        <v>46301</v>
      </c>
      <c r="B482" s="16">
        <f>YEAR(Tabela32[[#This Row],[Data]])</f>
        <v>2026</v>
      </c>
      <c r="C482" s="16">
        <f>MONTH(Tabela32[[#This Row],[Data]])</f>
        <v>10</v>
      </c>
      <c r="D482" s="4" t="s">
        <v>35</v>
      </c>
      <c r="E482" s="4">
        <v>11</v>
      </c>
      <c r="F482" s="4" t="str">
        <f>IFERROR(VLOOKUP(Tabela32[[#This Row],[Placa]],Planilha2!$A$1:$B$12,2,0),"")</f>
        <v>Osvaldo</v>
      </c>
      <c r="G482" s="10">
        <v>16301.71</v>
      </c>
      <c r="H482" s="10">
        <v>206976.8</v>
      </c>
      <c r="I482" s="4">
        <v>3472</v>
      </c>
      <c r="J482" s="17">
        <f>IFERROR(Tabela32[[#This Row],[Valor Frete]]/Tabela32[[#This Row],[Valor Mercadoria]],"")</f>
        <v>7.8761049547582146E-2</v>
      </c>
      <c r="K482" s="11">
        <v>0.27083333333333331</v>
      </c>
      <c r="L482" s="15">
        <v>0.75</v>
      </c>
      <c r="M482" s="15">
        <f>Tabela32[[#This Row],[Hr Chegada]]-Tabela32[[#This Row],[Hr Saida]]</f>
        <v>0.47916666666666669</v>
      </c>
      <c r="N482" s="4">
        <v>144311</v>
      </c>
      <c r="O482" s="4">
        <v>144455</v>
      </c>
      <c r="P482" s="4">
        <f>Tabela32[[#This Row],[Km Chegada]]-Tabela32[[#This Row],[Km Saída]]</f>
        <v>144</v>
      </c>
      <c r="Q482" s="4">
        <v>248</v>
      </c>
      <c r="R482" s="4">
        <v>31</v>
      </c>
      <c r="S482" s="4">
        <v>31</v>
      </c>
      <c r="T482" s="12">
        <f>Tabela32[[#This Row],[Entregas]]-Tabela32[[#This Row],[Realizadas]]</f>
        <v>0</v>
      </c>
      <c r="U482" s="18">
        <f>Tabela32[[#This Row],[Realizadas]]/Tabela32[[#This Row],[Entregas]]</f>
        <v>1</v>
      </c>
      <c r="V482" s="19" t="str">
        <f>IF(Tabela32[[#This Row],[% Entrega]]&gt;=96%,"Atendeu a Meta","Não Atendeu a Meta")</f>
        <v>Atendeu a Meta</v>
      </c>
      <c r="W482" s="4" t="s">
        <v>41</v>
      </c>
      <c r="X482" s="4">
        <v>0</v>
      </c>
      <c r="Y482" s="5" t="s">
        <v>76</v>
      </c>
    </row>
    <row r="483" spans="1:25" x14ac:dyDescent="0.25">
      <c r="A483" s="8">
        <v>46301</v>
      </c>
      <c r="B483" s="16">
        <f>YEAR(Tabela32[[#This Row],[Data]])</f>
        <v>2026</v>
      </c>
      <c r="C483" s="16">
        <f>MONTH(Tabela32[[#This Row],[Data]])</f>
        <v>10</v>
      </c>
      <c r="D483" s="4" t="s">
        <v>22</v>
      </c>
      <c r="E483" s="4">
        <v>5</v>
      </c>
      <c r="F483" s="4" t="str">
        <f>IFERROR(VLOOKUP(Tabela32[[#This Row],[Placa]],Planilha2!$A$1:$B$12,2,0),"")</f>
        <v>Wesley</v>
      </c>
      <c r="G483" s="10">
        <v>10450.99</v>
      </c>
      <c r="H483" s="10">
        <v>122185.55</v>
      </c>
      <c r="I483" s="4">
        <v>1863</v>
      </c>
      <c r="J483" s="17">
        <f>IFERROR(Tabela32[[#This Row],[Valor Frete]]/Tabela32[[#This Row],[Valor Mercadoria]],"")</f>
        <v>8.5533764017103497E-2</v>
      </c>
      <c r="K483" s="11">
        <v>0.3125</v>
      </c>
      <c r="L483" s="15">
        <v>0.75416666666666665</v>
      </c>
      <c r="M483" s="15">
        <f>Tabela32[[#This Row],[Hr Chegada]]-Tabela32[[#This Row],[Hr Saida]]</f>
        <v>0.44166666666666665</v>
      </c>
      <c r="N483" s="4">
        <v>305906</v>
      </c>
      <c r="O483" s="4">
        <v>305983</v>
      </c>
      <c r="P483" s="4">
        <f>Tabela32[[#This Row],[Km Chegada]]-Tabela32[[#This Row],[Km Saída]]</f>
        <v>77</v>
      </c>
      <c r="Q483" s="4">
        <v>300</v>
      </c>
      <c r="R483" s="4">
        <v>25</v>
      </c>
      <c r="S483" s="4">
        <v>25</v>
      </c>
      <c r="T483" s="12">
        <f>Tabela32[[#This Row],[Entregas]]-Tabela32[[#This Row],[Realizadas]]</f>
        <v>0</v>
      </c>
      <c r="U483" s="18">
        <f>Tabela32[[#This Row],[Realizadas]]/Tabela32[[#This Row],[Entregas]]</f>
        <v>1</v>
      </c>
      <c r="V483" s="19" t="str">
        <f>IF(Tabela32[[#This Row],[% Entrega]]&gt;=96%,"Atendeu a Meta","Não Atendeu a Meta")</f>
        <v>Atendeu a Meta</v>
      </c>
      <c r="W483" s="4" t="s">
        <v>39</v>
      </c>
      <c r="X483" s="4">
        <v>0</v>
      </c>
      <c r="Y483" s="5">
        <v>0</v>
      </c>
    </row>
    <row r="484" spans="1:25" x14ac:dyDescent="0.25">
      <c r="A484" s="8">
        <v>46301</v>
      </c>
      <c r="B484" s="16">
        <f>YEAR(Tabela32[[#This Row],[Data]])</f>
        <v>2026</v>
      </c>
      <c r="C484" s="16">
        <f>MONTH(Tabela32[[#This Row],[Data]])</f>
        <v>10</v>
      </c>
      <c r="D484" s="4" t="s">
        <v>23</v>
      </c>
      <c r="E484" s="4">
        <v>3</v>
      </c>
      <c r="F484" s="4" t="str">
        <f>IFERROR(VLOOKUP(Tabela32[[#This Row],[Placa]],Planilha2!$A$1:$B$12,2,0),"")</f>
        <v>William</v>
      </c>
      <c r="G484" s="10">
        <v>14818.4</v>
      </c>
      <c r="H484" s="10">
        <v>270443.61</v>
      </c>
      <c r="I484" s="4">
        <v>3409</v>
      </c>
      <c r="J484" s="17">
        <f>IFERROR(Tabela32[[#This Row],[Valor Frete]]/Tabela32[[#This Row],[Valor Mercadoria]],"")</f>
        <v>5.4792938165556956E-2</v>
      </c>
      <c r="K484" s="11">
        <v>0.2986111111111111</v>
      </c>
      <c r="L484" s="15">
        <v>0.78125</v>
      </c>
      <c r="M484" s="15">
        <f>Tabela32[[#This Row],[Hr Chegada]]-Tabela32[[#This Row],[Hr Saida]]</f>
        <v>0.4826388888888889</v>
      </c>
      <c r="N484" s="4">
        <v>126676</v>
      </c>
      <c r="O484" s="4">
        <v>126743</v>
      </c>
      <c r="P484" s="4">
        <f>Tabela32[[#This Row],[Km Chegada]]-Tabela32[[#This Row],[Km Saída]]</f>
        <v>67</v>
      </c>
      <c r="Q484" s="4">
        <v>383</v>
      </c>
      <c r="R484" s="4">
        <v>23</v>
      </c>
      <c r="S484" s="4">
        <v>23</v>
      </c>
      <c r="T484" s="12">
        <f>Tabela32[[#This Row],[Entregas]]-Tabela32[[#This Row],[Realizadas]]</f>
        <v>0</v>
      </c>
      <c r="U484" s="18">
        <f>Tabela32[[#This Row],[Realizadas]]/Tabela32[[#This Row],[Entregas]]</f>
        <v>1</v>
      </c>
      <c r="V484" s="19" t="str">
        <f>IF(Tabela32[[#This Row],[% Entrega]]&gt;=96%,"Atendeu a Meta","Não Atendeu a Meta")</f>
        <v>Atendeu a Meta</v>
      </c>
      <c r="W484" s="4" t="s">
        <v>39</v>
      </c>
      <c r="X484" s="4">
        <v>0</v>
      </c>
      <c r="Y484" s="5">
        <v>0</v>
      </c>
    </row>
    <row r="485" spans="1:25" x14ac:dyDescent="0.25">
      <c r="A485" s="8">
        <v>46301</v>
      </c>
      <c r="B485" s="16">
        <f>YEAR(Tabela32[[#This Row],[Data]])</f>
        <v>2026</v>
      </c>
      <c r="C485" s="16">
        <f>MONTH(Tabela32[[#This Row],[Data]])</f>
        <v>10</v>
      </c>
      <c r="D485" s="4" t="s">
        <v>31</v>
      </c>
      <c r="E485" s="4">
        <v>2</v>
      </c>
      <c r="F485" s="4" t="str">
        <f>IFERROR(VLOOKUP(Tabela32[[#This Row],[Placa]],Planilha2!$A$1:$B$12,2,0),"")</f>
        <v>Jerson</v>
      </c>
      <c r="G485" s="10">
        <v>14479.26</v>
      </c>
      <c r="H485" s="10">
        <v>262607.09999999998</v>
      </c>
      <c r="I485" s="4">
        <v>2642</v>
      </c>
      <c r="J485" s="17">
        <f>IFERROR(Tabela32[[#This Row],[Valor Frete]]/Tabela32[[#This Row],[Valor Mercadoria]],"")</f>
        <v>5.513658998557161E-2</v>
      </c>
      <c r="K485" s="11">
        <v>0.27430555555555558</v>
      </c>
      <c r="L485" s="15">
        <v>0.82638888888888884</v>
      </c>
      <c r="M485" s="15">
        <f>Tabela32[[#This Row],[Hr Chegada]]-Tabela32[[#This Row],[Hr Saida]]</f>
        <v>0.55208333333333326</v>
      </c>
      <c r="N485" s="4">
        <v>281825</v>
      </c>
      <c r="O485" s="4">
        <v>281896</v>
      </c>
      <c r="P485" s="4">
        <f>Tabela32[[#This Row],[Km Chegada]]-Tabela32[[#This Row],[Km Saída]]</f>
        <v>71</v>
      </c>
      <c r="Q485" s="4">
        <v>336</v>
      </c>
      <c r="R485" s="4">
        <v>39</v>
      </c>
      <c r="S485" s="4">
        <v>39</v>
      </c>
      <c r="T485" s="12">
        <f>Tabela32[[#This Row],[Entregas]]-Tabela32[[#This Row],[Realizadas]]</f>
        <v>0</v>
      </c>
      <c r="U485" s="18">
        <f>Tabela32[[#This Row],[Realizadas]]/Tabela32[[#This Row],[Entregas]]</f>
        <v>1</v>
      </c>
      <c r="V485" s="19" t="str">
        <f>IF(Tabela32[[#This Row],[% Entrega]]&gt;=96%,"Atendeu a Meta","Não Atendeu a Meta")</f>
        <v>Atendeu a Meta</v>
      </c>
      <c r="W485" s="4" t="s">
        <v>39</v>
      </c>
      <c r="X485" s="4">
        <v>0</v>
      </c>
      <c r="Y485" s="5">
        <v>0</v>
      </c>
    </row>
    <row r="486" spans="1:25" x14ac:dyDescent="0.25">
      <c r="A486" s="8">
        <v>46301</v>
      </c>
      <c r="B486" s="16">
        <f>YEAR(Tabela32[[#This Row],[Data]])</f>
        <v>2026</v>
      </c>
      <c r="C486" s="16">
        <f>MONTH(Tabela32[[#This Row],[Data]])</f>
        <v>10</v>
      </c>
      <c r="D486" s="4" t="s">
        <v>29</v>
      </c>
      <c r="E486" s="4">
        <v>1</v>
      </c>
      <c r="F486" s="4" t="str">
        <f>IFERROR(VLOOKUP(Tabela32[[#This Row],[Placa]],Planilha2!$A$1:$B$12,2,0),"")</f>
        <v>Sandro</v>
      </c>
      <c r="G486" s="10">
        <v>8860.61</v>
      </c>
      <c r="H486" s="10">
        <v>175974.15</v>
      </c>
      <c r="I486" s="4">
        <v>1387</v>
      </c>
      <c r="J486" s="17">
        <f>IFERROR(Tabela32[[#This Row],[Valor Frete]]/Tabela32[[#This Row],[Valor Mercadoria]],"")</f>
        <v>5.0351770416279897E-2</v>
      </c>
      <c r="K486" s="11">
        <v>0.3125</v>
      </c>
      <c r="L486" s="15">
        <v>0.82152777777777775</v>
      </c>
      <c r="M486" s="15">
        <f>Tabela32[[#This Row],[Hr Chegada]]-Tabela32[[#This Row],[Hr Saida]]</f>
        <v>0.50902777777777775</v>
      </c>
      <c r="N486" s="4">
        <v>276623</v>
      </c>
      <c r="O486" s="4">
        <v>276772</v>
      </c>
      <c r="P486" s="4">
        <f>Tabela32[[#This Row],[Km Chegada]]-Tabela32[[#This Row],[Km Saída]]</f>
        <v>149</v>
      </c>
      <c r="Q486" s="4">
        <v>197</v>
      </c>
      <c r="R486" s="4">
        <v>26</v>
      </c>
      <c r="S486" s="4">
        <v>24</v>
      </c>
      <c r="T486" s="12">
        <f>Tabela32[[#This Row],[Entregas]]-Tabela32[[#This Row],[Realizadas]]</f>
        <v>2</v>
      </c>
      <c r="U486" s="18">
        <f>Tabela32[[#This Row],[Realizadas]]/Tabela32[[#This Row],[Entregas]]</f>
        <v>0.92307692307692313</v>
      </c>
      <c r="V486" s="19" t="str">
        <f>IF(Tabela32[[#This Row],[% Entrega]]&gt;=96%,"Atendeu a Meta","Não Atendeu a Meta")</f>
        <v>Não Atendeu a Meta</v>
      </c>
      <c r="W486" s="4" t="s">
        <v>63</v>
      </c>
      <c r="X486" s="4">
        <v>2</v>
      </c>
      <c r="Y486" s="5">
        <v>13.13</v>
      </c>
    </row>
    <row r="487" spans="1:25" x14ac:dyDescent="0.25">
      <c r="A487" s="8">
        <v>46301</v>
      </c>
      <c r="B487" s="16">
        <f>YEAR(Tabela32[[#This Row],[Data]])</f>
        <v>2026</v>
      </c>
      <c r="C487" s="16">
        <f>MONTH(Tabela32[[#This Row],[Data]])</f>
        <v>10</v>
      </c>
      <c r="D487" s="4" t="s">
        <v>28</v>
      </c>
      <c r="E487" s="4">
        <v>3</v>
      </c>
      <c r="F487" s="4" t="str">
        <f>IFERROR(VLOOKUP(Tabela32[[#This Row],[Placa]],Planilha2!$A$1:$B$12,2,0),"")</f>
        <v>Edilson</v>
      </c>
      <c r="G487" s="10">
        <v>14066.85</v>
      </c>
      <c r="H487" s="10">
        <v>62486.95</v>
      </c>
      <c r="I487" s="4">
        <v>6328</v>
      </c>
      <c r="J487" s="17">
        <f>IFERROR(Tabela32[[#This Row],[Valor Frete]]/Tabela32[[#This Row],[Valor Mercadoria]],"")</f>
        <v>0.22511660434698766</v>
      </c>
      <c r="K487" s="11">
        <v>0.27083333333333331</v>
      </c>
      <c r="L487" s="15">
        <v>0.65833333333333333</v>
      </c>
      <c r="M487" s="15">
        <f>Tabela32[[#This Row],[Hr Chegada]]-Tabela32[[#This Row],[Hr Saida]]</f>
        <v>0.38750000000000001</v>
      </c>
      <c r="N487" s="4">
        <v>106700</v>
      </c>
      <c r="O487" s="4">
        <v>106739</v>
      </c>
      <c r="P487" s="4">
        <f>Tabela32[[#This Row],[Km Chegada]]-Tabela32[[#This Row],[Km Saída]]</f>
        <v>39</v>
      </c>
      <c r="Q487" s="4">
        <v>410</v>
      </c>
      <c r="R487" s="4">
        <v>1</v>
      </c>
      <c r="S487" s="4">
        <v>1</v>
      </c>
      <c r="T487" s="12">
        <f>Tabela32[[#This Row],[Entregas]]-Tabela32[[#This Row],[Realizadas]]</f>
        <v>0</v>
      </c>
      <c r="U487" s="18">
        <f>Tabela32[[#This Row],[Realizadas]]/Tabela32[[#This Row],[Entregas]]</f>
        <v>1</v>
      </c>
      <c r="V487" s="19" t="str">
        <f>IF(Tabela32[[#This Row],[% Entrega]]&gt;=96%,"Atendeu a Meta","Não Atendeu a Meta")</f>
        <v>Atendeu a Meta</v>
      </c>
      <c r="W487" s="4" t="s">
        <v>39</v>
      </c>
      <c r="X487" s="4">
        <v>0</v>
      </c>
      <c r="Y487" s="5">
        <v>0</v>
      </c>
    </row>
    <row r="488" spans="1:25" x14ac:dyDescent="0.25">
      <c r="A488" s="8">
        <v>46301</v>
      </c>
      <c r="B488" s="16">
        <f>YEAR(Tabela32[[#This Row],[Data]])</f>
        <v>2026</v>
      </c>
      <c r="C488" s="16">
        <f>MONTH(Tabela32[[#This Row],[Data]])</f>
        <v>10</v>
      </c>
      <c r="D488" s="4" t="s">
        <v>33</v>
      </c>
      <c r="E488" s="4">
        <v>5</v>
      </c>
      <c r="F488" s="4" t="str">
        <f>IFERROR(VLOOKUP(Tabela32[[#This Row],[Placa]],Planilha2!$A$1:$B$12,2,0),"")</f>
        <v>Paulo</v>
      </c>
      <c r="G488" s="10">
        <v>855.67</v>
      </c>
      <c r="H488" s="10">
        <v>17364.759999999998</v>
      </c>
      <c r="I488" s="4">
        <v>59</v>
      </c>
      <c r="J488" s="17">
        <f>IFERROR(Tabela32[[#This Row],[Valor Frete]]/Tabela32[[#This Row],[Valor Mercadoria]],"")</f>
        <v>4.9276235317965815E-2</v>
      </c>
      <c r="K488" s="11">
        <v>0.29166666666666669</v>
      </c>
      <c r="L488" s="15">
        <v>0.71180555555555558</v>
      </c>
      <c r="M488" s="15">
        <f>Tabela32[[#This Row],[Hr Chegada]]-Tabela32[[#This Row],[Hr Saida]]</f>
        <v>0.4201388888888889</v>
      </c>
      <c r="N488" s="4">
        <v>156692</v>
      </c>
      <c r="O488" s="4">
        <v>156744</v>
      </c>
      <c r="P488" s="4">
        <f>Tabela32[[#This Row],[Km Chegada]]-Tabela32[[#This Row],[Km Saída]]</f>
        <v>52</v>
      </c>
      <c r="Q488" s="4">
        <v>45</v>
      </c>
      <c r="R488" s="4">
        <v>2</v>
      </c>
      <c r="S488" s="4">
        <v>2</v>
      </c>
      <c r="T488" s="12">
        <f>Tabela32[[#This Row],[Entregas]]-Tabela32[[#This Row],[Realizadas]]</f>
        <v>0</v>
      </c>
      <c r="U488" s="18">
        <f>Tabela32[[#This Row],[Realizadas]]/Tabela32[[#This Row],[Entregas]]</f>
        <v>1</v>
      </c>
      <c r="V488" s="19" t="str">
        <f>IF(Tabela32[[#This Row],[% Entrega]]&gt;=96%,"Atendeu a Meta","Não Atendeu a Meta")</f>
        <v>Atendeu a Meta</v>
      </c>
      <c r="W488" s="4" t="s">
        <v>39</v>
      </c>
      <c r="X488" s="4">
        <v>0</v>
      </c>
      <c r="Y488" s="5">
        <v>0</v>
      </c>
    </row>
    <row r="489" spans="1:25" x14ac:dyDescent="0.25">
      <c r="A489" s="8">
        <v>46301</v>
      </c>
      <c r="B489" s="16">
        <f>YEAR(Tabela32[[#This Row],[Data]])</f>
        <v>2026</v>
      </c>
      <c r="C489" s="16">
        <f>MONTH(Tabela32[[#This Row],[Data]])</f>
        <v>10</v>
      </c>
      <c r="D489" s="4" t="s">
        <v>53</v>
      </c>
      <c r="E489" s="4">
        <v>1</v>
      </c>
      <c r="F489" s="4" t="str">
        <f>IFERROR(VLOOKUP(Tabela32[[#This Row],[Placa]],Planilha2!$A$1:$B$12,2,0),"")</f>
        <v>Arnaldo</v>
      </c>
      <c r="G489" s="10">
        <v>4094.02</v>
      </c>
      <c r="H489" s="10">
        <v>45709.9</v>
      </c>
      <c r="I489" s="4">
        <v>797</v>
      </c>
      <c r="J489" s="17">
        <f>IFERROR(Tabela32[[#This Row],[Valor Frete]]/Tabela32[[#This Row],[Valor Mercadoria]],"")</f>
        <v>8.9565280169066216E-2</v>
      </c>
      <c r="K489" s="11">
        <v>0.2986111111111111</v>
      </c>
      <c r="L489" s="15">
        <v>0.67291666666666672</v>
      </c>
      <c r="M489" s="15">
        <f>Tabela32[[#This Row],[Hr Chegada]]-Tabela32[[#This Row],[Hr Saida]]</f>
        <v>0.37430555555555561</v>
      </c>
      <c r="N489" s="4">
        <v>14572</v>
      </c>
      <c r="O489" s="4">
        <v>14610</v>
      </c>
      <c r="P489" s="4">
        <f>Tabela32[[#This Row],[Km Chegada]]-Tabela32[[#This Row],[Km Saída]]</f>
        <v>38</v>
      </c>
      <c r="Q489" s="4">
        <v>116</v>
      </c>
      <c r="R489" s="4">
        <v>9</v>
      </c>
      <c r="S489" s="4">
        <v>9</v>
      </c>
      <c r="T489" s="12">
        <f>Tabela32[[#This Row],[Entregas]]-Tabela32[[#This Row],[Realizadas]]</f>
        <v>0</v>
      </c>
      <c r="U489" s="18">
        <f>Tabela32[[#This Row],[Realizadas]]/Tabela32[[#This Row],[Entregas]]</f>
        <v>1</v>
      </c>
      <c r="V489" s="19" t="str">
        <f>IF(Tabela32[[#This Row],[% Entrega]]&gt;=96%,"Atendeu a Meta","Não Atendeu a Meta")</f>
        <v>Atendeu a Meta</v>
      </c>
      <c r="W489" s="4" t="s">
        <v>43</v>
      </c>
      <c r="X489" s="4">
        <v>0</v>
      </c>
      <c r="Y489" s="5">
        <v>38</v>
      </c>
    </row>
    <row r="490" spans="1:25" x14ac:dyDescent="0.25">
      <c r="A490" s="8">
        <v>46302</v>
      </c>
      <c r="B490" s="16">
        <f>YEAR(Tabela32[[#This Row],[Data]])</f>
        <v>2026</v>
      </c>
      <c r="C490" s="16">
        <f>MONTH(Tabela32[[#This Row],[Data]])</f>
        <v>10</v>
      </c>
      <c r="D490" s="4" t="s">
        <v>33</v>
      </c>
      <c r="E490" s="4">
        <v>1</v>
      </c>
      <c r="F490" s="4" t="str">
        <f>IFERROR(VLOOKUP(Tabela32[[#This Row],[Placa]],Planilha2!$A$1:$B$12,2,0),"")</f>
        <v>Paulo</v>
      </c>
      <c r="G490" s="10">
        <v>2365.94</v>
      </c>
      <c r="H490" s="10">
        <v>79712.88</v>
      </c>
      <c r="I490" s="4">
        <v>147</v>
      </c>
      <c r="J490" s="17">
        <f>IFERROR(Tabela32[[#This Row],[Valor Frete]]/Tabela32[[#This Row],[Valor Mercadoria]],"")</f>
        <v>2.9680774298958962E-2</v>
      </c>
      <c r="K490" s="11">
        <v>0.3125</v>
      </c>
      <c r="L490" s="15">
        <v>0.46319444444444446</v>
      </c>
      <c r="M490" s="15">
        <f>Tabela32[[#This Row],[Hr Chegada]]-Tabela32[[#This Row],[Hr Saida]]</f>
        <v>0.15069444444444446</v>
      </c>
      <c r="N490" s="4">
        <v>156744</v>
      </c>
      <c r="O490" s="4">
        <v>156775</v>
      </c>
      <c r="P490" s="4">
        <f>Tabela32[[#This Row],[Km Chegada]]-Tabela32[[#This Row],[Km Saída]]</f>
        <v>31</v>
      </c>
      <c r="Q490" s="4">
        <v>79</v>
      </c>
      <c r="R490" s="4">
        <v>4</v>
      </c>
      <c r="S490" s="4">
        <v>4</v>
      </c>
      <c r="T490" s="12">
        <f>Tabela32[[#This Row],[Entregas]]-Tabela32[[#This Row],[Realizadas]]</f>
        <v>0</v>
      </c>
      <c r="U490" s="18">
        <f>Tabela32[[#This Row],[Realizadas]]/Tabela32[[#This Row],[Entregas]]</f>
        <v>1</v>
      </c>
      <c r="V490" s="19" t="str">
        <f>IF(Tabela32[[#This Row],[% Entrega]]&gt;=96%,"Atendeu a Meta","Não Atendeu a Meta")</f>
        <v>Atendeu a Meta</v>
      </c>
      <c r="W490" s="4" t="s">
        <v>40</v>
      </c>
      <c r="X490" s="4">
        <v>0</v>
      </c>
      <c r="Y490" s="5">
        <v>0</v>
      </c>
    </row>
    <row r="491" spans="1:25" x14ac:dyDescent="0.25">
      <c r="A491" s="8">
        <v>46302</v>
      </c>
      <c r="B491" s="16">
        <f>YEAR(Tabela32[[#This Row],[Data]])</f>
        <v>2026</v>
      </c>
      <c r="C491" s="16">
        <f>MONTH(Tabela32[[#This Row],[Data]])</f>
        <v>10</v>
      </c>
      <c r="D491" s="4" t="s">
        <v>37</v>
      </c>
      <c r="E491" s="4">
        <v>1</v>
      </c>
      <c r="F491" s="4" t="str">
        <f>IFERROR(VLOOKUP(Tabela32[[#This Row],[Placa]],Planilha2!$A$1:$B$12,2,0),"")</f>
        <v>Manoel</v>
      </c>
      <c r="G491" s="10">
        <v>167.72</v>
      </c>
      <c r="H491" s="10">
        <v>7965.96</v>
      </c>
      <c r="I491" s="4">
        <v>3</v>
      </c>
      <c r="J491" s="17">
        <f>IFERROR(Tabela32[[#This Row],[Valor Frete]]/Tabela32[[#This Row],[Valor Mercadoria]],"")</f>
        <v>2.1054587268828865E-2</v>
      </c>
      <c r="K491" s="11">
        <v>0.33333333333333331</v>
      </c>
      <c r="L491" s="15">
        <v>0.35416666666666669</v>
      </c>
      <c r="M491" s="15">
        <f>Tabela32[[#This Row],[Hr Chegada]]-Tabela32[[#This Row],[Hr Saida]]</f>
        <v>2.083333333333337E-2</v>
      </c>
      <c r="N491" s="4">
        <v>13146</v>
      </c>
      <c r="O491" s="4">
        <v>13147</v>
      </c>
      <c r="P491" s="4">
        <f>Tabela32[[#This Row],[Km Chegada]]-Tabela32[[#This Row],[Km Saída]]</f>
        <v>1</v>
      </c>
      <c r="Q491" s="4">
        <v>5</v>
      </c>
      <c r="R491" s="4">
        <v>1</v>
      </c>
      <c r="S491" s="4">
        <v>1</v>
      </c>
      <c r="T491" s="12">
        <f>Tabela32[[#This Row],[Entregas]]-Tabela32[[#This Row],[Realizadas]]</f>
        <v>0</v>
      </c>
      <c r="U491" s="18">
        <f>Tabela32[[#This Row],[Realizadas]]/Tabela32[[#This Row],[Entregas]]</f>
        <v>1</v>
      </c>
      <c r="V491" s="19" t="str">
        <f>IF(Tabela32[[#This Row],[% Entrega]]&gt;=96%,"Atendeu a Meta","Não Atendeu a Meta")</f>
        <v>Atendeu a Meta</v>
      </c>
      <c r="W491" s="4" t="s">
        <v>43</v>
      </c>
      <c r="X491" s="4">
        <v>0</v>
      </c>
      <c r="Y491" s="5">
        <v>0</v>
      </c>
    </row>
    <row r="492" spans="1:25" x14ac:dyDescent="0.25">
      <c r="A492" s="8">
        <v>46302</v>
      </c>
      <c r="B492" s="16">
        <f>YEAR(Tabela32[[#This Row],[Data]])</f>
        <v>2026</v>
      </c>
      <c r="C492" s="16">
        <f>MONTH(Tabela32[[#This Row],[Data]])</f>
        <v>10</v>
      </c>
      <c r="D492" s="4" t="s">
        <v>27</v>
      </c>
      <c r="E492" s="4">
        <v>1</v>
      </c>
      <c r="F492" s="4" t="str">
        <f>IFERROR(VLOOKUP(Tabela32[[#This Row],[Placa]],Planilha2!$A$1:$B$12,2,0),"")</f>
        <v>Rosinaldo</v>
      </c>
      <c r="G492" s="10">
        <v>3470.09</v>
      </c>
      <c r="H492" s="10">
        <v>47314.8</v>
      </c>
      <c r="I492" s="4">
        <v>709</v>
      </c>
      <c r="J492" s="17">
        <f>IFERROR(Tabela32[[#This Row],[Valor Frete]]/Tabela32[[#This Row],[Valor Mercadoria]],"")</f>
        <v>7.3340476975491814E-2</v>
      </c>
      <c r="K492" s="11">
        <v>0.29166666666666669</v>
      </c>
      <c r="L492" s="15">
        <v>0.49305555555555558</v>
      </c>
      <c r="M492" s="15">
        <f>Tabela32[[#This Row],[Hr Chegada]]-Tabela32[[#This Row],[Hr Saida]]</f>
        <v>0.2013888888888889</v>
      </c>
      <c r="N492" s="4">
        <v>292243</v>
      </c>
      <c r="O492" s="4">
        <v>292286</v>
      </c>
      <c r="P492" s="4">
        <f>Tabela32[[#This Row],[Km Chegada]]-Tabela32[[#This Row],[Km Saída]]</f>
        <v>43</v>
      </c>
      <c r="Q492" s="4">
        <v>1</v>
      </c>
      <c r="R492" s="4">
        <v>1</v>
      </c>
      <c r="S492" s="4">
        <v>1</v>
      </c>
      <c r="T492" s="12">
        <f>Tabela32[[#This Row],[Entregas]]-Tabela32[[#This Row],[Realizadas]]</f>
        <v>0</v>
      </c>
      <c r="U492" s="18">
        <f>Tabela32[[#This Row],[Realizadas]]/Tabela32[[#This Row],[Entregas]]</f>
        <v>1</v>
      </c>
      <c r="V492" s="19" t="str">
        <f>IF(Tabela32[[#This Row],[% Entrega]]&gt;=96%,"Atendeu a Meta","Não Atendeu a Meta")</f>
        <v>Atendeu a Meta</v>
      </c>
      <c r="W492" s="4" t="s">
        <v>40</v>
      </c>
      <c r="X492" s="4">
        <v>0</v>
      </c>
      <c r="Y492" s="5">
        <v>0</v>
      </c>
    </row>
    <row r="493" spans="1:25" x14ac:dyDescent="0.25">
      <c r="A493" s="8">
        <v>46302</v>
      </c>
      <c r="B493" s="16">
        <f>YEAR(Tabela32[[#This Row],[Data]])</f>
        <v>2026</v>
      </c>
      <c r="C493" s="16">
        <f>MONTH(Tabela32[[#This Row],[Data]])</f>
        <v>10</v>
      </c>
      <c r="D493" s="4" t="s">
        <v>28</v>
      </c>
      <c r="E493" s="4">
        <v>11</v>
      </c>
      <c r="F493" s="4" t="str">
        <f>IFERROR(VLOOKUP(Tabela32[[#This Row],[Placa]],Planilha2!$A$1:$B$12,2,0),"")</f>
        <v>Edilson</v>
      </c>
      <c r="G493" s="10">
        <v>10067.5</v>
      </c>
      <c r="H493" s="10">
        <v>190558.92</v>
      </c>
      <c r="I493" s="4">
        <v>1778</v>
      </c>
      <c r="J493" s="17">
        <f>IFERROR(Tabela32[[#This Row],[Valor Frete]]/Tabela32[[#This Row],[Valor Mercadoria]],"")</f>
        <v>5.2831428725561624E-2</v>
      </c>
      <c r="K493" s="11">
        <v>0.27083333333333331</v>
      </c>
      <c r="L493" s="15">
        <v>0.7270833333333333</v>
      </c>
      <c r="M493" s="15">
        <f>Tabela32[[#This Row],[Hr Chegada]]-Tabela32[[#This Row],[Hr Saida]]</f>
        <v>0.45624999999999999</v>
      </c>
      <c r="N493" s="4">
        <v>106739</v>
      </c>
      <c r="O493" s="4">
        <v>106901</v>
      </c>
      <c r="P493" s="4">
        <f>Tabela32[[#This Row],[Km Chegada]]-Tabela32[[#This Row],[Km Saída]]</f>
        <v>162</v>
      </c>
      <c r="Q493" s="4">
        <v>365</v>
      </c>
      <c r="R493" s="4">
        <v>21</v>
      </c>
      <c r="S493" s="4">
        <v>21</v>
      </c>
      <c r="T493" s="12">
        <f>Tabela32[[#This Row],[Entregas]]-Tabela32[[#This Row],[Realizadas]]</f>
        <v>0</v>
      </c>
      <c r="U493" s="18">
        <f>Tabela32[[#This Row],[Realizadas]]/Tabela32[[#This Row],[Entregas]]</f>
        <v>1</v>
      </c>
      <c r="V493" s="19" t="str">
        <f>IF(Tabela32[[#This Row],[% Entrega]]&gt;=96%,"Atendeu a Meta","Não Atendeu a Meta")</f>
        <v>Atendeu a Meta</v>
      </c>
      <c r="W493" s="4" t="s">
        <v>41</v>
      </c>
      <c r="X493" s="4">
        <v>0</v>
      </c>
      <c r="Y493" s="5">
        <v>0</v>
      </c>
    </row>
    <row r="494" spans="1:25" x14ac:dyDescent="0.25">
      <c r="A494" s="8">
        <v>46302</v>
      </c>
      <c r="B494" s="16">
        <f>YEAR(Tabela32[[#This Row],[Data]])</f>
        <v>2026</v>
      </c>
      <c r="C494" s="16">
        <f>MONTH(Tabela32[[#This Row],[Data]])</f>
        <v>10</v>
      </c>
      <c r="D494" s="4" t="s">
        <v>22</v>
      </c>
      <c r="E494" s="4">
        <v>5</v>
      </c>
      <c r="F494" s="4" t="str">
        <f>IFERROR(VLOOKUP(Tabela32[[#This Row],[Placa]],Planilha2!$A$1:$B$12,2,0),"")</f>
        <v>Wesley</v>
      </c>
      <c r="G494" s="10">
        <v>6011.95</v>
      </c>
      <c r="H494" s="10">
        <v>83304.95</v>
      </c>
      <c r="I494" s="4">
        <v>1129</v>
      </c>
      <c r="J494" s="17">
        <f>IFERROR(Tabela32[[#This Row],[Valor Frete]]/Tabela32[[#This Row],[Valor Mercadoria]],"")</f>
        <v>7.2167980414129057E-2</v>
      </c>
      <c r="K494" s="11">
        <v>0.3125</v>
      </c>
      <c r="L494" s="15">
        <v>0.77430555555555558</v>
      </c>
      <c r="M494" s="15">
        <f>Tabela32[[#This Row],[Hr Chegada]]-Tabela32[[#This Row],[Hr Saida]]</f>
        <v>0.46180555555555558</v>
      </c>
      <c r="N494" s="4">
        <v>305983</v>
      </c>
      <c r="O494" s="4">
        <v>306071</v>
      </c>
      <c r="P494" s="4">
        <f>Tabela32[[#This Row],[Km Chegada]]-Tabela32[[#This Row],[Km Saída]]</f>
        <v>88</v>
      </c>
      <c r="Q494" s="4">
        <v>122</v>
      </c>
      <c r="R494" s="4">
        <v>24</v>
      </c>
      <c r="S494" s="4">
        <v>24</v>
      </c>
      <c r="T494" s="12">
        <f>Tabela32[[#This Row],[Entregas]]-Tabela32[[#This Row],[Realizadas]]</f>
        <v>0</v>
      </c>
      <c r="U494" s="18">
        <f>Tabela32[[#This Row],[Realizadas]]/Tabela32[[#This Row],[Entregas]]</f>
        <v>1</v>
      </c>
      <c r="V494" s="19" t="str">
        <f>IF(Tabela32[[#This Row],[% Entrega]]&gt;=96%,"Atendeu a Meta","Não Atendeu a Meta")</f>
        <v>Atendeu a Meta</v>
      </c>
      <c r="W494" s="4" t="s">
        <v>39</v>
      </c>
      <c r="X494" s="4">
        <v>0</v>
      </c>
      <c r="Y494" s="5">
        <v>0</v>
      </c>
    </row>
    <row r="495" spans="1:25" x14ac:dyDescent="0.25">
      <c r="A495" s="8">
        <v>46302</v>
      </c>
      <c r="B495" s="16">
        <f>YEAR(Tabela32[[#This Row],[Data]])</f>
        <v>2026</v>
      </c>
      <c r="C495" s="16">
        <f>MONTH(Tabela32[[#This Row],[Data]])</f>
        <v>10</v>
      </c>
      <c r="D495" s="4" t="s">
        <v>23</v>
      </c>
      <c r="E495" s="4">
        <v>3</v>
      </c>
      <c r="F495" s="4" t="str">
        <f>IFERROR(VLOOKUP(Tabela32[[#This Row],[Placa]],Planilha2!$A$1:$B$12,2,0),"")</f>
        <v>William</v>
      </c>
      <c r="G495" s="10">
        <v>10067.5</v>
      </c>
      <c r="H495" s="10">
        <v>190558.92</v>
      </c>
      <c r="I495" s="4">
        <v>1778</v>
      </c>
      <c r="J495" s="17">
        <f>IFERROR(Tabela32[[#This Row],[Valor Frete]]/Tabela32[[#This Row],[Valor Mercadoria]],"")</f>
        <v>5.2831428725561624E-2</v>
      </c>
      <c r="K495" s="11">
        <v>0.29166666666666669</v>
      </c>
      <c r="L495" s="15">
        <v>0.80763888888888891</v>
      </c>
      <c r="M495" s="15">
        <f>Tabela32[[#This Row],[Hr Chegada]]-Tabela32[[#This Row],[Hr Saida]]</f>
        <v>0.51597222222222228</v>
      </c>
      <c r="N495" s="4">
        <v>126743</v>
      </c>
      <c r="O495" s="4">
        <v>126810</v>
      </c>
      <c r="P495" s="4">
        <f>Tabela32[[#This Row],[Km Chegada]]-Tabela32[[#This Row],[Km Saída]]</f>
        <v>67</v>
      </c>
      <c r="Q495" s="4">
        <v>365</v>
      </c>
      <c r="R495" s="4">
        <v>21</v>
      </c>
      <c r="S495" s="4">
        <v>21</v>
      </c>
      <c r="T495" s="12">
        <f>Tabela32[[#This Row],[Entregas]]-Tabela32[[#This Row],[Realizadas]]</f>
        <v>0</v>
      </c>
      <c r="U495" s="18">
        <f>Tabela32[[#This Row],[Realizadas]]/Tabela32[[#This Row],[Entregas]]</f>
        <v>1</v>
      </c>
      <c r="V495" s="19" t="str">
        <f>IF(Tabela32[[#This Row],[% Entrega]]&gt;=96%,"Atendeu a Meta","Não Atendeu a Meta")</f>
        <v>Atendeu a Meta</v>
      </c>
      <c r="W495" s="4" t="s">
        <v>41</v>
      </c>
      <c r="X495" s="4">
        <v>0</v>
      </c>
      <c r="Y495" s="5">
        <v>0</v>
      </c>
    </row>
    <row r="496" spans="1:25" x14ac:dyDescent="0.25">
      <c r="A496" s="8">
        <v>46302</v>
      </c>
      <c r="B496" s="16">
        <f>YEAR(Tabela32[[#This Row],[Data]])</f>
        <v>2026</v>
      </c>
      <c r="C496" s="16">
        <f>MONTH(Tabela32[[#This Row],[Data]])</f>
        <v>10</v>
      </c>
      <c r="D496" s="4" t="s">
        <v>27</v>
      </c>
      <c r="E496" s="4">
        <v>1</v>
      </c>
      <c r="F496" s="4" t="str">
        <f>IFERROR(VLOOKUP(Tabela32[[#This Row],[Placa]],Planilha2!$A$1:$B$12,2,0),"")</f>
        <v>Rosinaldo</v>
      </c>
      <c r="G496" s="10">
        <v>729.95</v>
      </c>
      <c r="H496" s="10">
        <v>10884.6</v>
      </c>
      <c r="I496" s="4">
        <v>132</v>
      </c>
      <c r="J496" s="17">
        <f>IFERROR(Tabela32[[#This Row],[Valor Frete]]/Tabela32[[#This Row],[Valor Mercadoria]],"")</f>
        <v>6.7062638957793588E-2</v>
      </c>
      <c r="K496" s="11">
        <v>0.60416666666666663</v>
      </c>
      <c r="L496" s="15">
        <v>0.75</v>
      </c>
      <c r="M496" s="15">
        <f>Tabela32[[#This Row],[Hr Chegada]]-Tabela32[[#This Row],[Hr Saida]]</f>
        <v>0.14583333333333337</v>
      </c>
      <c r="N496" s="4">
        <v>292386</v>
      </c>
      <c r="O496" s="4">
        <v>292433</v>
      </c>
      <c r="P496" s="4">
        <f>Tabela32[[#This Row],[Km Chegada]]-Tabela32[[#This Row],[Km Saída]]</f>
        <v>47</v>
      </c>
      <c r="Q496" s="4">
        <v>29</v>
      </c>
      <c r="R496" s="4">
        <v>4</v>
      </c>
      <c r="S496" s="4">
        <v>4</v>
      </c>
      <c r="T496" s="12">
        <f>Tabela32[[#This Row],[Entregas]]-Tabela32[[#This Row],[Realizadas]]</f>
        <v>0</v>
      </c>
      <c r="U496" s="18">
        <f>Tabela32[[#This Row],[Realizadas]]/Tabela32[[#This Row],[Entregas]]</f>
        <v>1</v>
      </c>
      <c r="V496" s="19" t="str">
        <f>IF(Tabela32[[#This Row],[% Entrega]]&gt;=96%,"Atendeu a Meta","Não Atendeu a Meta")</f>
        <v>Atendeu a Meta</v>
      </c>
      <c r="W496" s="4" t="s">
        <v>43</v>
      </c>
      <c r="X496" s="4">
        <v>0</v>
      </c>
      <c r="Y496" s="5">
        <v>0</v>
      </c>
    </row>
    <row r="497" spans="1:25" x14ac:dyDescent="0.25">
      <c r="A497" s="8">
        <v>46302</v>
      </c>
      <c r="B497" s="16">
        <f>YEAR(Tabela32[[#This Row],[Data]])</f>
        <v>2026</v>
      </c>
      <c r="C497" s="16">
        <f>MONTH(Tabela32[[#This Row],[Data]])</f>
        <v>10</v>
      </c>
      <c r="D497" s="4" t="s">
        <v>29</v>
      </c>
      <c r="E497" s="4">
        <v>1</v>
      </c>
      <c r="F497" s="4" t="str">
        <f>IFERROR(VLOOKUP(Tabela32[[#This Row],[Placa]],Planilha2!$A$1:$B$12,2,0),"")</f>
        <v>Sandro</v>
      </c>
      <c r="G497" s="10">
        <v>10417.92</v>
      </c>
      <c r="H497" s="10">
        <v>311725.05</v>
      </c>
      <c r="I497" s="4">
        <v>2131</v>
      </c>
      <c r="J497" s="17">
        <f>IFERROR(Tabela32[[#This Row],[Valor Frete]]/Tabela32[[#This Row],[Valor Mercadoria]],"")</f>
        <v>3.3420220800349537E-2</v>
      </c>
      <c r="K497" s="11">
        <v>0.29166666666666669</v>
      </c>
      <c r="L497" s="15">
        <v>0.74375000000000002</v>
      </c>
      <c r="M497" s="15">
        <f>Tabela32[[#This Row],[Hr Chegada]]-Tabela32[[#This Row],[Hr Saida]]</f>
        <v>0.45208333333333334</v>
      </c>
      <c r="N497" s="4">
        <v>276772</v>
      </c>
      <c r="O497" s="4">
        <v>276802</v>
      </c>
      <c r="P497" s="4">
        <f>Tabela32[[#This Row],[Km Chegada]]-Tabela32[[#This Row],[Km Saída]]</f>
        <v>30</v>
      </c>
      <c r="Q497" s="4">
        <v>4</v>
      </c>
      <c r="R497" s="4">
        <v>2</v>
      </c>
      <c r="S497" s="4">
        <v>2</v>
      </c>
      <c r="T497" s="12">
        <f>Tabela32[[#This Row],[Entregas]]-Tabela32[[#This Row],[Realizadas]]</f>
        <v>0</v>
      </c>
      <c r="U497" s="18">
        <f>Tabela32[[#This Row],[Realizadas]]/Tabela32[[#This Row],[Entregas]]</f>
        <v>1</v>
      </c>
      <c r="V497" s="19" t="str">
        <f>IF(Tabela32[[#This Row],[% Entrega]]&gt;=96%,"Atendeu a Meta","Não Atendeu a Meta")</f>
        <v>Atendeu a Meta</v>
      </c>
      <c r="W497" s="4" t="s">
        <v>40</v>
      </c>
      <c r="X497" s="4">
        <v>0</v>
      </c>
      <c r="Y497" s="5">
        <v>0</v>
      </c>
    </row>
    <row r="498" spans="1:25" x14ac:dyDescent="0.25">
      <c r="A498" s="8">
        <v>46302</v>
      </c>
      <c r="B498" s="16">
        <f>YEAR(Tabela32[[#This Row],[Data]])</f>
        <v>2026</v>
      </c>
      <c r="C498" s="16">
        <f>MONTH(Tabela32[[#This Row],[Data]])</f>
        <v>10</v>
      </c>
      <c r="D498" s="4" t="s">
        <v>31</v>
      </c>
      <c r="E498" s="4">
        <v>2</v>
      </c>
      <c r="F498" s="4" t="str">
        <f>IFERROR(VLOOKUP(Tabela32[[#This Row],[Placa]],Planilha2!$A$1:$B$12,2,0),"")</f>
        <v>Jerson</v>
      </c>
      <c r="G498" s="10">
        <v>12598.62</v>
      </c>
      <c r="H498" s="10">
        <v>233879.14</v>
      </c>
      <c r="I498" s="4">
        <v>2926</v>
      </c>
      <c r="J498" s="17">
        <f>IFERROR(Tabela32[[#This Row],[Valor Frete]]/Tabela32[[#This Row],[Valor Mercadoria]],"")</f>
        <v>5.386807904287659E-2</v>
      </c>
      <c r="K498" s="11">
        <v>0.27430555555555558</v>
      </c>
      <c r="L498" s="15">
        <v>0.80208333333333337</v>
      </c>
      <c r="M498" s="15">
        <f>Tabela32[[#This Row],[Hr Chegada]]-Tabela32[[#This Row],[Hr Saida]]</f>
        <v>0.52777777777777779</v>
      </c>
      <c r="N498" s="4">
        <v>281896</v>
      </c>
      <c r="O498" s="4">
        <v>281963</v>
      </c>
      <c r="P498" s="4">
        <f>Tabela32[[#This Row],[Km Chegada]]-Tabela32[[#This Row],[Km Saída]]</f>
        <v>67</v>
      </c>
      <c r="Q498" s="4">
        <v>312</v>
      </c>
      <c r="R498" s="4">
        <v>42</v>
      </c>
      <c r="S498" s="4">
        <v>42</v>
      </c>
      <c r="T498" s="12">
        <f>Tabela32[[#This Row],[Entregas]]-Tabela32[[#This Row],[Realizadas]]</f>
        <v>0</v>
      </c>
      <c r="U498" s="18">
        <f>Tabela32[[#This Row],[Realizadas]]/Tabela32[[#This Row],[Entregas]]</f>
        <v>1</v>
      </c>
      <c r="V498" s="19" t="str">
        <f>IF(Tabela32[[#This Row],[% Entrega]]&gt;=96%,"Atendeu a Meta","Não Atendeu a Meta")</f>
        <v>Atendeu a Meta</v>
      </c>
      <c r="W498" s="4" t="s">
        <v>39</v>
      </c>
      <c r="X498" s="4">
        <v>0</v>
      </c>
      <c r="Y498" s="5">
        <v>0</v>
      </c>
    </row>
    <row r="499" spans="1:25" x14ac:dyDescent="0.25">
      <c r="A499" s="8">
        <v>46302</v>
      </c>
      <c r="B499" s="16">
        <f>YEAR(Tabela32[[#This Row],[Data]])</f>
        <v>2026</v>
      </c>
      <c r="C499" s="16">
        <f>MONTH(Tabela32[[#This Row],[Data]])</f>
        <v>10</v>
      </c>
      <c r="D499" s="4" t="s">
        <v>53</v>
      </c>
      <c r="E499" s="4">
        <v>1</v>
      </c>
      <c r="F499" s="4" t="str">
        <f>IFERROR(VLOOKUP(Tabela32[[#This Row],[Placa]],Planilha2!$A$1:$B$12,2,0),"")</f>
        <v>Arnaldo</v>
      </c>
      <c r="G499" s="10">
        <v>8325.74</v>
      </c>
      <c r="H499" s="10">
        <v>207414.54</v>
      </c>
      <c r="I499" s="4">
        <v>3398</v>
      </c>
      <c r="J499" s="17">
        <f>IFERROR(Tabela32[[#This Row],[Valor Frete]]/Tabela32[[#This Row],[Valor Mercadoria]],"")</f>
        <v>4.0140580308400751E-2</v>
      </c>
      <c r="K499" s="11">
        <v>0.5625</v>
      </c>
      <c r="L499" s="15">
        <v>0.84236111111111112</v>
      </c>
      <c r="M499" s="15">
        <f>Tabela32[[#This Row],[Hr Chegada]]-Tabela32[[#This Row],[Hr Saida]]</f>
        <v>0.27986111111111112</v>
      </c>
      <c r="N499" s="4">
        <v>14610</v>
      </c>
      <c r="O499" s="4">
        <v>14721</v>
      </c>
      <c r="P499" s="4">
        <f>Tabela32[[#This Row],[Km Chegada]]-Tabela32[[#This Row],[Km Saída]]</f>
        <v>111</v>
      </c>
      <c r="Q499" s="4">
        <v>730</v>
      </c>
      <c r="R499" s="4">
        <v>17</v>
      </c>
      <c r="S499" s="4">
        <v>17</v>
      </c>
      <c r="T499" s="12">
        <f>Tabela32[[#This Row],[Entregas]]-Tabela32[[#This Row],[Realizadas]]</f>
        <v>0</v>
      </c>
      <c r="U499" s="18">
        <f>Tabela32[[#This Row],[Realizadas]]/Tabela32[[#This Row],[Entregas]]</f>
        <v>1</v>
      </c>
      <c r="V499" s="19" t="str">
        <f>IF(Tabela32[[#This Row],[% Entrega]]&gt;=96%,"Atendeu a Meta","Não Atendeu a Meta")</f>
        <v>Atendeu a Meta</v>
      </c>
      <c r="W499" s="4" t="s">
        <v>39</v>
      </c>
      <c r="X499" s="4">
        <v>0</v>
      </c>
      <c r="Y499" s="5">
        <v>0</v>
      </c>
    </row>
    <row r="500" spans="1:25" x14ac:dyDescent="0.25">
      <c r="A500" s="8">
        <v>46302</v>
      </c>
      <c r="B500" s="16">
        <f>YEAR(Tabela32[[#This Row],[Data]])</f>
        <v>2026</v>
      </c>
      <c r="C500" s="16">
        <f>MONTH(Tabela32[[#This Row],[Data]])</f>
        <v>10</v>
      </c>
      <c r="D500" s="4" t="s">
        <v>35</v>
      </c>
      <c r="E500" s="4">
        <v>1</v>
      </c>
      <c r="F500" s="4" t="str">
        <f>IFERROR(VLOOKUP(Tabela32[[#This Row],[Placa]],Planilha2!$A$1:$B$12,2,0),"")</f>
        <v>Osvaldo</v>
      </c>
      <c r="G500" s="10">
        <v>2147.7199999999998</v>
      </c>
      <c r="H500" s="10">
        <v>35039.72</v>
      </c>
      <c r="I500" s="4">
        <v>369</v>
      </c>
      <c r="J500" s="17">
        <f>IFERROR(Tabela32[[#This Row],[Valor Frete]]/Tabela32[[#This Row],[Valor Mercadoria]],"")</f>
        <v>6.129386878662272E-2</v>
      </c>
      <c r="K500" s="11">
        <v>0.3125</v>
      </c>
      <c r="L500" s="15">
        <v>0.71250000000000002</v>
      </c>
      <c r="M500" s="15">
        <f>Tabela32[[#This Row],[Hr Chegada]]-Tabela32[[#This Row],[Hr Saida]]</f>
        <v>0.4</v>
      </c>
      <c r="N500" s="4">
        <v>144455</v>
      </c>
      <c r="O500" s="4">
        <v>144536</v>
      </c>
      <c r="P500" s="4">
        <f>Tabela32[[#This Row],[Km Chegada]]-Tabela32[[#This Row],[Km Saída]]</f>
        <v>81</v>
      </c>
      <c r="Q500" s="4">
        <v>92</v>
      </c>
      <c r="R500" s="4">
        <v>9</v>
      </c>
      <c r="S500" s="4">
        <v>9</v>
      </c>
      <c r="T500" s="12">
        <f>Tabela32[[#This Row],[Entregas]]-Tabela32[[#This Row],[Realizadas]]</f>
        <v>0</v>
      </c>
      <c r="U500" s="18">
        <f>Tabela32[[#This Row],[Realizadas]]/Tabela32[[#This Row],[Entregas]]</f>
        <v>1</v>
      </c>
      <c r="V500" s="19" t="str">
        <f>IF(Tabela32[[#This Row],[% Entrega]]&gt;=96%,"Atendeu a Meta","Não Atendeu a Meta")</f>
        <v>Atendeu a Meta</v>
      </c>
      <c r="W500" s="4" t="s">
        <v>43</v>
      </c>
      <c r="X500" s="4">
        <v>0</v>
      </c>
      <c r="Y500" s="5">
        <v>0</v>
      </c>
    </row>
    <row r="501" spans="1:25" x14ac:dyDescent="0.25">
      <c r="A501" s="8">
        <v>46302</v>
      </c>
      <c r="B501" s="16">
        <f>YEAR(Tabela32[[#This Row],[Data]])</f>
        <v>2026</v>
      </c>
      <c r="C501" s="16">
        <f>MONTH(Tabela32[[#This Row],[Data]])</f>
        <v>10</v>
      </c>
      <c r="D501" s="4" t="s">
        <v>33</v>
      </c>
      <c r="E501" s="4">
        <v>3</v>
      </c>
      <c r="F501" s="4" t="str">
        <f>IFERROR(VLOOKUP(Tabela32[[#This Row],[Placa]],Planilha2!$A$1:$B$12,2,0),"")</f>
        <v>Paulo</v>
      </c>
      <c r="G501" s="10">
        <v>2201.44</v>
      </c>
      <c r="H501" s="10">
        <v>44417.4</v>
      </c>
      <c r="I501" s="4">
        <v>373</v>
      </c>
      <c r="J501" s="17">
        <f>IFERROR(Tabela32[[#This Row],[Valor Frete]]/Tabela32[[#This Row],[Valor Mercadoria]],"")</f>
        <v>4.9562558817040171E-2</v>
      </c>
      <c r="K501" s="11">
        <v>0.47916666666666669</v>
      </c>
      <c r="L501" s="15">
        <v>0.71319444444444446</v>
      </c>
      <c r="M501" s="15">
        <f>Tabela32[[#This Row],[Hr Chegada]]-Tabela32[[#This Row],[Hr Saida]]</f>
        <v>0.23402777777777778</v>
      </c>
      <c r="N501" s="4">
        <v>156775</v>
      </c>
      <c r="O501" s="4">
        <v>156830</v>
      </c>
      <c r="P501" s="4">
        <f>Tabela32[[#This Row],[Km Chegada]]-Tabela32[[#This Row],[Km Saída]]</f>
        <v>55</v>
      </c>
      <c r="Q501" s="4">
        <v>54</v>
      </c>
      <c r="R501" s="4">
        <v>14</v>
      </c>
      <c r="S501" s="4">
        <v>14</v>
      </c>
      <c r="T501" s="12">
        <f>Tabela32[[#This Row],[Entregas]]-Tabela32[[#This Row],[Realizadas]]</f>
        <v>0</v>
      </c>
      <c r="U501" s="18">
        <f>Tabela32[[#This Row],[Realizadas]]/Tabela32[[#This Row],[Entregas]]</f>
        <v>1</v>
      </c>
      <c r="V501" s="19" t="str">
        <f>IF(Tabela32[[#This Row],[% Entrega]]&gt;=96%,"Atendeu a Meta","Não Atendeu a Meta")</f>
        <v>Atendeu a Meta</v>
      </c>
      <c r="W501" s="4" t="s">
        <v>39</v>
      </c>
      <c r="X501" s="4">
        <v>0</v>
      </c>
      <c r="Y501" s="5">
        <v>0</v>
      </c>
    </row>
    <row r="502" spans="1:25" x14ac:dyDescent="0.25">
      <c r="A502" s="8">
        <v>46303</v>
      </c>
      <c r="B502" s="26">
        <f>YEAR(Tabela32[[#This Row],[Data]])</f>
        <v>2026</v>
      </c>
      <c r="C502" s="26">
        <f>MONTH(Tabela32[[#This Row],[Data]])</f>
        <v>10</v>
      </c>
      <c r="D502" s="4" t="s">
        <v>36</v>
      </c>
      <c r="E502" s="4">
        <v>5</v>
      </c>
      <c r="F502" s="4" t="str">
        <f>IFERROR(VLOOKUP(Tabela32[[#This Row],[Placa]],Planilha2!$A$1:$B$12,2,0),"")</f>
        <v>Heremilton</v>
      </c>
      <c r="G502" s="10">
        <v>54917.27</v>
      </c>
      <c r="H502" s="10">
        <v>795207.48</v>
      </c>
      <c r="I502" s="4">
        <v>9760</v>
      </c>
      <c r="J502" s="17">
        <f>IFERROR(Tabela32[[#This Row],[Valor Frete]]/Tabela32[[#This Row],[Valor Mercadoria]],"")</f>
        <v>6.9060303607808113E-2</v>
      </c>
      <c r="K502" s="11">
        <v>0.27986111111111112</v>
      </c>
      <c r="L502" s="15">
        <v>0.83333333333333337</v>
      </c>
      <c r="M502" s="15">
        <f>Tabela32[[#This Row],[Hr Chegada]]-Tabela32[[#This Row],[Hr Saida]]</f>
        <v>0.55347222222222225</v>
      </c>
      <c r="N502" s="4">
        <v>368062</v>
      </c>
      <c r="O502" s="4">
        <v>368100</v>
      </c>
      <c r="P502" s="4">
        <f>Tabela32[[#This Row],[Km Chegada]]-Tabela32[[#This Row],[Km Saída]]</f>
        <v>38</v>
      </c>
      <c r="Q502" s="4">
        <v>1948</v>
      </c>
      <c r="R502" s="4">
        <v>34</v>
      </c>
      <c r="S502" s="4">
        <v>34</v>
      </c>
      <c r="T502" s="12">
        <f>Tabela32[[#This Row],[Entregas]]-Tabela32[[#This Row],[Realizadas]]</f>
        <v>0</v>
      </c>
      <c r="U502" s="18">
        <f>Tabela32[[#This Row],[Realizadas]]/Tabela32[[#This Row],[Entregas]]</f>
        <v>1</v>
      </c>
      <c r="V502" s="19" t="str">
        <f>IF(Tabela32[[#This Row],[% Entrega]]&gt;=96%,"Atendeu a Meta","Não Atendeu a Meta")</f>
        <v>Atendeu a Meta</v>
      </c>
      <c r="W502" s="4" t="s">
        <v>39</v>
      </c>
      <c r="X502" s="4">
        <v>0</v>
      </c>
      <c r="Y502" s="5">
        <v>0</v>
      </c>
    </row>
    <row r="503" spans="1:25" x14ac:dyDescent="0.25">
      <c r="A503" s="8">
        <v>46303</v>
      </c>
      <c r="B503" s="26">
        <f>YEAR(Tabela32[[#This Row],[Data]])</f>
        <v>2026</v>
      </c>
      <c r="C503" s="26">
        <f>MONTH(Tabela32[[#This Row],[Data]])</f>
        <v>10</v>
      </c>
      <c r="D503" s="4" t="s">
        <v>28</v>
      </c>
      <c r="E503" s="4">
        <v>11</v>
      </c>
      <c r="F503" s="4" t="str">
        <f>IFERROR(VLOOKUP(Tabela32[[#This Row],[Placa]],Planilha2!$A$1:$B$12,2,0),"")</f>
        <v>Edilson</v>
      </c>
      <c r="G503" s="10">
        <v>12215.24</v>
      </c>
      <c r="H503" s="10">
        <v>320378.76</v>
      </c>
      <c r="I503" s="4">
        <v>5773</v>
      </c>
      <c r="J503" s="17">
        <f>IFERROR(Tabela32[[#This Row],[Valor Frete]]/Tabela32[[#This Row],[Valor Mercadoria]],"")</f>
        <v>3.8127496342142034E-2</v>
      </c>
      <c r="K503" s="11">
        <v>0.27083333333333331</v>
      </c>
      <c r="L503" s="15">
        <v>0.70833333333333337</v>
      </c>
      <c r="M503" s="15">
        <f>Tabela32[[#This Row],[Hr Chegada]]-Tabela32[[#This Row],[Hr Saida]]</f>
        <v>0.43750000000000006</v>
      </c>
      <c r="N503" s="4">
        <v>106902</v>
      </c>
      <c r="O503" s="4">
        <v>107024</v>
      </c>
      <c r="P503" s="4">
        <f>Tabela32[[#This Row],[Km Chegada]]-Tabela32[[#This Row],[Km Saída]]</f>
        <v>122</v>
      </c>
      <c r="Q503" s="4">
        <v>12</v>
      </c>
      <c r="R503" s="4">
        <v>2</v>
      </c>
      <c r="S503" s="4">
        <v>2</v>
      </c>
      <c r="T503" s="12">
        <f>Tabela32[[#This Row],[Entregas]]-Tabela32[[#This Row],[Realizadas]]</f>
        <v>0</v>
      </c>
      <c r="U503" s="18">
        <f>Tabela32[[#This Row],[Realizadas]]/Tabela32[[#This Row],[Entregas]]</f>
        <v>1</v>
      </c>
      <c r="V503" s="19" t="str">
        <f>IF(Tabela32[[#This Row],[% Entrega]]&gt;=96%,"Atendeu a Meta","Não Atendeu a Meta")</f>
        <v>Atendeu a Meta</v>
      </c>
      <c r="W503" s="4" t="s">
        <v>41</v>
      </c>
      <c r="X503" s="4">
        <v>0</v>
      </c>
      <c r="Y503" s="5">
        <v>0</v>
      </c>
    </row>
    <row r="504" spans="1:25" x14ac:dyDescent="0.25">
      <c r="A504" s="8">
        <v>46303</v>
      </c>
      <c r="B504" s="26">
        <f>YEAR(Tabela32[[#This Row],[Data]])</f>
        <v>2026</v>
      </c>
      <c r="C504" s="26">
        <f>MONTH(Tabela32[[#This Row],[Data]])</f>
        <v>10</v>
      </c>
      <c r="D504" s="4" t="s">
        <v>53</v>
      </c>
      <c r="E504" s="4">
        <v>1</v>
      </c>
      <c r="F504" s="4" t="str">
        <f>IFERROR(VLOOKUP(Tabela32[[#This Row],[Placa]],Planilha2!$A$1:$B$12,2,0),"")</f>
        <v>Arnaldo</v>
      </c>
      <c r="G504" s="10">
        <v>14427.01</v>
      </c>
      <c r="H504" s="10">
        <v>287130.32</v>
      </c>
      <c r="I504" s="4">
        <v>4484</v>
      </c>
      <c r="J504" s="17">
        <f>IFERROR(Tabela32[[#This Row],[Valor Frete]]/Tabela32[[#This Row],[Valor Mercadoria]],"")</f>
        <v>5.0245512212015786E-2</v>
      </c>
      <c r="K504" s="11">
        <v>0.31944444444444442</v>
      </c>
      <c r="L504" s="15">
        <v>0.4861111111111111</v>
      </c>
      <c r="M504" s="15">
        <f>Tabela32[[#This Row],[Hr Chegada]]-Tabela32[[#This Row],[Hr Saida]]</f>
        <v>0.16666666666666669</v>
      </c>
      <c r="N504" s="4">
        <v>14722</v>
      </c>
      <c r="O504" s="4">
        <v>14745</v>
      </c>
      <c r="P504" s="4">
        <f>Tabela32[[#This Row],[Km Chegada]]-Tabela32[[#This Row],[Km Saída]]</f>
        <v>23</v>
      </c>
      <c r="Q504" s="4">
        <v>15</v>
      </c>
      <c r="R504" s="4">
        <v>2</v>
      </c>
      <c r="S504" s="4">
        <v>2</v>
      </c>
      <c r="T504" s="12">
        <f>Tabela32[[#This Row],[Entregas]]-Tabela32[[#This Row],[Realizadas]]</f>
        <v>0</v>
      </c>
      <c r="U504" s="18">
        <f>Tabela32[[#This Row],[Realizadas]]/Tabela32[[#This Row],[Entregas]]</f>
        <v>1</v>
      </c>
      <c r="V504" s="19" t="str">
        <f>IF(Tabela32[[#This Row],[% Entrega]]&gt;=96%,"Atendeu a Meta","Não Atendeu a Meta")</f>
        <v>Atendeu a Meta</v>
      </c>
      <c r="W504" s="4" t="s">
        <v>43</v>
      </c>
      <c r="X504" s="4">
        <v>0</v>
      </c>
      <c r="Y504" s="5">
        <v>38.380000000000003</v>
      </c>
    </row>
    <row r="505" spans="1:25" x14ac:dyDescent="0.25">
      <c r="A505" s="8">
        <v>46303</v>
      </c>
      <c r="B505" s="26">
        <f>YEAR(Tabela32[[#This Row],[Data]])</f>
        <v>2026</v>
      </c>
      <c r="C505" s="26">
        <f>MONTH(Tabela32[[#This Row],[Data]])</f>
        <v>10</v>
      </c>
      <c r="D505" s="4" t="s">
        <v>22</v>
      </c>
      <c r="E505" s="4">
        <v>5</v>
      </c>
      <c r="F505" s="4" t="str">
        <f>IFERROR(VLOOKUP(Tabela32[[#This Row],[Placa]],Planilha2!$A$1:$B$12,2,0),"")</f>
        <v>Wesley</v>
      </c>
      <c r="G505" s="10">
        <v>6355.51</v>
      </c>
      <c r="H505" s="10">
        <v>68977.039999999994</v>
      </c>
      <c r="I505" s="4">
        <v>754</v>
      </c>
      <c r="J505" s="17">
        <f>IFERROR(Tabela32[[#This Row],[Valor Frete]]/Tabela32[[#This Row],[Valor Mercadoria]],"")</f>
        <v>9.2139500332284491E-2</v>
      </c>
      <c r="K505" s="11">
        <v>0.3125</v>
      </c>
      <c r="L505" s="15">
        <v>0.77013888888888893</v>
      </c>
      <c r="M505" s="15">
        <f>Tabela32[[#This Row],[Hr Chegada]]-Tabela32[[#This Row],[Hr Saida]]</f>
        <v>0.45763888888888893</v>
      </c>
      <c r="N505" s="4">
        <v>306072</v>
      </c>
      <c r="O505" s="4">
        <v>306160</v>
      </c>
      <c r="P505" s="4">
        <f>Tabela32[[#This Row],[Km Chegada]]-Tabela32[[#This Row],[Km Saída]]</f>
        <v>88</v>
      </c>
      <c r="Q505" s="4">
        <v>165</v>
      </c>
      <c r="R505" s="4">
        <v>22</v>
      </c>
      <c r="S505" s="4">
        <v>22</v>
      </c>
      <c r="T505" s="12">
        <f>Tabela32[[#This Row],[Entregas]]-Tabela32[[#This Row],[Realizadas]]</f>
        <v>0</v>
      </c>
      <c r="U505" s="18">
        <f>Tabela32[[#This Row],[Realizadas]]/Tabela32[[#This Row],[Entregas]]</f>
        <v>1</v>
      </c>
      <c r="V505" s="19" t="str">
        <f>IF(Tabela32[[#This Row],[% Entrega]]&gt;=96%,"Atendeu a Meta","Não Atendeu a Meta")</f>
        <v>Atendeu a Meta</v>
      </c>
      <c r="W505" s="4" t="s">
        <v>39</v>
      </c>
      <c r="X505" s="4">
        <v>0</v>
      </c>
      <c r="Y505" s="5">
        <v>0</v>
      </c>
    </row>
    <row r="506" spans="1:25" x14ac:dyDescent="0.25">
      <c r="A506" s="8">
        <v>46303</v>
      </c>
      <c r="B506" s="26">
        <f>YEAR(Tabela32[[#This Row],[Data]])</f>
        <v>2026</v>
      </c>
      <c r="C506" s="26">
        <f>MONTH(Tabela32[[#This Row],[Data]])</f>
        <v>10</v>
      </c>
      <c r="D506" s="4" t="s">
        <v>29</v>
      </c>
      <c r="E506" s="4">
        <v>3</v>
      </c>
      <c r="F506" s="4" t="str">
        <f>IFERROR(VLOOKUP(Tabela32[[#This Row],[Placa]],Planilha2!$A$1:$B$12,2,0),"")</f>
        <v>Sandro</v>
      </c>
      <c r="G506" s="10">
        <v>4102.62</v>
      </c>
      <c r="H506" s="10">
        <v>113588.33</v>
      </c>
      <c r="I506" s="4">
        <v>609</v>
      </c>
      <c r="J506" s="17">
        <f>IFERROR(Tabela32[[#This Row],[Valor Frete]]/Tabela32[[#This Row],[Valor Mercadoria]],"")</f>
        <v>3.6118323070688685E-2</v>
      </c>
      <c r="K506" s="11">
        <v>0.29166666666666669</v>
      </c>
      <c r="L506" s="15">
        <v>0.72222222222222221</v>
      </c>
      <c r="M506" s="15">
        <f>Tabela32[[#This Row],[Hr Chegada]]-Tabela32[[#This Row],[Hr Saida]]</f>
        <v>0.43055555555555552</v>
      </c>
      <c r="N506" s="4">
        <v>276802</v>
      </c>
      <c r="O506" s="4">
        <v>276851</v>
      </c>
      <c r="P506" s="4">
        <f>Tabela32[[#This Row],[Km Chegada]]-Tabela32[[#This Row],[Km Saída]]</f>
        <v>49</v>
      </c>
      <c r="Q506" s="4">
        <v>136</v>
      </c>
      <c r="R506" s="4">
        <v>14</v>
      </c>
      <c r="S506" s="4">
        <v>14</v>
      </c>
      <c r="T506" s="12">
        <f>Tabela32[[#This Row],[Entregas]]-Tabela32[[#This Row],[Realizadas]]</f>
        <v>0</v>
      </c>
      <c r="U506" s="18">
        <f>Tabela32[[#This Row],[Realizadas]]/Tabela32[[#This Row],[Entregas]]</f>
        <v>1</v>
      </c>
      <c r="V506" s="19" t="str">
        <f>IF(Tabela32[[#This Row],[% Entrega]]&gt;=96%,"Atendeu a Meta","Não Atendeu a Meta")</f>
        <v>Atendeu a Meta</v>
      </c>
      <c r="W506" s="4" t="s">
        <v>39</v>
      </c>
      <c r="X506" s="4">
        <v>0</v>
      </c>
      <c r="Y506" s="5">
        <v>0</v>
      </c>
    </row>
    <row r="507" spans="1:25" x14ac:dyDescent="0.25">
      <c r="A507" s="8">
        <v>46303</v>
      </c>
      <c r="B507" s="26">
        <f>YEAR(Tabela32[[#This Row],[Data]])</f>
        <v>2026</v>
      </c>
      <c r="C507" s="26">
        <f>MONTH(Tabela32[[#This Row],[Data]])</f>
        <v>10</v>
      </c>
      <c r="D507" s="4" t="s">
        <v>27</v>
      </c>
      <c r="E507" s="4">
        <v>1</v>
      </c>
      <c r="F507" s="4" t="str">
        <f>IFERROR(VLOOKUP(Tabela32[[#This Row],[Placa]],Planilha2!$A$1:$B$12,2,0),"")</f>
        <v>Rosinaldo</v>
      </c>
      <c r="G507" s="10">
        <v>6839.32</v>
      </c>
      <c r="H507" s="10">
        <v>90468.19</v>
      </c>
      <c r="I507" s="4">
        <v>1530</v>
      </c>
      <c r="J507" s="17">
        <f>IFERROR(Tabela32[[#This Row],[Valor Frete]]/Tabela32[[#This Row],[Valor Mercadoria]],"")</f>
        <v>7.5599169166532448E-2</v>
      </c>
      <c r="K507" s="11">
        <v>0.3125</v>
      </c>
      <c r="L507" s="15">
        <v>0.69513888888888886</v>
      </c>
      <c r="M507" s="15">
        <f>Tabela32[[#This Row],[Hr Chegada]]-Tabela32[[#This Row],[Hr Saida]]</f>
        <v>0.38263888888888886</v>
      </c>
      <c r="N507" s="4">
        <v>292433</v>
      </c>
      <c r="O507" s="4">
        <v>292474</v>
      </c>
      <c r="P507" s="4">
        <f>Tabela32[[#This Row],[Km Chegada]]-Tabela32[[#This Row],[Km Saída]]</f>
        <v>41</v>
      </c>
      <c r="Q507" s="4">
        <v>125</v>
      </c>
      <c r="R507" s="4">
        <v>18</v>
      </c>
      <c r="S507" s="4">
        <v>18</v>
      </c>
      <c r="T507" s="12">
        <f>Tabela32[[#This Row],[Entregas]]-Tabela32[[#This Row],[Realizadas]]</f>
        <v>0</v>
      </c>
      <c r="U507" s="18">
        <f>Tabela32[[#This Row],[Realizadas]]/Tabela32[[#This Row],[Entregas]]</f>
        <v>1</v>
      </c>
      <c r="V507" s="19" t="str">
        <f>IF(Tabela32[[#This Row],[% Entrega]]&gt;=96%,"Atendeu a Meta","Não Atendeu a Meta")</f>
        <v>Atendeu a Meta</v>
      </c>
      <c r="W507" s="4" t="s">
        <v>43</v>
      </c>
      <c r="X507" s="4">
        <v>0</v>
      </c>
      <c r="Y507" s="5">
        <v>0</v>
      </c>
    </row>
    <row r="508" spans="1:25" x14ac:dyDescent="0.25">
      <c r="A508" s="8">
        <v>46303</v>
      </c>
      <c r="B508" s="26">
        <f>YEAR(Tabela32[[#This Row],[Data]])</f>
        <v>2026</v>
      </c>
      <c r="C508" s="26">
        <f>MONTH(Tabela32[[#This Row],[Data]])</f>
        <v>10</v>
      </c>
      <c r="D508" s="4" t="s">
        <v>35</v>
      </c>
      <c r="E508" s="4">
        <v>11</v>
      </c>
      <c r="F508" s="4" t="str">
        <f>IFERROR(VLOOKUP(Tabela32[[#This Row],[Placa]],Planilha2!$A$1:$B$12,2,0),"")</f>
        <v>Osvaldo</v>
      </c>
      <c r="G508" s="10">
        <v>12692.21</v>
      </c>
      <c r="H508" s="10">
        <v>202839.55</v>
      </c>
      <c r="I508" s="4">
        <v>1938</v>
      </c>
      <c r="J508" s="17">
        <f>IFERROR(Tabela32[[#This Row],[Valor Frete]]/Tabela32[[#This Row],[Valor Mercadoria]],"")</f>
        <v>6.2572659030253219E-2</v>
      </c>
      <c r="K508" s="11">
        <v>0.27777777777777779</v>
      </c>
      <c r="L508" s="15">
        <v>0.74444444444444446</v>
      </c>
      <c r="M508" s="15">
        <f>Tabela32[[#This Row],[Hr Chegada]]-Tabela32[[#This Row],[Hr Saida]]</f>
        <v>0.46666666666666667</v>
      </c>
      <c r="N508" s="4">
        <v>144536</v>
      </c>
      <c r="O508" s="4">
        <v>144677</v>
      </c>
      <c r="P508" s="4">
        <f>Tabela32[[#This Row],[Km Chegada]]-Tabela32[[#This Row],[Km Saída]]</f>
        <v>141</v>
      </c>
      <c r="Q508" s="4">
        <v>325</v>
      </c>
      <c r="R508" s="4">
        <v>34</v>
      </c>
      <c r="S508" s="4">
        <v>34</v>
      </c>
      <c r="T508" s="12">
        <f>Tabela32[[#This Row],[Entregas]]-Tabela32[[#This Row],[Realizadas]]</f>
        <v>0</v>
      </c>
      <c r="U508" s="18">
        <f>Tabela32[[#This Row],[Realizadas]]/Tabela32[[#This Row],[Entregas]]</f>
        <v>1</v>
      </c>
      <c r="V508" s="19" t="str">
        <f>IF(Tabela32[[#This Row],[% Entrega]]&gt;=96%,"Atendeu a Meta","Não Atendeu a Meta")</f>
        <v>Atendeu a Meta</v>
      </c>
      <c r="W508" s="4" t="s">
        <v>41</v>
      </c>
      <c r="X508" s="4">
        <v>0</v>
      </c>
      <c r="Y508" s="5">
        <v>38.380000000000003</v>
      </c>
    </row>
    <row r="509" spans="1:25" x14ac:dyDescent="0.25">
      <c r="A509" s="8">
        <v>46303</v>
      </c>
      <c r="B509" s="26">
        <f>YEAR(Tabela32[[#This Row],[Data]])</f>
        <v>2026</v>
      </c>
      <c r="C509" s="26">
        <f>MONTH(Tabela32[[#This Row],[Data]])</f>
        <v>10</v>
      </c>
      <c r="D509" s="4" t="s">
        <v>23</v>
      </c>
      <c r="E509" s="4">
        <v>3</v>
      </c>
      <c r="F509" s="4" t="str">
        <f>IFERROR(VLOOKUP(Tabela32[[#This Row],[Placa]],Planilha2!$A$1:$B$12,2,0),"")</f>
        <v>William</v>
      </c>
      <c r="G509" s="10">
        <v>5759.81</v>
      </c>
      <c r="H509" s="10">
        <v>111313.76</v>
      </c>
      <c r="I509" s="4">
        <v>795</v>
      </c>
      <c r="J509" s="17">
        <f>IFERROR(Tabela32[[#This Row],[Valor Frete]]/Tabela32[[#This Row],[Valor Mercadoria]],"")</f>
        <v>5.174391737373709E-2</v>
      </c>
      <c r="K509" s="11">
        <v>0.3125</v>
      </c>
      <c r="L509" s="15">
        <v>0.70833333333333337</v>
      </c>
      <c r="M509" s="15">
        <f>Tabela32[[#This Row],[Hr Chegada]]-Tabela32[[#This Row],[Hr Saida]]</f>
        <v>0.39583333333333337</v>
      </c>
      <c r="N509" s="4">
        <v>126810</v>
      </c>
      <c r="O509" s="4">
        <v>126860</v>
      </c>
      <c r="P509" s="4">
        <f>Tabela32[[#This Row],[Km Chegada]]-Tabela32[[#This Row],[Km Saída]]</f>
        <v>50</v>
      </c>
      <c r="Q509" s="4">
        <v>104</v>
      </c>
      <c r="R509" s="4">
        <v>17</v>
      </c>
      <c r="S509" s="4">
        <v>17</v>
      </c>
      <c r="T509" s="12">
        <f>Tabela32[[#This Row],[Entregas]]-Tabela32[[#This Row],[Realizadas]]</f>
        <v>0</v>
      </c>
      <c r="U509" s="18">
        <f>Tabela32[[#This Row],[Realizadas]]/Tabela32[[#This Row],[Entregas]]</f>
        <v>1</v>
      </c>
      <c r="V509" s="19" t="str">
        <f>IF(Tabela32[[#This Row],[% Entrega]]&gt;=96%,"Atendeu a Meta","Não Atendeu a Meta")</f>
        <v>Atendeu a Meta</v>
      </c>
      <c r="W509" s="4" t="s">
        <v>39</v>
      </c>
      <c r="X509" s="4">
        <v>0</v>
      </c>
      <c r="Y509" s="5">
        <v>0</v>
      </c>
    </row>
    <row r="510" spans="1:25" x14ac:dyDescent="0.25">
      <c r="A510" s="8">
        <v>46303</v>
      </c>
      <c r="B510" s="26">
        <f>YEAR(Tabela32[[#This Row],[Data]])</f>
        <v>2026</v>
      </c>
      <c r="C510" s="26">
        <f>MONTH(Tabela32[[#This Row],[Data]])</f>
        <v>10</v>
      </c>
      <c r="D510" s="4" t="s">
        <v>33</v>
      </c>
      <c r="E510" s="4">
        <v>1</v>
      </c>
      <c r="F510" s="4" t="str">
        <f>IFERROR(VLOOKUP(Tabela32[[#This Row],[Placa]],Planilha2!$A$1:$B$12,2,0),"")</f>
        <v>Paulo</v>
      </c>
      <c r="G510" s="10">
        <v>3075.28</v>
      </c>
      <c r="H510" s="10">
        <v>41356.01</v>
      </c>
      <c r="I510" s="4">
        <v>620</v>
      </c>
      <c r="J510" s="17">
        <f>IFERROR(Tabela32[[#This Row],[Valor Frete]]/Tabela32[[#This Row],[Valor Mercadoria]],"")</f>
        <v>7.4361138804251187E-2</v>
      </c>
      <c r="K510" s="11">
        <v>0.33333333333333331</v>
      </c>
      <c r="L510" s="15">
        <v>0.71944444444444444</v>
      </c>
      <c r="M510" s="15">
        <f>Tabela32[[#This Row],[Hr Chegada]]-Tabela32[[#This Row],[Hr Saida]]</f>
        <v>0.38611111111111113</v>
      </c>
      <c r="N510" s="4">
        <v>156830</v>
      </c>
      <c r="O510" s="4">
        <v>157003</v>
      </c>
      <c r="P510" s="4">
        <f>Tabela32[[#This Row],[Km Chegada]]-Tabela32[[#This Row],[Km Saída]]</f>
        <v>173</v>
      </c>
      <c r="Q510" s="4">
        <v>138</v>
      </c>
      <c r="R510" s="4">
        <v>12</v>
      </c>
      <c r="S510" s="4">
        <v>12</v>
      </c>
      <c r="T510" s="12">
        <f>Tabela32[[#This Row],[Entregas]]-Tabela32[[#This Row],[Realizadas]]</f>
        <v>0</v>
      </c>
      <c r="U510" s="18">
        <f>Tabela32[[#This Row],[Realizadas]]/Tabela32[[#This Row],[Entregas]]</f>
        <v>1</v>
      </c>
      <c r="V510" s="19" t="str">
        <f>IF(Tabela32[[#This Row],[% Entrega]]&gt;=96%,"Atendeu a Meta","Não Atendeu a Meta")</f>
        <v>Atendeu a Meta</v>
      </c>
      <c r="W510" s="4" t="s">
        <v>43</v>
      </c>
      <c r="X510" s="4">
        <v>0</v>
      </c>
      <c r="Y510" s="5">
        <v>0</v>
      </c>
    </row>
    <row r="511" spans="1:25" x14ac:dyDescent="0.25">
      <c r="A511" s="8">
        <v>46303</v>
      </c>
      <c r="B511" s="26">
        <f>YEAR(Tabela32[[#This Row],[Data]])</f>
        <v>2026</v>
      </c>
      <c r="C511" s="26">
        <f>MONTH(Tabela32[[#This Row],[Data]])</f>
        <v>10</v>
      </c>
      <c r="D511" s="4" t="s">
        <v>53</v>
      </c>
      <c r="E511" s="4">
        <v>1</v>
      </c>
      <c r="F511" s="4" t="str">
        <f>IFERROR(VLOOKUP(Tabela32[[#This Row],[Placa]],Planilha2!$A$1:$B$12,2,0),"")</f>
        <v>Arnaldo</v>
      </c>
      <c r="G511" s="10">
        <v>12050.21</v>
      </c>
      <c r="H511" s="10">
        <v>206944.9</v>
      </c>
      <c r="I511" s="4">
        <v>5981</v>
      </c>
      <c r="J511" s="17">
        <f>IFERROR(Tabela32[[#This Row],[Valor Frete]]/Tabela32[[#This Row],[Valor Mercadoria]],"")</f>
        <v>5.8229074502440019E-2</v>
      </c>
      <c r="K511" s="11">
        <v>0.65625</v>
      </c>
      <c r="L511" s="15">
        <v>0.69791666666666663</v>
      </c>
      <c r="M511" s="15">
        <f>Tabela32[[#This Row],[Hr Chegada]]-Tabela32[[#This Row],[Hr Saida]]</f>
        <v>4.166666666666663E-2</v>
      </c>
      <c r="N511" s="4">
        <v>14745</v>
      </c>
      <c r="O511" s="4">
        <v>14754</v>
      </c>
      <c r="P511" s="4">
        <f>Tabela32[[#This Row],[Km Chegada]]-Tabela32[[#This Row],[Km Saída]]</f>
        <v>9</v>
      </c>
      <c r="Q511" s="4">
        <v>588</v>
      </c>
      <c r="R511" s="4">
        <v>3</v>
      </c>
      <c r="S511" s="4">
        <v>0</v>
      </c>
      <c r="T511" s="12">
        <f>Tabela32[[#This Row],[Entregas]]-Tabela32[[#This Row],[Realizadas]]</f>
        <v>3</v>
      </c>
      <c r="U511" s="18">
        <f>Tabela32[[#This Row],[Realizadas]]/Tabela32[[#This Row],[Entregas]]</f>
        <v>0</v>
      </c>
      <c r="V511" s="19" t="str">
        <f>IF(Tabela32[[#This Row],[% Entrega]]&gt;=96%,"Atendeu a Meta","Não Atendeu a Meta")</f>
        <v>Não Atendeu a Meta</v>
      </c>
      <c r="W511" s="4" t="s">
        <v>63</v>
      </c>
      <c r="X511" s="4">
        <v>3</v>
      </c>
      <c r="Y511" s="5" t="s">
        <v>69</v>
      </c>
    </row>
    <row r="512" spans="1:25" x14ac:dyDescent="0.25">
      <c r="A512" s="8">
        <v>46304</v>
      </c>
      <c r="B512" s="26">
        <f>YEAR(Tabela32[[#This Row],[Data]])</f>
        <v>2026</v>
      </c>
      <c r="C512" s="26">
        <f>MONTH(Tabela32[[#This Row],[Data]])</f>
        <v>10</v>
      </c>
      <c r="D512" s="4" t="s">
        <v>28</v>
      </c>
      <c r="E512" s="4">
        <v>5</v>
      </c>
      <c r="F512" s="4" t="str">
        <f>IFERROR(VLOOKUP(Tabela32[[#This Row],[Placa]],Planilha2!$A$1:$B$12,2,0),"")</f>
        <v>Edilson</v>
      </c>
      <c r="G512" s="10">
        <v>3572.31</v>
      </c>
      <c r="H512" s="10">
        <v>71910.12</v>
      </c>
      <c r="I512" s="4">
        <v>1494</v>
      </c>
      <c r="J512" s="17">
        <f>IFERROR(Tabela32[[#This Row],[Valor Frete]]/Tabela32[[#This Row],[Valor Mercadoria]],"")</f>
        <v>4.9677430659272992E-2</v>
      </c>
      <c r="K512" s="11">
        <v>0.27083333333333331</v>
      </c>
      <c r="L512" s="15">
        <v>0.70833333333333337</v>
      </c>
      <c r="M512" s="15">
        <f>Tabela32[[#This Row],[Hr Chegada]]-Tabela32[[#This Row],[Hr Saida]]</f>
        <v>0.43750000000000006</v>
      </c>
      <c r="N512" s="4">
        <v>107024</v>
      </c>
      <c r="O512" s="4">
        <v>107076</v>
      </c>
      <c r="P512" s="4">
        <f>Tabela32[[#This Row],[Km Chegada]]-Tabela32[[#This Row],[Km Saída]]</f>
        <v>52</v>
      </c>
      <c r="Q512" s="4">
        <v>10</v>
      </c>
      <c r="R512" s="4">
        <v>9</v>
      </c>
      <c r="S512" s="4">
        <v>9</v>
      </c>
      <c r="T512" s="12">
        <f>Tabela32[[#This Row],[Entregas]]-Tabela32[[#This Row],[Realizadas]]</f>
        <v>0</v>
      </c>
      <c r="U512" s="18">
        <f>Tabela32[[#This Row],[Realizadas]]/Tabela32[[#This Row],[Entregas]]</f>
        <v>1</v>
      </c>
      <c r="V512" s="19" t="str">
        <f>IF(Tabela32[[#This Row],[% Entrega]]&gt;=96%,"Atendeu a Meta","Não Atendeu a Meta")</f>
        <v>Atendeu a Meta</v>
      </c>
      <c r="W512" s="4" t="s">
        <v>39</v>
      </c>
      <c r="X512" s="4">
        <v>0</v>
      </c>
      <c r="Y512" s="5">
        <v>0</v>
      </c>
    </row>
    <row r="513" spans="1:25" x14ac:dyDescent="0.25">
      <c r="A513" s="8">
        <v>46304</v>
      </c>
      <c r="B513" s="26">
        <f>YEAR(Tabela32[[#This Row],[Data]])</f>
        <v>2026</v>
      </c>
      <c r="C513" s="26">
        <f>MONTH(Tabela32[[#This Row],[Data]])</f>
        <v>10</v>
      </c>
      <c r="D513" s="4" t="s">
        <v>27</v>
      </c>
      <c r="E513" s="4">
        <v>1</v>
      </c>
      <c r="F513" s="4" t="str">
        <f>IFERROR(VLOOKUP(Tabela32[[#This Row],[Placa]],Planilha2!$A$1:$B$12,2,0),"")</f>
        <v>Rosinaldo</v>
      </c>
      <c r="G513" s="10">
        <v>8073.15</v>
      </c>
      <c r="H513" s="10">
        <v>152901.45000000001</v>
      </c>
      <c r="I513" s="4">
        <v>1519</v>
      </c>
      <c r="J513" s="17">
        <f>IFERROR(Tabela32[[#This Row],[Valor Frete]]/Tabela32[[#This Row],[Valor Mercadoria]],"")</f>
        <v>5.2799695490134323E-2</v>
      </c>
      <c r="K513" s="11">
        <v>0.3125</v>
      </c>
      <c r="L513" s="15">
        <v>0.73819444444444449</v>
      </c>
      <c r="M513" s="15">
        <f>Tabela32[[#This Row],[Hr Chegada]]-Tabela32[[#This Row],[Hr Saida]]</f>
        <v>0.42569444444444449</v>
      </c>
      <c r="N513" s="4">
        <v>292474</v>
      </c>
      <c r="O513" s="4">
        <v>292517</v>
      </c>
      <c r="P513" s="4">
        <f>Tabela32[[#This Row],[Km Chegada]]-Tabela32[[#This Row],[Km Saída]]</f>
        <v>43</v>
      </c>
      <c r="Q513" s="4">
        <v>147</v>
      </c>
      <c r="R513" s="4">
        <v>18</v>
      </c>
      <c r="S513" s="4">
        <v>18</v>
      </c>
      <c r="T513" s="12">
        <f>Tabela32[[#This Row],[Entregas]]-Tabela32[[#This Row],[Realizadas]]</f>
        <v>0</v>
      </c>
      <c r="U513" s="18">
        <f>Tabela32[[#This Row],[Realizadas]]/Tabela32[[#This Row],[Entregas]]</f>
        <v>1</v>
      </c>
      <c r="V513" s="19" t="str">
        <f>IF(Tabela32[[#This Row],[% Entrega]]&gt;=96%,"Atendeu a Meta","Não Atendeu a Meta")</f>
        <v>Atendeu a Meta</v>
      </c>
      <c r="W513" s="4" t="s">
        <v>43</v>
      </c>
      <c r="X513" s="4">
        <v>0</v>
      </c>
      <c r="Y513" s="5">
        <v>38</v>
      </c>
    </row>
    <row r="514" spans="1:25" x14ac:dyDescent="0.25">
      <c r="A514" s="8">
        <v>46304</v>
      </c>
      <c r="B514" s="26">
        <f>YEAR(Tabela32[[#This Row],[Data]])</f>
        <v>2026</v>
      </c>
      <c r="C514" s="26">
        <f>MONTH(Tabela32[[#This Row],[Data]])</f>
        <v>10</v>
      </c>
      <c r="D514" s="4" t="s">
        <v>53</v>
      </c>
      <c r="E514" s="4">
        <v>1</v>
      </c>
      <c r="F514" s="4" t="str">
        <f>IFERROR(VLOOKUP(Tabela32[[#This Row],[Placa]],Planilha2!$A$1:$B$12,2,0),"")</f>
        <v>Arnaldo</v>
      </c>
      <c r="G514" s="10">
        <v>12152.4</v>
      </c>
      <c r="H514" s="10">
        <v>207808.59</v>
      </c>
      <c r="I514" s="4">
        <v>5993</v>
      </c>
      <c r="J514" s="17">
        <f>IFERROR(Tabela32[[#This Row],[Valor Frete]]/Tabela32[[#This Row],[Valor Mercadoria]],"")</f>
        <v>5.8478814566808812E-2</v>
      </c>
      <c r="K514" s="11">
        <v>0.30486111111111114</v>
      </c>
      <c r="L514" s="15">
        <v>0.75138888888888888</v>
      </c>
      <c r="M514" s="15">
        <f>Tabela32[[#This Row],[Hr Chegada]]-Tabela32[[#This Row],[Hr Saida]]</f>
        <v>0.44652777777777775</v>
      </c>
      <c r="N514" s="4">
        <v>14754</v>
      </c>
      <c r="O514" s="4">
        <v>14782</v>
      </c>
      <c r="P514" s="4">
        <f>Tabela32[[#This Row],[Km Chegada]]-Tabela32[[#This Row],[Km Saída]]</f>
        <v>28</v>
      </c>
      <c r="Q514" s="4">
        <v>15</v>
      </c>
      <c r="R514" s="4">
        <v>4</v>
      </c>
      <c r="S514" s="4">
        <v>4</v>
      </c>
      <c r="T514" s="12">
        <f>Tabela32[[#This Row],[Entregas]]-Tabela32[[#This Row],[Realizadas]]</f>
        <v>0</v>
      </c>
      <c r="U514" s="18">
        <f>Tabela32[[#This Row],[Realizadas]]/Tabela32[[#This Row],[Entregas]]</f>
        <v>1</v>
      </c>
      <c r="V514" s="19" t="str">
        <f>IF(Tabela32[[#This Row],[% Entrega]]&gt;=96%,"Atendeu a Meta","Não Atendeu a Meta")</f>
        <v>Atendeu a Meta</v>
      </c>
      <c r="W514" s="4" t="s">
        <v>63</v>
      </c>
      <c r="X514" s="4">
        <v>0</v>
      </c>
      <c r="Y514" s="5">
        <v>38</v>
      </c>
    </row>
    <row r="515" spans="1:25" x14ac:dyDescent="0.25">
      <c r="A515" s="8">
        <v>46304</v>
      </c>
      <c r="B515" s="26">
        <f>YEAR(Tabela32[[#This Row],[Data]])</f>
        <v>2026</v>
      </c>
      <c r="C515" s="26">
        <f>MONTH(Tabela32[[#This Row],[Data]])</f>
        <v>10</v>
      </c>
      <c r="D515" s="4" t="s">
        <v>35</v>
      </c>
      <c r="E515" s="4">
        <v>11</v>
      </c>
      <c r="F515" s="4" t="str">
        <f>IFERROR(VLOOKUP(Tabela32[[#This Row],[Placa]],Planilha2!$A$1:$B$12,2,0),"")</f>
        <v>Osvaldo</v>
      </c>
      <c r="G515" s="10">
        <v>8387.43</v>
      </c>
      <c r="H515" s="10">
        <v>168450.99</v>
      </c>
      <c r="I515" s="4">
        <v>1174</v>
      </c>
      <c r="J515" s="17">
        <f>IFERROR(Tabela32[[#This Row],[Valor Frete]]/Tabela32[[#This Row],[Valor Mercadoria]],"")</f>
        <v>4.9791515027605364E-2</v>
      </c>
      <c r="K515" s="11">
        <v>0.27083333333333331</v>
      </c>
      <c r="L515" s="15">
        <v>0.75138888888888888</v>
      </c>
      <c r="M515" s="15">
        <f>Tabela32[[#This Row],[Hr Chegada]]-Tabela32[[#This Row],[Hr Saida]]</f>
        <v>0.48055555555555557</v>
      </c>
      <c r="N515" s="4">
        <v>144677</v>
      </c>
      <c r="O515" s="4">
        <v>144822</v>
      </c>
      <c r="P515" s="4">
        <f>Tabela32[[#This Row],[Km Chegada]]-Tabela32[[#This Row],[Km Saída]]</f>
        <v>145</v>
      </c>
      <c r="Q515" s="4">
        <v>143</v>
      </c>
      <c r="R515" s="4">
        <v>16</v>
      </c>
      <c r="S515" s="4">
        <v>15</v>
      </c>
      <c r="T515" s="12">
        <f>Tabela32[[#This Row],[Entregas]]-Tabela32[[#This Row],[Realizadas]]</f>
        <v>1</v>
      </c>
      <c r="U515" s="18">
        <f>Tabela32[[#This Row],[Realizadas]]/Tabela32[[#This Row],[Entregas]]</f>
        <v>0.9375</v>
      </c>
      <c r="V515" s="19" t="str">
        <f>IF(Tabela32[[#This Row],[% Entrega]]&gt;=96%,"Atendeu a Meta","Não Atendeu a Meta")</f>
        <v>Não Atendeu a Meta</v>
      </c>
      <c r="W515" s="4" t="s">
        <v>41</v>
      </c>
      <c r="X515" s="4">
        <v>1</v>
      </c>
      <c r="Y515" s="5">
        <v>13</v>
      </c>
    </row>
    <row r="516" spans="1:25" x14ac:dyDescent="0.25">
      <c r="A516" s="8">
        <v>46304</v>
      </c>
      <c r="B516" s="26">
        <f>YEAR(Tabela32[[#This Row],[Data]])</f>
        <v>2026</v>
      </c>
      <c r="C516" s="26">
        <f>MONTH(Tabela32[[#This Row],[Data]])</f>
        <v>10</v>
      </c>
      <c r="D516" s="4" t="s">
        <v>31</v>
      </c>
      <c r="E516" s="4">
        <v>2</v>
      </c>
      <c r="F516" s="4" t="str">
        <f>IFERROR(VLOOKUP(Tabela32[[#This Row],[Placa]],Planilha2!$A$1:$B$12,2,0),"")</f>
        <v>Jerson</v>
      </c>
      <c r="G516" s="10">
        <v>12325.53</v>
      </c>
      <c r="H516" s="10">
        <v>176127.26</v>
      </c>
      <c r="I516" s="4">
        <v>3129</v>
      </c>
      <c r="J516" s="17">
        <f>IFERROR(Tabela32[[#This Row],[Valor Frete]]/Tabela32[[#This Row],[Valor Mercadoria]],"")</f>
        <v>6.9980819550590864E-2</v>
      </c>
      <c r="K516" s="11">
        <v>0.27777777777777779</v>
      </c>
      <c r="L516" s="15">
        <v>0.79236111111111107</v>
      </c>
      <c r="M516" s="15">
        <f>Tabela32[[#This Row],[Hr Chegada]]-Tabela32[[#This Row],[Hr Saida]]</f>
        <v>0.51458333333333328</v>
      </c>
      <c r="N516" s="4">
        <v>281964</v>
      </c>
      <c r="O516" s="4">
        <v>282029</v>
      </c>
      <c r="P516" s="4">
        <f>Tabela32[[#This Row],[Km Chegada]]-Tabela32[[#This Row],[Km Saída]]</f>
        <v>65</v>
      </c>
      <c r="Q516" s="4">
        <v>304</v>
      </c>
      <c r="R516" s="4">
        <v>34</v>
      </c>
      <c r="S516" s="4">
        <v>34</v>
      </c>
      <c r="T516" s="12">
        <f>Tabela32[[#This Row],[Entregas]]-Tabela32[[#This Row],[Realizadas]]</f>
        <v>0</v>
      </c>
      <c r="U516" s="18">
        <f>Tabela32[[#This Row],[Realizadas]]/Tabela32[[#This Row],[Entregas]]</f>
        <v>1</v>
      </c>
      <c r="V516" s="19" t="str">
        <f>IF(Tabela32[[#This Row],[% Entrega]]&gt;=96%,"Atendeu a Meta","Não Atendeu a Meta")</f>
        <v>Atendeu a Meta</v>
      </c>
      <c r="W516" s="4" t="s">
        <v>39</v>
      </c>
      <c r="X516" s="4">
        <v>0</v>
      </c>
      <c r="Y516" s="5">
        <v>0</v>
      </c>
    </row>
    <row r="517" spans="1:25" x14ac:dyDescent="0.25">
      <c r="A517" s="8">
        <v>46304</v>
      </c>
      <c r="B517" s="26">
        <f>YEAR(Tabela32[[#This Row],[Data]])</f>
        <v>2026</v>
      </c>
      <c r="C517" s="26">
        <f>MONTH(Tabela32[[#This Row],[Data]])</f>
        <v>10</v>
      </c>
      <c r="D517" s="4" t="s">
        <v>23</v>
      </c>
      <c r="E517" s="4">
        <v>3</v>
      </c>
      <c r="F517" s="4" t="str">
        <f>IFERROR(VLOOKUP(Tabela32[[#This Row],[Placa]],Planilha2!$A$1:$B$12,2,0),"")</f>
        <v>William</v>
      </c>
      <c r="G517" s="10">
        <v>6192.89</v>
      </c>
      <c r="H517" s="10">
        <v>142671.84</v>
      </c>
      <c r="I517" s="4">
        <v>1141</v>
      </c>
      <c r="J517" s="17">
        <f>IFERROR(Tabela32[[#This Row],[Valor Frete]]/Tabela32[[#This Row],[Valor Mercadoria]],"")</f>
        <v>4.3406533482711097E-2</v>
      </c>
      <c r="K517" s="11">
        <v>0.29166666666666669</v>
      </c>
      <c r="L517" s="15">
        <v>0.8041666666666667</v>
      </c>
      <c r="M517" s="15">
        <f>Tabela32[[#This Row],[Hr Chegada]]-Tabela32[[#This Row],[Hr Saida]]</f>
        <v>0.51249999999999996</v>
      </c>
      <c r="N517" s="4">
        <v>126860</v>
      </c>
      <c r="O517" s="4">
        <v>126935</v>
      </c>
      <c r="P517" s="4">
        <f>Tabela32[[#This Row],[Km Chegada]]-Tabela32[[#This Row],[Km Saída]]</f>
        <v>75</v>
      </c>
      <c r="Q517" s="4">
        <v>169</v>
      </c>
      <c r="R517" s="4">
        <v>19</v>
      </c>
      <c r="S517" s="4">
        <v>17</v>
      </c>
      <c r="T517" s="12">
        <f>Tabela32[[#This Row],[Entregas]]-Tabela32[[#This Row],[Realizadas]]</f>
        <v>2</v>
      </c>
      <c r="U517" s="18">
        <f>Tabela32[[#This Row],[Realizadas]]/Tabela32[[#This Row],[Entregas]]</f>
        <v>0.89473684210526316</v>
      </c>
      <c r="V517" s="19" t="str">
        <f>IF(Tabela32[[#This Row],[% Entrega]]&gt;=96%,"Atendeu a Meta","Não Atendeu a Meta")</f>
        <v>Não Atendeu a Meta</v>
      </c>
      <c r="W517" s="4" t="s">
        <v>39</v>
      </c>
      <c r="X517" s="4">
        <v>4</v>
      </c>
      <c r="Y517" s="5" t="s">
        <v>95</v>
      </c>
    </row>
    <row r="518" spans="1:25" x14ac:dyDescent="0.25">
      <c r="A518" s="8">
        <v>46304</v>
      </c>
      <c r="B518" s="26">
        <f>YEAR(Tabela32[[#This Row],[Data]])</f>
        <v>2026</v>
      </c>
      <c r="C518" s="26">
        <f>MONTH(Tabela32[[#This Row],[Data]])</f>
        <v>10</v>
      </c>
      <c r="D518" s="4" t="s">
        <v>22</v>
      </c>
      <c r="E518" s="4">
        <v>5</v>
      </c>
      <c r="F518" s="4" t="str">
        <f>IFERROR(VLOOKUP(Tabela32[[#This Row],[Placa]],Planilha2!$A$1:$B$12,2,0),"")</f>
        <v>Wesley</v>
      </c>
      <c r="G518" s="10">
        <v>11542.94</v>
      </c>
      <c r="H518" s="10">
        <v>248336.8</v>
      </c>
      <c r="I518" s="4">
        <v>2574</v>
      </c>
      <c r="J518" s="17">
        <f>IFERROR(Tabela32[[#This Row],[Valor Frete]]/Tabela32[[#This Row],[Valor Mercadoria]],"")</f>
        <v>4.6480988721768181E-2</v>
      </c>
      <c r="K518" s="11">
        <v>0.3125</v>
      </c>
      <c r="L518" s="15">
        <v>0.80069444444444449</v>
      </c>
      <c r="M518" s="15">
        <f>Tabela32[[#This Row],[Hr Chegada]]-Tabela32[[#This Row],[Hr Saida]]</f>
        <v>0.48819444444444449</v>
      </c>
      <c r="N518" s="4">
        <v>306160</v>
      </c>
      <c r="O518" s="4">
        <v>306240</v>
      </c>
      <c r="P518" s="4">
        <f>Tabela32[[#This Row],[Km Chegada]]-Tabela32[[#This Row],[Km Saída]]</f>
        <v>80</v>
      </c>
      <c r="Q518" s="4">
        <v>358</v>
      </c>
      <c r="R518" s="4">
        <v>37</v>
      </c>
      <c r="S518" s="4">
        <v>37</v>
      </c>
      <c r="T518" s="12">
        <f>Tabela32[[#This Row],[Entregas]]-Tabela32[[#This Row],[Realizadas]]</f>
        <v>0</v>
      </c>
      <c r="U518" s="18">
        <f>Tabela32[[#This Row],[Realizadas]]/Tabela32[[#This Row],[Entregas]]</f>
        <v>1</v>
      </c>
      <c r="V518" s="19" t="str">
        <f>IF(Tabela32[[#This Row],[% Entrega]]&gt;=96%,"Atendeu a Meta","Não Atendeu a Meta")</f>
        <v>Atendeu a Meta</v>
      </c>
      <c r="W518" s="4" t="s">
        <v>39</v>
      </c>
      <c r="X518" s="4">
        <v>0</v>
      </c>
      <c r="Y518" s="5">
        <v>0</v>
      </c>
    </row>
    <row r="519" spans="1:25" x14ac:dyDescent="0.25">
      <c r="A519" s="8">
        <v>46304</v>
      </c>
      <c r="B519" s="26">
        <f>YEAR(Tabela32[[#This Row],[Data]])</f>
        <v>2026</v>
      </c>
      <c r="C519" s="26">
        <f>MONTH(Tabela32[[#This Row],[Data]])</f>
        <v>10</v>
      </c>
      <c r="D519" s="4" t="s">
        <v>29</v>
      </c>
      <c r="E519" s="4">
        <v>1</v>
      </c>
      <c r="F519" s="4" t="str">
        <f>IFERROR(VLOOKUP(Tabela32[[#This Row],[Placa]],Planilha2!$A$1:$B$12,2,0),"")</f>
        <v>Sandro</v>
      </c>
      <c r="G519" s="10">
        <v>4983.6400000000003</v>
      </c>
      <c r="H519" s="10">
        <v>129842.06</v>
      </c>
      <c r="I519" s="4">
        <v>956</v>
      </c>
      <c r="J519" s="17">
        <f>IFERROR(Tabela32[[#This Row],[Valor Frete]]/Tabela32[[#This Row],[Valor Mercadoria]],"")</f>
        <v>3.8382323878718504E-2</v>
      </c>
      <c r="K519" s="11">
        <v>0.29166666666666669</v>
      </c>
      <c r="L519" s="15">
        <v>0.72222222222222221</v>
      </c>
      <c r="M519" s="15">
        <f>Tabela32[[#This Row],[Hr Chegada]]-Tabela32[[#This Row],[Hr Saida]]</f>
        <v>0.43055555555555552</v>
      </c>
      <c r="N519" s="4">
        <v>276851</v>
      </c>
      <c r="O519" s="4">
        <v>276917</v>
      </c>
      <c r="P519" s="4">
        <f>Tabela32[[#This Row],[Km Chegada]]-Tabela32[[#This Row],[Km Saída]]</f>
        <v>66</v>
      </c>
      <c r="Q519" s="4">
        <v>166</v>
      </c>
      <c r="R519" s="4">
        <v>6</v>
      </c>
      <c r="S519" s="4">
        <v>6</v>
      </c>
      <c r="T519" s="12">
        <f>Tabela32[[#This Row],[Entregas]]-Tabela32[[#This Row],[Realizadas]]</f>
        <v>0</v>
      </c>
      <c r="U519" s="18">
        <f>Tabela32[[#This Row],[Realizadas]]/Tabela32[[#This Row],[Entregas]]</f>
        <v>1</v>
      </c>
      <c r="V519" s="19" t="str">
        <f>IF(Tabela32[[#This Row],[% Entrega]]&gt;=96%,"Atendeu a Meta","Não Atendeu a Meta")</f>
        <v>Atendeu a Meta</v>
      </c>
      <c r="W519" s="4" t="s">
        <v>43</v>
      </c>
      <c r="X519" s="4">
        <v>0</v>
      </c>
      <c r="Y519" s="5">
        <v>38.380000000000003</v>
      </c>
    </row>
    <row r="520" spans="1:25" x14ac:dyDescent="0.25">
      <c r="A520" s="8">
        <v>46304</v>
      </c>
      <c r="B520" s="26">
        <f>YEAR(Tabela32[[#This Row],[Data]])</f>
        <v>2026</v>
      </c>
      <c r="C520" s="26">
        <f>MONTH(Tabela32[[#This Row],[Data]])</f>
        <v>10</v>
      </c>
      <c r="D520" s="4" t="s">
        <v>25</v>
      </c>
      <c r="E520" s="4">
        <v>1</v>
      </c>
      <c r="F520" s="4" t="str">
        <f>IFERROR(VLOOKUP(Tabela32[[#This Row],[Placa]],Planilha2!$A$1:$B$12,2,0),"")</f>
        <v>Gilberto</v>
      </c>
      <c r="G520" s="10">
        <v>6869.81</v>
      </c>
      <c r="H520" s="10">
        <v>158166.76</v>
      </c>
      <c r="I520" s="4">
        <v>3125</v>
      </c>
      <c r="J520" s="17">
        <f>IFERROR(Tabela32[[#This Row],[Valor Frete]]/Tabela32[[#This Row],[Valor Mercadoria]],"")</f>
        <v>4.3433968047395043E-2</v>
      </c>
      <c r="K520" s="11">
        <v>0.3125</v>
      </c>
      <c r="L520" s="15">
        <v>0.70416666666666672</v>
      </c>
      <c r="M520" s="15">
        <f>Tabela32[[#This Row],[Hr Chegada]]-Tabela32[[#This Row],[Hr Saida]]</f>
        <v>0.39166666666666672</v>
      </c>
      <c r="N520" s="4">
        <v>120909</v>
      </c>
      <c r="O520" s="4">
        <v>120939</v>
      </c>
      <c r="P520" s="4">
        <f>Tabela32[[#This Row],[Km Chegada]]-Tabela32[[#This Row],[Km Saída]]</f>
        <v>30</v>
      </c>
      <c r="Q520" s="4">
        <v>967</v>
      </c>
      <c r="R520" s="4">
        <v>8</v>
      </c>
      <c r="S520" s="4">
        <v>8</v>
      </c>
      <c r="T520" s="12">
        <f>Tabela32[[#This Row],[Entregas]]-Tabela32[[#This Row],[Realizadas]]</f>
        <v>0</v>
      </c>
      <c r="U520" s="18">
        <f>Tabela32[[#This Row],[Realizadas]]/Tabela32[[#This Row],[Entregas]]</f>
        <v>1</v>
      </c>
      <c r="V520" s="19" t="str">
        <f>IF(Tabela32[[#This Row],[% Entrega]]&gt;=96%,"Atendeu a Meta","Não Atendeu a Meta")</f>
        <v>Atendeu a Meta</v>
      </c>
      <c r="W520" s="4" t="s">
        <v>43</v>
      </c>
      <c r="X520" s="4">
        <v>0</v>
      </c>
      <c r="Y520" s="5">
        <v>0</v>
      </c>
    </row>
    <row r="521" spans="1:25" x14ac:dyDescent="0.25">
      <c r="A521" s="8">
        <v>46304</v>
      </c>
      <c r="B521" s="26">
        <f>YEAR(Tabela32[[#This Row],[Data]])</f>
        <v>2026</v>
      </c>
      <c r="C521" s="26">
        <f>MONTH(Tabela32[[#This Row],[Data]])</f>
        <v>10</v>
      </c>
      <c r="D521" s="4" t="s">
        <v>33</v>
      </c>
      <c r="E521" s="4">
        <v>1</v>
      </c>
      <c r="F521" s="4" t="str">
        <f>IFERROR(VLOOKUP(Tabela32[[#This Row],[Placa]],Planilha2!$A$1:$B$12,2,0),"")</f>
        <v>Paulo</v>
      </c>
      <c r="G521" s="10">
        <v>2841.14</v>
      </c>
      <c r="H521" s="10">
        <v>25089.89</v>
      </c>
      <c r="I521" s="4">
        <v>164</v>
      </c>
      <c r="J521" s="17">
        <f>IFERROR(Tabela32[[#This Row],[Valor Frete]]/Tabela32[[#This Row],[Valor Mercadoria]],"")</f>
        <v>0.11323843986561918</v>
      </c>
      <c r="K521" s="11">
        <v>0.29166666666666669</v>
      </c>
      <c r="L521" s="15">
        <v>0.67500000000000004</v>
      </c>
      <c r="M521" s="15">
        <f>Tabela32[[#This Row],[Hr Chegada]]-Tabela32[[#This Row],[Hr Saida]]</f>
        <v>0.38333333333333336</v>
      </c>
      <c r="N521" s="4">
        <v>157003</v>
      </c>
      <c r="O521" s="4">
        <v>157065</v>
      </c>
      <c r="P521" s="4">
        <f>Tabela32[[#This Row],[Km Chegada]]-Tabela32[[#This Row],[Km Saída]]</f>
        <v>62</v>
      </c>
      <c r="Q521" s="4">
        <v>30</v>
      </c>
      <c r="R521" s="4">
        <v>3</v>
      </c>
      <c r="S521" s="4">
        <v>3</v>
      </c>
      <c r="T521" s="12">
        <f>Tabela32[[#This Row],[Entregas]]-Tabela32[[#This Row],[Realizadas]]</f>
        <v>0</v>
      </c>
      <c r="U521" s="18">
        <f>Tabela32[[#This Row],[Realizadas]]/Tabela32[[#This Row],[Entregas]]</f>
        <v>1</v>
      </c>
      <c r="V521" s="19" t="str">
        <f>IF(Tabela32[[#This Row],[% Entrega]]&gt;=96%,"Atendeu a Meta","Não Atendeu a Meta")</f>
        <v>Atendeu a Meta</v>
      </c>
      <c r="W521" s="4" t="s">
        <v>40</v>
      </c>
      <c r="X521" s="4">
        <v>0</v>
      </c>
      <c r="Y521" s="5">
        <v>0</v>
      </c>
    </row>
    <row r="522" spans="1:25" x14ac:dyDescent="0.25">
      <c r="A522" s="8">
        <v>46305</v>
      </c>
      <c r="B522" s="26">
        <f>YEAR(Tabela32[[#This Row],[Data]])</f>
        <v>2026</v>
      </c>
      <c r="C522" s="26">
        <f>MONTH(Tabela32[[#This Row],[Data]])</f>
        <v>10</v>
      </c>
      <c r="D522" s="4" t="s">
        <v>33</v>
      </c>
      <c r="E522" s="4">
        <v>1</v>
      </c>
      <c r="F522" s="4" t="str">
        <f>IFERROR(VLOOKUP(Tabela32[[#This Row],[Placa]],Planilha2!$A$1:$B$12,2,0),"")</f>
        <v>Paulo</v>
      </c>
      <c r="G522" s="10">
        <v>2473.9499999999998</v>
      </c>
      <c r="H522" s="10">
        <v>29026.86</v>
      </c>
      <c r="I522" s="4">
        <v>208</v>
      </c>
      <c r="J522" s="17">
        <f>IFERROR(Tabela32[[#This Row],[Valor Frete]]/Tabela32[[#This Row],[Valor Mercadoria]],"")</f>
        <v>8.5229680371903802E-2</v>
      </c>
      <c r="K522" s="11">
        <v>0.33333333333333331</v>
      </c>
      <c r="L522" s="15">
        <v>0.5</v>
      </c>
      <c r="M522" s="15">
        <f>Tabela32[[#This Row],[Hr Chegada]]-Tabela32[[#This Row],[Hr Saida]]</f>
        <v>0.16666666666666669</v>
      </c>
      <c r="N522" s="4">
        <v>157065</v>
      </c>
      <c r="O522" s="4">
        <v>157101</v>
      </c>
      <c r="P522" s="4">
        <f>Tabela32[[#This Row],[Km Chegada]]-Tabela32[[#This Row],[Km Saída]]</f>
        <v>36</v>
      </c>
      <c r="Q522" s="4">
        <v>23</v>
      </c>
      <c r="R522" s="4">
        <v>13</v>
      </c>
      <c r="S522" s="4">
        <v>13</v>
      </c>
      <c r="T522" s="12">
        <f>Tabela32[[#This Row],[Entregas]]-Tabela32[[#This Row],[Realizadas]]</f>
        <v>0</v>
      </c>
      <c r="U522" s="18">
        <f>Tabela32[[#This Row],[Realizadas]]/Tabela32[[#This Row],[Entregas]]</f>
        <v>1</v>
      </c>
      <c r="V522" s="19" t="str">
        <f>IF(Tabela32[[#This Row],[% Entrega]]&gt;=96%,"Atendeu a Meta","Não Atendeu a Meta")</f>
        <v>Atendeu a Meta</v>
      </c>
      <c r="W522" s="4" t="s">
        <v>43</v>
      </c>
      <c r="X522" s="4">
        <v>0</v>
      </c>
      <c r="Y522" s="5">
        <v>0</v>
      </c>
    </row>
  </sheetData>
  <conditionalFormatting sqref="J2:J522">
    <cfRule type="cellIs" dxfId="21" priority="1" operator="lessThan">
      <formula>0.05</formula>
    </cfRule>
    <cfRule type="cellIs" dxfId="20" priority="2" operator="greaterThanOrEqual">
      <formula>0.05</formula>
    </cfRule>
  </conditionalFormatting>
  <conditionalFormatting sqref="U2:U522">
    <cfRule type="cellIs" dxfId="19" priority="7" stopIfTrue="1" operator="lessThanOrEqual">
      <formula>0.949</formula>
    </cfRule>
    <cfRule type="cellIs" dxfId="18" priority="8" stopIfTrue="1" operator="greaterThanOrEqual">
      <formula>0.9</formula>
    </cfRule>
    <cfRule type="cellIs" dxfId="17" priority="9" stopIfTrue="1" operator="greaterThanOrEqual">
      <formula>90</formula>
    </cfRule>
    <cfRule type="cellIs" dxfId="16" priority="10" stopIfTrue="1" operator="lessThan">
      <formula>0</formula>
    </cfRule>
    <cfRule type="cellIs" dxfId="15" priority="11" stopIfTrue="1" operator="lessThan">
      <formula>1</formula>
    </cfRule>
    <cfRule type="cellIs" dxfId="14" priority="12" stopIfTrue="1" operator="greaterThan">
      <formula>100</formula>
    </cfRule>
    <cfRule type="cellIs" dxfId="13" priority="13" stopIfTrue="1" operator="greaterThan">
      <formula>1</formula>
    </cfRule>
  </conditionalFormatting>
  <conditionalFormatting sqref="V2:V522">
    <cfRule type="expression" dxfId="12" priority="3" stopIfTrue="1">
      <formula>NOT(ISERROR(SEARCH("Não Atendeu a Meta",V2)))</formula>
    </cfRule>
    <cfRule type="expression" priority="4" stopIfTrue="1">
      <formula>NOT(ISERROR(SEARCH("""Atendeu a Meta""",V2)))</formula>
    </cfRule>
    <cfRule type="expression" priority="5" stopIfTrue="1">
      <formula>NOT(ISERROR(SEARCH("Não Atendeu a Meta",V2)))</formula>
    </cfRule>
    <cfRule type="expression" dxfId="11" priority="6" stopIfTrue="1">
      <formula>NOT(ISERROR(SEARCH("Atendeu a Meta",V2)))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333B153-DF93-4EA5-862C-EAA0E32B099C}">
          <x14:formula1>
            <xm:f>Planilha2!$A$1:$A$12</xm:f>
          </x14:formula1>
          <xm:sqref>D2:D522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Planilha2</vt:lpstr>
      <vt:lpstr>Terceiros</vt:lpstr>
      <vt:lpstr>jan_26 (2)</vt:lpstr>
      <vt:lpstr>IYD7460_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Manoel Armenteiro</dc:creator>
  <cp:lastModifiedBy>Manoel Armenteiro</cp:lastModifiedBy>
  <dcterms:created xsi:type="dcterms:W3CDTF">2026-01-07T20:11:47Z</dcterms:created>
  <dcterms:modified xsi:type="dcterms:W3CDTF">2026-10-13T17:04:18Z</dcterms:modified>
</cp:coreProperties>
</file>