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755360BE-6166-49E8-A0AD-13075DCCC61D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6" i="4" l="1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K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<sst xmlns="http://schemas.openxmlformats.org/spreadsheetml/2006/main" count="680" uniqueCount="80">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</sst>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7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0" totalsRowShown="0" headerRowDxfId="133" dataDxfId="131" headerRowBorderDxfId="132" tableBorderDxfId="130" totalsRowBorderDxfId="129" headerRowCellStyle="Normal 2 2 2">
  <autoFilter ref="A1:V10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86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Ro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 dataCellStyle="Moeda"/>
    <tableColumn id="7" xr3:uid="{7D623530-7EED-4526-B289-B392FA2EF883}" name="Valor Mercadoria" dataDxfId="94" dataCellStyle="Moeda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22</v>
      </c>
      <c r="B1" t="s">
        <v>56</v>
      </c>
    </row>
    <row r="2" spans="1:2" x14ac:dyDescent="0.25">
      <c r="A2" t="s">
        <v>23</v>
      </c>
      <c r="B2" t="s">
        <v>79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63</v>
      </c>
    </row>
    <row r="5" spans="1:2" x14ac:dyDescent="0.25">
      <c r="A5" t="s">
        <v>28</v>
      </c>
      <c r="B5" t="s">
        <v>57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55</v>
      </c>
    </row>
    <row r="10" spans="1:2" x14ac:dyDescent="0.25">
      <c r="A10" t="s">
        <v>36</v>
      </c>
      <c r="B10" t="s">
        <v>42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54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0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10" sqref="M10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47</v>
      </c>
      <c r="M1" s="2" t="s">
        <v>48</v>
      </c>
      <c r="N1" s="2" t="s">
        <v>43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45</v>
      </c>
      <c r="C2" s="4"/>
      <c r="D2" s="4" t="s">
        <v>46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58</v>
      </c>
      <c r="C3" s="4"/>
      <c r="D3" s="4" t="s">
        <v>59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45</v>
      </c>
      <c r="C4" s="4"/>
      <c r="D4" s="4" t="s">
        <v>46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45</v>
      </c>
      <c r="C5" s="4"/>
      <c r="D5" s="4" t="s">
        <v>46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44</v>
      </c>
      <c r="U5" s="4"/>
      <c r="V5" s="5"/>
    </row>
    <row r="6" spans="1:22" x14ac:dyDescent="0.25">
      <c r="A6" s="8">
        <v>46247</v>
      </c>
      <c r="B6" s="8" t="s">
        <v>45</v>
      </c>
      <c r="C6" s="4"/>
      <c r="D6" s="4" t="s">
        <v>46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45</v>
      </c>
      <c r="C7" s="4"/>
      <c r="D7" s="4" t="s">
        <v>46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44</v>
      </c>
      <c r="U7" s="4">
        <v>1</v>
      </c>
      <c r="V7" s="5">
        <v>9</v>
      </c>
    </row>
    <row r="8" spans="1:22" x14ac:dyDescent="0.25">
      <c r="A8" s="8">
        <v>46253</v>
      </c>
      <c r="B8" s="8" t="s">
        <v>66</v>
      </c>
      <c r="C8" s="4"/>
      <c r="D8" s="4" t="s">
        <v>67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58</v>
      </c>
      <c r="C9" s="4"/>
      <c r="D9" s="4" t="s">
        <v>46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58</v>
      </c>
      <c r="C10" s="4"/>
      <c r="D10" s="4" t="s">
        <v>46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</sheetData>
  <conditionalFormatting sqref="H2:H10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10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10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86"/>
  <sheetViews>
    <sheetView showGridLines="0" tabSelected="1" workbookViewId="0">
      <pane xSplit="10" ySplit="1" topLeftCell="W258" activePane="bottomRight" state="frozen"/>
      <selection pane="topRight" activeCell="I1" sqref="I1"/>
      <selection pane="bottomLeft" activeCell="A2" sqref="A2"/>
      <selection pane="bottomRight" activeCell="X286" sqref="X286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53</v>
      </c>
      <c r="C1" s="1" t="s">
        <v>52</v>
      </c>
      <c r="D1" s="2" t="s">
        <v>1</v>
      </c>
      <c r="E1" s="2" t="s">
        <v>74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43</v>
      </c>
      <c r="R1" s="2" t="s">
        <v>49</v>
      </c>
      <c r="S1" s="2" t="s">
        <v>50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51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54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44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54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44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44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54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44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44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44</v>
      </c>
      <c r="X38" s="4">
        <v>2</v>
      </c>
      <c r="Y38" s="5" t="s">
        <v>60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44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54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44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44</v>
      </c>
      <c r="X47" s="4">
        <v>2</v>
      </c>
      <c r="Y47" s="5" t="s">
        <v>61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54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62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44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54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70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44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44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54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44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54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44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70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54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54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64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44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44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54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44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64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44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54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65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44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44</v>
      </c>
      <c r="X134" s="4">
        <v>7</v>
      </c>
      <c r="Y134" s="5" t="s">
        <v>69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70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54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54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44</v>
      </c>
      <c r="X142" s="4">
        <v>5</v>
      </c>
      <c r="Y142" s="5" t="s">
        <v>69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44</v>
      </c>
      <c r="X146" s="4">
        <v>3</v>
      </c>
      <c r="Y146" s="5" t="s">
        <v>68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64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54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44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44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54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71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44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44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44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54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72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44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44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54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44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44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44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44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44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54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44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44</v>
      </c>
      <c r="X199" s="4">
        <v>14</v>
      </c>
      <c r="Y199" s="5" t="s">
        <v>73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44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44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54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54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44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64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65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65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44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44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44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75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44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54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44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64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76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54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77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78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44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54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44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26">
        <f>YEAR(Tabela32[[#This Row],[Data]])</f>
        <v>2026</v>
      </c>
      <c r="C266" s="2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26">
        <f>YEAR(Tabela32[[#This Row],[Data]])</f>
        <v>2026</v>
      </c>
      <c r="C267" s="2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26">
        <f>YEAR(Tabela32[[#This Row],[Data]])</f>
        <v>2026</v>
      </c>
      <c r="C268" s="2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26">
        <f>YEAR(Tabela32[[#This Row],[Data]])</f>
        <v>2026</v>
      </c>
      <c r="C269" s="26">
        <f>MONTH(Tabela32[[#This Row],[Data]])</f>
        <v>9</v>
      </c>
      <c r="D269" s="4" t="s">
        <v>54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26">
        <f>YEAR(Tabela32[[#This Row],[Data]])</f>
        <v>2026</v>
      </c>
      <c r="C270" s="2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44</v>
      </c>
      <c r="X270" s="4">
        <v>0</v>
      </c>
      <c r="Y270" s="5">
        <v>0</v>
      </c>
    </row>
    <row r="271" spans="1:25" x14ac:dyDescent="0.25">
      <c r="A271" s="8">
        <v>46274</v>
      </c>
      <c r="B271" s="26">
        <f>YEAR(Tabela32[[#This Row],[Data]])</f>
        <v>2026</v>
      </c>
      <c r="C271" s="2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26">
        <f>YEAR(Tabela32[[#This Row],[Data]])</f>
        <v>2026</v>
      </c>
      <c r="C272" s="2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26">
        <f>YEAR(Tabela32[[#This Row],[Data]])</f>
        <v>2026</v>
      </c>
      <c r="C273" s="2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26">
        <f>YEAR(Tabela32[[#This Row],[Data]])</f>
        <v>2026</v>
      </c>
      <c r="C274" s="2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26">
        <f>YEAR(Tabela32[[#This Row],[Data]])</f>
        <v>2026</v>
      </c>
      <c r="C275" s="2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26">
        <f>YEAR(Tabela32[[#This Row],[Data]])</f>
        <v>2026</v>
      </c>
      <c r="C276" s="2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26">
        <f>YEAR(Tabela32[[#This Row],[Data]])</f>
        <v>2026</v>
      </c>
      <c r="C277" s="2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26">
        <f>YEAR(Tabela32[[#This Row],[Data]])</f>
        <v>2026</v>
      </c>
      <c r="C278" s="2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44</v>
      </c>
      <c r="X278" s="4">
        <v>0</v>
      </c>
      <c r="Y278" s="5">
        <v>0</v>
      </c>
    </row>
    <row r="279" spans="1:25" x14ac:dyDescent="0.25">
      <c r="A279" s="8">
        <v>46275</v>
      </c>
      <c r="B279" s="26">
        <f>YEAR(Tabela32[[#This Row],[Data]])</f>
        <v>2026</v>
      </c>
      <c r="C279" s="2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26">
        <f>YEAR(Tabela32[[#This Row],[Data]])</f>
        <v>2026</v>
      </c>
      <c r="C280" s="26">
        <f>MONTH(Tabela32[[#This Row],[Data]])</f>
        <v>9</v>
      </c>
      <c r="D280" s="4" t="s">
        <v>54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26">
        <f>YEAR(Tabela32[[#This Row],[Data]])</f>
        <v>2026</v>
      </c>
      <c r="C281" s="2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26">
        <f>YEAR(Tabela32[[#This Row],[Data]])</f>
        <v>2026</v>
      </c>
      <c r="C282" s="2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26">
        <f>YEAR(Tabela32[[#This Row],[Data]])</f>
        <v>2026</v>
      </c>
      <c r="C283" s="2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26">
        <f>YEAR(Tabela32[[#This Row],[Data]])</f>
        <v>2026</v>
      </c>
      <c r="C284" s="2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26">
        <f>YEAR(Tabela32[[#This Row],[Data]])</f>
        <v>2026</v>
      </c>
      <c r="C285" s="2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26">
        <f>YEAR(Tabela32[[#This Row],[Data]])</f>
        <v>2026</v>
      </c>
      <c r="C286" s="2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</sheetData>
  <conditionalFormatting sqref="J2:J286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286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286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D2:D286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2026-09-12T14:28:22Z</dcterms:modified>
</cp:coreProperties>
</file>