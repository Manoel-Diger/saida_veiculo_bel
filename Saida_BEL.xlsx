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E8073647-AD7E-4439-9028-E51DFFB9AC83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5" i="4" l="1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<sst xmlns="http://schemas.openxmlformats.org/spreadsheetml/2006/main" count="296" uniqueCount="66">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</sst>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19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7" totalsRowShown="0" headerRowDxfId="144" dataDxfId="142" headerRowBorderDxfId="143" tableBorderDxfId="141" totalsRowBorderDxfId="140" headerRowCellStyle="Normal 2 2 2">
  <autoFilter ref="A1:V7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05" totalsRowShown="0" headerRowDxfId="40" dataDxfId="39" headerRowBorderDxfId="37" tableBorderDxfId="38" totalsRowBorderDxfId="36" headerRowCellStyle="Neutro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Carre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 dataCellStyle="Hiperlink"/>
    <tableColumn id="7" xr3:uid="{7D623530-7EED-4526-B289-B392FA2EF883}" name="Valor Mercadoria" dataDxfId="28" dataCellStyle="Hiperlink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 dataCellStyle="Moeda [0]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7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A7" sqref="A7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17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16"/>
      <c r="B7" s="8"/>
      <c r="C7" s="4"/>
      <c r="D7" s="4"/>
      <c r="E7" s="10"/>
      <c r="F7" s="10"/>
      <c r="G7" s="4"/>
      <c r="H7" s="9" t="e">
        <f>Tabela35[[#This Row],[Valor Frete]]/Tabela35[[#This Row],[Valor Mercadoria]]</f>
        <v>#DIV/0!</v>
      </c>
      <c r="I7" s="4"/>
      <c r="J7" s="4"/>
      <c r="K7" s="4">
        <f>Tabela35[[#This Row],[Hr Chegada]]-Tabela35[[#This Row],[Hr Saida]]</f>
        <v>0</v>
      </c>
      <c r="L7" s="10"/>
      <c r="M7" s="9" t="e">
        <f>Tabela35[[#This Row],[Frete]]/Tabela35[[#This Row],[Valor Frete]]</f>
        <v>#DIV/0!</v>
      </c>
      <c r="N7" s="4"/>
      <c r="O7" s="4"/>
      <c r="P7" s="4"/>
      <c r="Q7" s="12">
        <f>Tabela35[[#This Row],[Qtde Entregas]]-Tabela35[[#This Row],[Entregas Realizadas]]</f>
        <v>0</v>
      </c>
      <c r="R7" s="13" t="e">
        <f>Tabela35[[#This Row],[Entregas Realizadas]]/Tabela35[[#This Row],[Qtde Entregas]]</f>
        <v>#DIV/0!</v>
      </c>
      <c r="S7" s="14" t="e">
        <f>IF(Tabela35[[#This Row],[% Entrega]]&gt;=96%,"Atendeu a Meta","Não Atendeu a Meta")</f>
        <v>#DIV/0!</v>
      </c>
      <c r="T7" s="4"/>
      <c r="U7" s="4"/>
      <c r="V7" s="5"/>
    </row>
  </sheetData>
  <conditionalFormatting sqref="H2:H7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7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7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05"/>
  <sheetViews>
    <sheetView showGridLines="0" tabSelected="1" workbookViewId="0">
      <pane xSplit="10" ySplit="1" topLeftCell="V78" activePane="bottomRight" state="frozen"/>
      <selection pane="topRight" activeCell="I1" sqref="I1"/>
      <selection pane="bottomLeft" activeCell="A2" sqref="A2"/>
      <selection pane="bottomRight" activeCell="Y105" sqref="Y105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8">
        <f>YEAR(Tabela32[[#This Row],[Data]])</f>
        <v>2026</v>
      </c>
      <c r="C95" s="18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8">
        <f>YEAR(Tabela32[[#This Row],[Data]])</f>
        <v>2026</v>
      </c>
      <c r="C96" s="18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8">
        <f>YEAR(Tabela32[[#This Row],[Data]])</f>
        <v>2026</v>
      </c>
      <c r="C97" s="18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8">
        <f>YEAR(Tabela32[[#This Row],[Data]])</f>
        <v>2026</v>
      </c>
      <c r="C98" s="18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8">
        <f>YEAR(Tabela32[[#This Row],[Data]])</f>
        <v>2026</v>
      </c>
      <c r="C99" s="18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8">
        <f>YEAR(Tabela32[[#This Row],[Data]])</f>
        <v>2026</v>
      </c>
      <c r="C100" s="18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8">
        <f>YEAR(Tabela32[[#This Row],[Data]])</f>
        <v>2026</v>
      </c>
      <c r="C101" s="18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8">
        <f>YEAR(Tabela32[[#This Row],[Data]])</f>
        <v>2026</v>
      </c>
      <c r="C102" s="18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8">
        <f>YEAR(Tabela32[[#This Row],[Data]])</f>
        <v>2026</v>
      </c>
      <c r="C103" s="18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8">
        <f>YEAR(Tabela32[[#This Row],[Data]])</f>
        <v>2026</v>
      </c>
      <c r="C104" s="18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8">
        <f>YEAR(Tabela32[[#This Row],[Data]])</f>
        <v>2026</v>
      </c>
      <c r="C105" s="18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</sheetData>
  <conditionalFormatting sqref="J2:J105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05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05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D2:D105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2026-08-18T11:07:18Z</dcterms:modified>
</cp:coreProperties>
</file>