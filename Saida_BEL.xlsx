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CDF29CE5-7E2C-4AFD-B2BE-771A2BCCA6C5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7" i="4" l="1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K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K7" i="3"/>
  <c r="M7" i="3"/>
  <c r="Q7" i="3"/>
  <c r="R7" i="3"/>
  <c r="S7" i="3" s="1"/>
  <c r="H6" i="3"/>
  <c r="K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K5" i="3"/>
  <c r="M5" i="3"/>
  <c r="Q5" i="3"/>
  <c r="R5" i="3"/>
  <c r="S5" i="3" s="1"/>
  <c r="H4" i="3"/>
  <c r="K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<sst xmlns="http://schemas.openxmlformats.org/spreadsheetml/2006/main" count="413" uniqueCount="72">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</sst>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2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16" fontId="0" fillId="0" borderId="5" xfId="0" applyNumberForma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79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8" totalsRowShown="0" headerRowDxfId="78" dataDxfId="76" headerRowBorderDxfId="77" tableBorderDxfId="75" totalsRowBorderDxfId="74" headerRowCellStyle="Normal 2 2 2">
  <autoFilter ref="A1:V8" xr:uid="{DCE91C63-7150-4B05-9681-4C03C82B532C}"/>
  <tableColumns count="22">
    <tableColumn id="1" xr3:uid="{26A85748-1AED-4A71-96D3-23AF97AC5D2B}" name="Data" dataDxfId="73"/>
    <tableColumn id="25" xr3:uid="{D413966D-CDFC-4875-A3AE-6AE9D849E75F}" name="Placa" dataDxfId="72"/>
    <tableColumn id="3" xr3:uid="{D30CA2C3-D31F-4082-8392-1A98EB60EDD3}" name="Carreta" dataDxfId="71"/>
    <tableColumn id="4" xr3:uid="{758E5D51-7D49-4A69-8227-C9CE8E4A907A}" name="Motorista" dataDxfId="70"/>
    <tableColumn id="6" xr3:uid="{842361EA-39E1-4EF7-90A4-9BDC9C0966DF}" name="Valor Frete" dataDxfId="69" dataCellStyle="Moeda"/>
    <tableColumn id="7" xr3:uid="{D4C1D57F-C6B7-49EE-9F7B-47EBA6030041}" name="Valor Mercadoria" dataDxfId="68" dataCellStyle="Moeda"/>
    <tableColumn id="8" xr3:uid="{C79AB3D8-0BFF-4FFE-B20B-E81367BFEEFC}" name="Peso" dataDxfId="67"/>
    <tableColumn id="9" xr3:uid="{7D4ACBB5-8F17-463A-A61F-84A8EFF41604}" name="% Frete" dataDxfId="66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65"/>
    <tableColumn id="11" xr3:uid="{DC726A91-384E-47C4-A94A-9095E8138925}" name="Hr Chegada" dataDxfId="64"/>
    <tableColumn id="12" xr3:uid="{9A37D38C-D321-47A3-881E-B95F03E5DB0D}" name="Tempo" dataDxfId="63">
      <calculatedColumnFormula>Tabela35[[#This Row],[Hr Chegada]]-Tabela35[[#This Row],[Hr Saida]]</calculatedColumnFormula>
    </tableColumn>
    <tableColumn id="13" xr3:uid="{E5643091-5008-4800-BF73-88DFC566FBE9}" name="Frete" dataDxfId="62" dataCellStyle="Moeda"/>
    <tableColumn id="14" xr3:uid="{5E8F8636-0E97-4E52-8561-725D1AD8BAF1}" name="% Frete T" dataDxfId="61" dataCellStyle="Porcentagem">
      <calculatedColumnFormula>Tabela35[[#This Row],[Frete]]/Tabela35[[#This Row],[Valor Frete]]</calculatedColumnFormula>
    </tableColumn>
    <tableColumn id="16" xr3:uid="{F64AFFB0-A5D7-49FD-8B66-BD3FBD830A8C}" name="Vols" dataDxfId="60"/>
    <tableColumn id="17" xr3:uid="{36B8097A-82AA-4880-AA26-8A84D3BFDAE9}" name="Qtde Entregas" dataDxfId="59"/>
    <tableColumn id="18" xr3:uid="{8BF06732-0C91-4852-86A9-342D98B30169}" name="Entregas Realizadas" dataDxfId="58"/>
    <tableColumn id="19" xr3:uid="{20BD31A4-57AA-4F11-A73A-2B181C01798B}" name=" Retornadas" dataDxfId="57">
      <calculatedColumnFormula>Tabela35[[#This Row],[Qtde Entregas]]-Tabela35[[#This Row],[Entregas Realizadas]]</calculatedColumnFormula>
    </tableColumn>
    <tableColumn id="20" xr3:uid="{F3EDF45C-B4E9-4FE6-A74A-C49CA0273F75}" name="% Entrega" dataDxfId="56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55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54"/>
    <tableColumn id="23" xr3:uid="{D7BA1AAD-39A7-4F74-8E2B-3DAD30E78669}" name="Nfs Voltaram" dataDxfId="53"/>
    <tableColumn id="24" xr3:uid="{3938B063-E851-4B1A-B457-042DD7442897}" name="Código ocorrência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158" totalsRowShown="0" headerRowDxfId="51" dataDxfId="49" headerRowBorderDxfId="50" tableBorderDxfId="48" totalsRowBorderDxfId="47">
  <tableColumns count="25">
    <tableColumn id="1" xr3:uid="{B118DAB0-A500-46F5-A61D-A15BA1838F69}" name="Data" dataDxfId="46"/>
    <tableColumn id="25" xr3:uid="{DAA903FE-736A-4CBF-95D8-B9E859203B97}" name="Ano" dataDxfId="45">
      <calculatedColumnFormula>YEAR(Tabela32[[#This Row],[Data]])</calculatedColumnFormula>
    </tableColumn>
    <tableColumn id="5" xr3:uid="{90D6CF8C-ACE3-46EA-828E-BB258996DD8F}" name="Mês" dataDxfId="44">
      <calculatedColumnFormula>MONTH(Tabela32[[#This Row],[Data]])</calculatedColumnFormula>
    </tableColumn>
    <tableColumn id="2" xr3:uid="{9E2D603E-103D-4F88-A5C8-5E9A03E2A3EE}" name="Placa" dataDxfId="43"/>
    <tableColumn id="3" xr3:uid="{7935B67B-4456-42E7-8B2D-EAF1D5C1B4F9}" name="Carreta" dataDxfId="42"/>
    <tableColumn id="4" xr3:uid="{74C94A9C-B298-4701-847E-59C66BC8BBC2}" name="Motorista" dataDxfId="41">
      <calculatedColumnFormula>IFERROR(VLOOKUP(Tabela32[[#This Row],[Placa]],Planilha2!$A$1:$B$12,2,0),"")</calculatedColumnFormula>
    </tableColumn>
    <tableColumn id="6" xr3:uid="{694C94D7-8F01-480E-AA0C-B9B0FA8D2345}" name="Valor Frete" dataDxfId="40"/>
    <tableColumn id="7" xr3:uid="{7D623530-7EED-4526-B289-B392FA2EF883}" name="Valor Mercadoria" dataDxfId="39"/>
    <tableColumn id="8" xr3:uid="{3D927A69-B557-47A5-A269-05DEBEF85C73}" name="Peso" dataDxfId="38"/>
    <tableColumn id="9" xr3:uid="{69BC588C-6D01-4257-B2D9-CF2D843D1C40}" name="% Frete" dataDxfId="37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36"/>
    <tableColumn id="11" xr3:uid="{3B907CC4-B262-4107-87FF-1E75280AC1BF}" name="Hr Chegada" dataDxfId="35"/>
    <tableColumn id="12" xr3:uid="{ED725939-179A-4D21-873C-15774DD68F53}" name="Tempo" dataDxfId="34">
      <calculatedColumnFormula>Tabela32[[#This Row],[Hr Chegada]]-Tabela32[[#This Row],[Hr Saida]]</calculatedColumnFormula>
    </tableColumn>
    <tableColumn id="13" xr3:uid="{74EA350D-6976-4E2D-A058-0785043C5735}" name="Km Saída" dataDxfId="33"/>
    <tableColumn id="14" xr3:uid="{496AFEAD-5BFE-466C-B0AF-20375AAEECFC}" name="Km Chegada" dataDxfId="32"/>
    <tableColumn id="15" xr3:uid="{AB2841F1-639E-4525-98D9-0FAED04E102B}" name="Km/Dia" dataDxfId="31">
      <calculatedColumnFormula>Tabela32[[#This Row],[Km Chegada]]-Tabela32[[#This Row],[Km Saída]]</calculatedColumnFormula>
    </tableColumn>
    <tableColumn id="16" xr3:uid="{D83FBC01-4652-43E1-B278-CE34A958D106}" name="Vols" dataDxfId="30"/>
    <tableColumn id="17" xr3:uid="{CA7BF05C-1770-40EE-89A9-C80AA88EFC06}" name="Entregas" dataDxfId="29"/>
    <tableColumn id="18" xr3:uid="{037F6348-AFD4-431D-99B0-8147EA9E213B}" name="Realizadas" dataDxfId="28"/>
    <tableColumn id="19" xr3:uid="{196A1910-314C-450C-B67A-E51295FA6A18}" name=" Retornadas" dataDxfId="27">
      <calculatedColumnFormula>Tabela32[[#This Row],[Entregas]]-Tabela32[[#This Row],[Realizadas]]</calculatedColumnFormula>
    </tableColumn>
    <tableColumn id="20" xr3:uid="{F0BBC004-BAAB-43E2-A50E-1DD3FAEFD5F0}" name="% Entrega" dataDxfId="26" dataCellStyle="Moeda">
      <calculatedColumnFormula>Tabela32[[#This Row],[Realizadas]]/Tabela32[[#This Row],[Entregas]]</calculatedColumnFormula>
    </tableColumn>
    <tableColumn id="21" xr3:uid="{BB53A276-7721-4934-9C42-DB7E1D2740B3}" name="Meta" dataDxfId="25">
      <calculatedColumnFormula>IF(Tabela32[[#This Row],[% Entrega]]&gt;=96%,"Atendeu a Meta","Não Atendeu a Meta")</calculatedColumnFormula>
    </tableColumn>
    <tableColumn id="22" xr3:uid="{CE1DD687-26CA-4D2F-BCFC-661EB14CAD0F}" name="Cidade Destino" dataDxfId="24"/>
    <tableColumn id="23" xr3:uid="{F8FFD74E-1FF0-45CC-9EA9-8E8EA807957C}" name="Nfs Voltaram" dataDxfId="23"/>
    <tableColumn id="24" xr3:uid="{2EC98F08-AFB3-40A3-B3CE-1C9A788E39CD}" name="Ocorrênci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8"/>
  <sheetViews>
    <sheetView showGridLines="0" workbookViewId="0">
      <pane xSplit="8" ySplit="1" topLeftCell="P2" activePane="bottomRight" state="frozen"/>
      <selection pane="topRight" activeCell="I1" sqref="I1"/>
      <selection pane="bottomLeft" activeCell="A2" sqref="A2"/>
      <selection pane="bottomRight" activeCell="U8" sqref="U8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  <row r="6" spans="1:22" x14ac:dyDescent="0.25">
      <c r="A6" s="8">
        <v>46247</v>
      </c>
      <c r="B6" s="8" t="s">
        <v>46</v>
      </c>
      <c r="C6" s="4"/>
      <c r="D6" s="4" t="s">
        <v>47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40</v>
      </c>
      <c r="U6" s="4">
        <v>1</v>
      </c>
      <c r="V6" s="5">
        <v>10</v>
      </c>
    </row>
    <row r="7" spans="1:22" x14ac:dyDescent="0.25">
      <c r="A7" s="8">
        <v>46252</v>
      </c>
      <c r="B7" s="8" t="s">
        <v>46</v>
      </c>
      <c r="C7" s="4"/>
      <c r="D7" s="4" t="s">
        <v>47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45</v>
      </c>
      <c r="U7" s="4">
        <v>1</v>
      </c>
      <c r="V7" s="5">
        <v>9</v>
      </c>
    </row>
    <row r="8" spans="1:22" x14ac:dyDescent="0.25">
      <c r="A8" s="21">
        <v>46253</v>
      </c>
      <c r="B8" s="8" t="s">
        <v>67</v>
      </c>
      <c r="C8" s="4"/>
      <c r="D8" s="4" t="s">
        <v>68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</sheetData>
  <conditionalFormatting sqref="H2:H8">
    <cfRule type="cellIs" dxfId="21" priority="1" operator="lessThan">
      <formula>0.05</formula>
    </cfRule>
    <cfRule type="cellIs" dxfId="20" priority="2" operator="greaterThanOrEqual">
      <formula>0.05</formula>
    </cfRule>
  </conditionalFormatting>
  <conditionalFormatting sqref="R2:R8">
    <cfRule type="cellIs" dxfId="19" priority="7" stopIfTrue="1" operator="lessThanOrEqual">
      <formula>0.949</formula>
    </cfRule>
    <cfRule type="cellIs" dxfId="18" priority="8" stopIfTrue="1" operator="greaterThanOrEqual">
      <formula>0.9</formula>
    </cfRule>
    <cfRule type="cellIs" dxfId="17" priority="9" stopIfTrue="1" operator="greaterThanOrEqual">
      <formula>90</formula>
    </cfRule>
    <cfRule type="cellIs" dxfId="16" priority="10" stopIfTrue="1" operator="lessThan">
      <formula>0</formula>
    </cfRule>
    <cfRule type="cellIs" dxfId="15" priority="11" stopIfTrue="1" operator="lessThan">
      <formula>1</formula>
    </cfRule>
    <cfRule type="cellIs" dxfId="14" priority="12" stopIfTrue="1" operator="greaterThan">
      <formula>100</formula>
    </cfRule>
    <cfRule type="cellIs" dxfId="13" priority="13" stopIfTrue="1" operator="greaterThan">
      <formula>1</formula>
    </cfRule>
  </conditionalFormatting>
  <conditionalFormatting sqref="S2:S8">
    <cfRule type="expression" dxfId="12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1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158"/>
  <sheetViews>
    <sheetView showGridLines="0" tabSelected="1" workbookViewId="0">
      <pane xSplit="10" ySplit="1" topLeftCell="V2" activePane="bottomRight" state="frozen"/>
      <selection pane="topRight" activeCell="I1" sqref="I1"/>
      <selection pane="bottomLeft" activeCell="A2" sqref="A2"/>
      <selection pane="bottomRight" activeCell="Y61" sqref="Y61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15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24</v>
      </c>
      <c r="E2" s="4"/>
      <c r="F2" s="4" t="str">
        <f>IFERROR(VLOOKUP(Tabela32[[#This Row],[Placa]],Planilha2!$A$1:$B$12,2,0),"")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34</v>
      </c>
      <c r="E3" s="4"/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55</v>
      </c>
      <c r="E4" s="4"/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26</v>
      </c>
      <c r="E5" s="4"/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36</v>
      </c>
      <c r="E6" s="4"/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32</v>
      </c>
      <c r="E7" s="4"/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30</v>
      </c>
      <c r="E8" s="4"/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/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37</v>
      </c>
      <c r="E10" s="4"/>
      <c r="F10" s="4" t="str">
        <f>IFERROR(VLOOKUP(Tabela32[[#This Row],[Placa]],Planilha2!$A$1:$B$12,2,0),"")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28</v>
      </c>
      <c r="E11" s="4"/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29</v>
      </c>
      <c r="E12" s="4"/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26</v>
      </c>
      <c r="E13" s="4"/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/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55</v>
      </c>
      <c r="E15" s="4"/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36</v>
      </c>
      <c r="E16" s="4"/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40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29</v>
      </c>
      <c r="E17" s="4"/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24</v>
      </c>
      <c r="E18" s="4"/>
      <c r="F18" s="4" t="str">
        <f>IFERROR(VLOOKUP(Tabela32[[#This Row],[Placa]],Planilha2!$A$1:$B$12,2,0),"")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34</v>
      </c>
      <c r="E19" s="4"/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34</v>
      </c>
      <c r="E20" s="4"/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32</v>
      </c>
      <c r="E21" s="4"/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26</v>
      </c>
      <c r="E22" s="4"/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30</v>
      </c>
      <c r="E23" s="4"/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28</v>
      </c>
      <c r="E24" s="4"/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29</v>
      </c>
      <c r="E25" s="4"/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26</v>
      </c>
      <c r="E26" s="4"/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30</v>
      </c>
      <c r="E27" s="4"/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/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24</v>
      </c>
      <c r="E29" s="4"/>
      <c r="F29" s="4" t="str">
        <f>IFERROR(VLOOKUP(Tabela32[[#This Row],[Placa]],Planilha2!$A$1:$B$12,2,0),"")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55</v>
      </c>
      <c r="E30" s="4"/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29</v>
      </c>
      <c r="E31" s="4"/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28</v>
      </c>
      <c r="E32" s="4"/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42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32</v>
      </c>
      <c r="E33" s="4"/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34</v>
      </c>
      <c r="E34" s="4"/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34</v>
      </c>
      <c r="E35" s="4"/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29</v>
      </c>
      <c r="E36" s="4"/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24</v>
      </c>
      <c r="E37" s="4"/>
      <c r="F37" s="4" t="str">
        <f>IFERROR(VLOOKUP(Tabela32[[#This Row],[Placa]],Planilha2!$A$1:$B$12,2,0),"")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28</v>
      </c>
      <c r="E38" s="4"/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36</v>
      </c>
      <c r="E39" s="4"/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32</v>
      </c>
      <c r="E40" s="4"/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/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55</v>
      </c>
      <c r="E42" s="4"/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26</v>
      </c>
      <c r="E43" s="4"/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26</v>
      </c>
      <c r="E44" s="4"/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34</v>
      </c>
      <c r="E45" s="4"/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29</v>
      </c>
      <c r="E46" s="4"/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34</v>
      </c>
      <c r="E47" s="4"/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/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55</v>
      </c>
      <c r="E49" s="4"/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32</v>
      </c>
      <c r="E50" s="4"/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40</v>
      </c>
      <c r="X50" s="4">
        <v>2</v>
      </c>
      <c r="Y50" s="5" t="s">
        <v>63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26</v>
      </c>
      <c r="E51" s="4"/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36</v>
      </c>
      <c r="E52" s="4"/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28</v>
      </c>
      <c r="E53" s="4"/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24</v>
      </c>
      <c r="E54" s="4"/>
      <c r="F54" s="4" t="str">
        <f>IFERROR(VLOOKUP(Tabela32[[#This Row],[Placa]],Planilha2!$A$1:$B$12,2,0),"")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37</v>
      </c>
      <c r="E55" s="4"/>
      <c r="F55" s="4" t="str">
        <f>IFERROR(VLOOKUP(Tabela32[[#This Row],[Placa]],Planilha2!$A$1:$B$12,2,0),"")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55</v>
      </c>
      <c r="E56" s="4"/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28</v>
      </c>
      <c r="E57" s="4"/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/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36</v>
      </c>
      <c r="E59" s="4"/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34</v>
      </c>
      <c r="E60" s="4"/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32</v>
      </c>
      <c r="E61" s="4"/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24</v>
      </c>
      <c r="E62" s="4"/>
      <c r="F62" s="4" t="str">
        <f>IFERROR(VLOOKUP(Tabela32[[#This Row],[Placa]],Planilha2!$A$1:$B$12,2,0),"")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40</v>
      </c>
      <c r="X62" s="4">
        <v>3</v>
      </c>
      <c r="Y62" s="5" t="s">
        <v>71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26</v>
      </c>
      <c r="E63" s="4"/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29</v>
      </c>
      <c r="E64" s="4"/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28</v>
      </c>
      <c r="E65" s="4"/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/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29</v>
      </c>
      <c r="E67" s="4"/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24</v>
      </c>
      <c r="E68" s="4"/>
      <c r="F68" s="4" t="str">
        <f>IFERROR(VLOOKUP(Tabela32[[#This Row],[Placa]],Planilha2!$A$1:$B$12,2,0),"")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36</v>
      </c>
      <c r="E69" s="4"/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34</v>
      </c>
      <c r="E70" s="4"/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26</v>
      </c>
      <c r="E71" s="4"/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55</v>
      </c>
      <c r="E72" s="4"/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32</v>
      </c>
      <c r="E73" s="4"/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36</v>
      </c>
      <c r="E74" s="4"/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34</v>
      </c>
      <c r="E75" s="4"/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/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24</v>
      </c>
      <c r="E77" s="4"/>
      <c r="F77" s="4" t="str">
        <f>IFERROR(VLOOKUP(Tabela32[[#This Row],[Placa]],Planilha2!$A$1:$B$12,2,0),"")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26</v>
      </c>
      <c r="E78" s="4"/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28</v>
      </c>
      <c r="E79" s="4"/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34</v>
      </c>
      <c r="E80" s="4"/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29</v>
      </c>
      <c r="E81" s="4"/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32</v>
      </c>
      <c r="E82" s="4"/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55</v>
      </c>
      <c r="E83" s="4"/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24</v>
      </c>
      <c r="E84" s="4"/>
      <c r="F84" s="4" t="str">
        <f>IFERROR(VLOOKUP(Tabela32[[#This Row],[Placa]],Planilha2!$A$1:$B$12,2,0),"")</f>
        <v>Wesley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42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36</v>
      </c>
      <c r="E85" s="4"/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45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26</v>
      </c>
      <c r="E86" s="4"/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40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32</v>
      </c>
      <c r="E87" s="4"/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40</v>
      </c>
      <c r="X87" s="4">
        <v>3</v>
      </c>
      <c r="Y87" s="5" t="s">
        <v>71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/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40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55</v>
      </c>
      <c r="E89" s="4"/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42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29</v>
      </c>
      <c r="E90" s="4"/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41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28</v>
      </c>
      <c r="E91" s="4"/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40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26</v>
      </c>
      <c r="E92" s="4"/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40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30</v>
      </c>
      <c r="E93" s="4"/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40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34</v>
      </c>
      <c r="E94" s="4"/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41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55</v>
      </c>
      <c r="E95" s="4"/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40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34</v>
      </c>
      <c r="E96" s="4"/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65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28</v>
      </c>
      <c r="E97" s="4"/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45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30</v>
      </c>
      <c r="E98" s="4"/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42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29</v>
      </c>
      <c r="E99" s="4"/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40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36</v>
      </c>
      <c r="E100" s="4"/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45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/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40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26</v>
      </c>
      <c r="E102" s="4"/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40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24</v>
      </c>
      <c r="E103" s="4"/>
      <c r="F103" s="4" t="str">
        <f>IFERROR(VLOOKUP(Tabela32[[#This Row],[Placa]],Planilha2!$A$1:$B$12,2,0),"")</f>
        <v>Wesley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42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32</v>
      </c>
      <c r="E104" s="4"/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41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34</v>
      </c>
      <c r="E105" s="4"/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41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30</v>
      </c>
      <c r="E106" s="4"/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42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36</v>
      </c>
      <c r="E107" s="4"/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41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24</v>
      </c>
      <c r="E108" s="4"/>
      <c r="F108" s="4" t="str">
        <f>IFERROR(VLOOKUP(Tabela32[[#This Row],[Placa]],Planilha2!$A$1:$B$12,2,0),"")</f>
        <v>Wesley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40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28</v>
      </c>
      <c r="E109" s="4"/>
      <c r="F109" s="4" t="str">
        <f>IFERROR(VLOOKUP(Tabela32[[#This Row],[Placa]],Planilha2!$A$1:$B$12,2,0),"")</f>
        <v>Rosinaldo</v>
      </c>
      <c r="G109" s="20">
        <v>6107.34</v>
      </c>
      <c r="H109" s="2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41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/>
      <c r="F110" s="4" t="str">
        <f>IFERROR(VLOOKUP(Tabela32[[#This Row],[Placa]],Planilha2!$A$1:$B$12,2,0),"")</f>
        <v>Juscelino</v>
      </c>
      <c r="G110" s="20">
        <v>8968.25</v>
      </c>
      <c r="H110" s="2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40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55</v>
      </c>
      <c r="E111" s="4"/>
      <c r="F111" s="4" t="str">
        <f>IFERROR(VLOOKUP(Tabela32[[#This Row],[Placa]],Planilha2!$A$1:$B$12,2,0),"")</f>
        <v>Arnaldo</v>
      </c>
      <c r="G111" s="20">
        <v>13448.98</v>
      </c>
      <c r="H111" s="2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40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29</v>
      </c>
      <c r="E112" s="4"/>
      <c r="F112" s="4" t="str">
        <f>IFERROR(VLOOKUP(Tabela32[[#This Row],[Placa]],Planilha2!$A$1:$B$12,2,0),"")</f>
        <v>Edilson</v>
      </c>
      <c r="G112" s="20">
        <v>16015.07</v>
      </c>
      <c r="H112" s="2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42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26</v>
      </c>
      <c r="E113" s="4"/>
      <c r="F113" s="4" t="str">
        <f>IFERROR(VLOOKUP(Tabela32[[#This Row],[Placa]],Planilha2!$A$1:$B$12,2,0),"")</f>
        <v>Gilberto</v>
      </c>
      <c r="G113" s="20">
        <v>6269.27</v>
      </c>
      <c r="H113" s="2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40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34</v>
      </c>
      <c r="E114" s="4"/>
      <c r="F114" s="4" t="str">
        <f>IFERROR(VLOOKUP(Tabela32[[#This Row],[Placa]],Planilha2!$A$1:$B$12,2,0),"")</f>
        <v>Paulo</v>
      </c>
      <c r="G114" s="20">
        <v>1959.35</v>
      </c>
      <c r="H114" s="2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45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/>
      <c r="F115" s="4" t="str">
        <f>IFERROR(VLOOKUP(Tabela32[[#This Row],[Placa]],Planilha2!$A$1:$B$12,2,0),"")</f>
        <v>Juscelino</v>
      </c>
      <c r="G115" s="20">
        <v>6952.52</v>
      </c>
      <c r="H115" s="2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40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34</v>
      </c>
      <c r="E116" s="4"/>
      <c r="F116" s="4" t="str">
        <f>IFERROR(VLOOKUP(Tabela32[[#This Row],[Placa]],Planilha2!$A$1:$B$12,2,0),"")</f>
        <v>Paulo</v>
      </c>
      <c r="G116" s="20">
        <v>677.17</v>
      </c>
      <c r="H116" s="2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41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36</v>
      </c>
      <c r="E117" s="4"/>
      <c r="F117" s="4" t="str">
        <f>IFERROR(VLOOKUP(Tabela32[[#This Row],[Placa]],Planilha2!$A$1:$B$12,2,0),"")</f>
        <v>Osvaldo</v>
      </c>
      <c r="G117" s="2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41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24</v>
      </c>
      <c r="E118" s="4"/>
      <c r="F118" s="4" t="str">
        <f>IFERROR(VLOOKUP(Tabela32[[#This Row],[Placa]],Planilha2!$A$1:$B$12,2,0),"")</f>
        <v>Wesley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65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26</v>
      </c>
      <c r="E119" s="4"/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40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30</v>
      </c>
      <c r="E120" s="4"/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42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29</v>
      </c>
      <c r="E121" s="4"/>
      <c r="F121" s="4" t="str">
        <f>IFERROR(VLOOKUP(Tabela32[[#This Row],[Placa]],Planilha2!$A$1:$B$12,2,0),"")</f>
        <v>Edilson</v>
      </c>
      <c r="G121" s="10">
        <v>34859.64</v>
      </c>
      <c r="H121" s="4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42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38</v>
      </c>
      <c r="E122" s="4"/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41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37</v>
      </c>
      <c r="E123" s="4"/>
      <c r="F123" s="4" t="str">
        <f>IFERROR(VLOOKUP(Tabela32[[#This Row],[Placa]],Planilha2!$A$1:$B$12,2,0),"")</f>
        <v>Geber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40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28</v>
      </c>
      <c r="E124" s="4"/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41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36</v>
      </c>
      <c r="E125" s="4"/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45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55</v>
      </c>
      <c r="E126" s="4"/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40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34</v>
      </c>
      <c r="E127" s="4"/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66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30</v>
      </c>
      <c r="E128" s="4"/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41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24</v>
      </c>
      <c r="E129" s="4"/>
      <c r="F129" s="4" t="str">
        <f>IFERROR(VLOOKUP(Tabela32[[#This Row],[Placa]],Planilha2!$A$1:$B$12,2,0),"")</f>
        <v>Wesley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40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/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40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29</v>
      </c>
      <c r="E131" s="4"/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42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36</v>
      </c>
      <c r="E132" s="4"/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40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34</v>
      </c>
      <c r="E133" s="4"/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45</v>
      </c>
      <c r="X133" s="4">
        <v>2</v>
      </c>
      <c r="Y133" s="5">
        <v>42.21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28</v>
      </c>
      <c r="E134" s="4"/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45</v>
      </c>
      <c r="X134" s="4">
        <v>7</v>
      </c>
      <c r="Y134" s="5" t="s">
        <v>70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26</v>
      </c>
      <c r="E135" s="4"/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40</v>
      </c>
      <c r="X135" s="4">
        <v>3</v>
      </c>
      <c r="Y135" s="5" t="s">
        <v>71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55</v>
      </c>
      <c r="E136" s="4"/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40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30</v>
      </c>
      <c r="E137" s="4"/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40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29</v>
      </c>
      <c r="E138" s="4"/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42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55</v>
      </c>
      <c r="E139" s="4"/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40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30</v>
      </c>
      <c r="E140" s="4"/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41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26</v>
      </c>
      <c r="E141" s="4"/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40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36</v>
      </c>
      <c r="E142" s="4"/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45</v>
      </c>
      <c r="X142" s="4">
        <v>5</v>
      </c>
      <c r="Y142" s="5" t="s">
        <v>70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32</v>
      </c>
      <c r="E143" s="4"/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40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/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40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34</v>
      </c>
      <c r="E145" s="4"/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41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24</v>
      </c>
      <c r="E146" s="4"/>
      <c r="F146" s="4" t="str">
        <f>IFERROR(VLOOKUP(Tabela32[[#This Row],[Placa]],Planilha2!$A$1:$B$12,2,0),"")</f>
        <v>Wesley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45</v>
      </c>
      <c r="X146" s="4">
        <v>3</v>
      </c>
      <c r="Y146" s="5" t="s">
        <v>69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30</v>
      </c>
      <c r="E147" s="4"/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40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30</v>
      </c>
      <c r="E148" s="4"/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42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30</v>
      </c>
      <c r="E149" s="4"/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41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32</v>
      </c>
      <c r="E150" s="4"/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40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26</v>
      </c>
      <c r="E151" s="4"/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42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36</v>
      </c>
      <c r="E152" s="4"/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65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34</v>
      </c>
      <c r="E153" s="4"/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41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29</v>
      </c>
      <c r="E154" s="4"/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40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55</v>
      </c>
      <c r="E155" s="4"/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40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/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40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28</v>
      </c>
      <c r="E157" s="4"/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45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24</v>
      </c>
      <c r="E158" s="4"/>
      <c r="F158" s="4" t="str">
        <f>IFERROR(VLOOKUP(Tabela32[[#This Row],[Placa]],Planilha2!$A$1:$B$12,2,0),"")</f>
        <v>Wesley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45</v>
      </c>
      <c r="X158" s="4">
        <v>0</v>
      </c>
      <c r="Y158" s="5">
        <v>0</v>
      </c>
    </row>
  </sheetData>
  <conditionalFormatting sqref="J2:J158">
    <cfRule type="cellIs" dxfId="10" priority="1" operator="lessThan">
      <formula>0.05</formula>
    </cfRule>
    <cfRule type="cellIs" dxfId="9" priority="2" operator="greaterThanOrEqual">
      <formula>0.05</formula>
    </cfRule>
  </conditionalFormatting>
  <conditionalFormatting sqref="U2:U158">
    <cfRule type="cellIs" dxfId="8" priority="7" stopIfTrue="1" operator="lessThanOrEqual">
      <formula>0.949</formula>
    </cfRule>
    <cfRule type="cellIs" dxfId="7" priority="8" stopIfTrue="1" operator="greaterThanOrEqual">
      <formula>0.9</formula>
    </cfRule>
    <cfRule type="cellIs" dxfId="6" priority="9" stopIfTrue="1" operator="greaterThanOrEqual">
      <formula>90</formula>
    </cfRule>
    <cfRule type="cellIs" dxfId="5" priority="10" stopIfTrue="1" operator="lessThan">
      <formula>0</formula>
    </cfRule>
    <cfRule type="cellIs" dxfId="4" priority="11" stopIfTrue="1" operator="lessThan">
      <formula>1</formula>
    </cfRule>
    <cfRule type="cellIs" dxfId="3" priority="12" stopIfTrue="1" operator="greaterThan">
      <formula>100</formula>
    </cfRule>
    <cfRule type="cellIs" dxfId="2" priority="13" stopIfTrue="1" operator="greaterThan">
      <formula>1</formula>
    </cfRule>
  </conditionalFormatting>
  <conditionalFormatting sqref="V2:V158">
    <cfRule type="expression" dxfId="1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0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D2:D158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2026-08-25T15:47:00Z</dcterms:modified>
</cp:coreProperties>
</file>