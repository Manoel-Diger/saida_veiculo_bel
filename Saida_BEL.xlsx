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97F28CA8-490D-4463-8E8B-FC9F24B220CD}" xr6:coauthVersionLast="47" xr6:coauthVersionMax="47" xr10:uidLastSave="{00000000-0000-0000-0000-000000000000}"/>
  <bookViews>
    <workbookView xWindow="-120" yWindow="-120" windowWidth="20730" windowHeight="11160" activeTab="1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3" l="1"/>
  <c r="K38" i="3"/>
  <c r="M38" i="3"/>
  <c r="Q38" i="3"/>
  <c r="R38" i="3"/>
  <c r="S38" i="3" s="1"/>
  <c r="H37" i="3"/>
  <c r="K37" i="3"/>
  <c r="M37" i="3"/>
  <c r="Q37" i="3"/>
  <c r="R37" i="3"/>
  <c r="S37" i="3" s="1"/>
  <c r="B648" i="4"/>
  <c r="C648" i="4"/>
  <c r="F648" i="4"/>
  <c r="J648" i="4"/>
  <c r="M648" i="4"/>
  <c r="P648" i="4"/>
  <c r="T648" i="4"/>
  <c r="U648" i="4"/>
  <c r="V648" i="4" s="1"/>
  <c r="B647" i="4"/>
  <c r="C647" i="4"/>
  <c r="F647" i="4"/>
  <c r="J647" i="4"/>
  <c r="M647" i="4"/>
  <c r="P647" i="4"/>
  <c r="T647" i="4"/>
  <c r="U647" i="4"/>
  <c r="V647" i="4" s="1"/>
  <c r="B646" i="4"/>
  <c r="C646" i="4"/>
  <c r="F646" i="4"/>
  <c r="J646" i="4"/>
  <c r="M646" i="4"/>
  <c r="P646" i="4"/>
  <c r="T646" i="4"/>
  <c r="U646" i="4"/>
  <c r="V646" i="4" s="1"/>
  <c r="B645" i="4"/>
  <c r="C645" i="4"/>
  <c r="F645" i="4"/>
  <c r="J645" i="4"/>
  <c r="M645" i="4"/>
  <c r="P645" i="4"/>
  <c r="T645" i="4"/>
  <c r="U645" i="4"/>
  <c r="V645" i="4" s="1"/>
  <c r="B644" i="4"/>
  <c r="C644" i="4"/>
  <c r="F644" i="4"/>
  <c r="J644" i="4"/>
  <c r="M644" i="4"/>
  <c r="P644" i="4"/>
  <c r="T644" i="4"/>
  <c r="U644" i="4"/>
  <c r="V644" i="4" s="1"/>
  <c r="B643" i="4"/>
  <c r="C643" i="4"/>
  <c r="F643" i="4"/>
  <c r="J643" i="4"/>
  <c r="M643" i="4"/>
  <c r="P643" i="4"/>
  <c r="T643" i="4"/>
  <c r="U643" i="4"/>
  <c r="V643" i="4" s="1"/>
  <c r="B642" i="4"/>
  <c r="C642" i="4"/>
  <c r="F642" i="4"/>
  <c r="J642" i="4"/>
  <c r="M642" i="4"/>
  <c r="P642" i="4"/>
  <c r="T642" i="4"/>
  <c r="U642" i="4"/>
  <c r="V642" i="4" s="1"/>
  <c r="B641" i="4"/>
  <c r="C641" i="4"/>
  <c r="F641" i="4"/>
  <c r="J641" i="4"/>
  <c r="M641" i="4"/>
  <c r="P641" i="4"/>
  <c r="T641" i="4"/>
  <c r="U641" i="4"/>
  <c r="V641" i="4" s="1"/>
  <c r="J640" i="4"/>
  <c r="B640" i="4"/>
  <c r="C640" i="4"/>
  <c r="F640" i="4"/>
  <c r="M640" i="4"/>
  <c r="P640" i="4"/>
  <c r="T640" i="4"/>
  <c r="U640" i="4"/>
  <c r="V640" i="4" s="1"/>
  <c r="B639" i="4"/>
  <c r="C639" i="4"/>
  <c r="F639" i="4"/>
  <c r="J639" i="4"/>
  <c r="M639" i="4"/>
  <c r="P639" i="4"/>
  <c r="T639" i="4"/>
  <c r="U639" i="4"/>
  <c r="V639" i="4" s="1"/>
  <c r="B638" i="4"/>
  <c r="C638" i="4"/>
  <c r="F638" i="4"/>
  <c r="J638" i="4"/>
  <c r="M638" i="4"/>
  <c r="P638" i="4"/>
  <c r="T638" i="4"/>
  <c r="U638" i="4"/>
  <c r="V638" i="4" s="1"/>
  <c r="B637" i="4"/>
  <c r="C637" i="4"/>
  <c r="F637" i="4"/>
  <c r="J637" i="4"/>
  <c r="M637" i="4"/>
  <c r="P637" i="4"/>
  <c r="T637" i="4"/>
  <c r="U637" i="4"/>
  <c r="V637" i="4" s="1"/>
  <c r="B636" i="4"/>
  <c r="C636" i="4"/>
  <c r="F636" i="4"/>
  <c r="J636" i="4"/>
  <c r="M636" i="4"/>
  <c r="P636" i="4"/>
  <c r="T636" i="4"/>
  <c r="U636" i="4"/>
  <c r="V636" i="4" s="1"/>
  <c r="B635" i="4"/>
  <c r="C635" i="4"/>
  <c r="F635" i="4"/>
  <c r="J635" i="4"/>
  <c r="M635" i="4"/>
  <c r="P635" i="4"/>
  <c r="T635" i="4"/>
  <c r="U635" i="4"/>
  <c r="V635" i="4" s="1"/>
  <c r="B634" i="4"/>
  <c r="C634" i="4"/>
  <c r="F634" i="4"/>
  <c r="J634" i="4"/>
  <c r="M634" i="4"/>
  <c r="P634" i="4"/>
  <c r="T634" i="4"/>
  <c r="U634" i="4"/>
  <c r="V634" i="4" s="1"/>
  <c r="B633" i="4"/>
  <c r="C633" i="4"/>
  <c r="F633" i="4"/>
  <c r="J633" i="4"/>
  <c r="M633" i="4"/>
  <c r="P633" i="4"/>
  <c r="T633" i="4"/>
  <c r="U633" i="4"/>
  <c r="V633" i="4" s="1"/>
  <c r="B632" i="4"/>
  <c r="C632" i="4"/>
  <c r="F632" i="4"/>
  <c r="J632" i="4"/>
  <c r="M632" i="4"/>
  <c r="P632" i="4"/>
  <c r="T632" i="4"/>
  <c r="U632" i="4"/>
  <c r="V632" i="4" s="1"/>
  <c r="H36" i="3"/>
  <c r="K36" i="3"/>
  <c r="M36" i="3"/>
  <c r="Q36" i="3"/>
  <c r="R36" i="3"/>
  <c r="S36" i="3" s="1"/>
  <c r="B631" i="4"/>
  <c r="C631" i="4"/>
  <c r="F631" i="4"/>
  <c r="J631" i="4"/>
  <c r="M631" i="4"/>
  <c r="P631" i="4"/>
  <c r="T631" i="4"/>
  <c r="U631" i="4"/>
  <c r="V631" i="4"/>
  <c r="B630" i="4"/>
  <c r="C630" i="4"/>
  <c r="F630" i="4"/>
  <c r="J630" i="4"/>
  <c r="M630" i="4"/>
  <c r="P630" i="4"/>
  <c r="T630" i="4"/>
  <c r="U630" i="4"/>
  <c r="V630" i="4" s="1"/>
  <c r="J629" i="4"/>
  <c r="B629" i="4"/>
  <c r="C629" i="4"/>
  <c r="F629" i="4"/>
  <c r="M629" i="4"/>
  <c r="P629" i="4"/>
  <c r="T629" i="4"/>
  <c r="U629" i="4"/>
  <c r="V629" i="4" s="1"/>
  <c r="B628" i="4"/>
  <c r="C628" i="4"/>
  <c r="F628" i="4"/>
  <c r="J628" i="4"/>
  <c r="M628" i="4"/>
  <c r="P628" i="4"/>
  <c r="T628" i="4"/>
  <c r="U628" i="4"/>
  <c r="V628" i="4" s="1"/>
  <c r="B627" i="4"/>
  <c r="C627" i="4"/>
  <c r="F627" i="4"/>
  <c r="J627" i="4"/>
  <c r="M627" i="4"/>
  <c r="P627" i="4"/>
  <c r="T627" i="4"/>
  <c r="U627" i="4"/>
  <c r="V627" i="4" s="1"/>
  <c r="B626" i="4"/>
  <c r="C626" i="4"/>
  <c r="F626" i="4"/>
  <c r="J626" i="4"/>
  <c r="M626" i="4"/>
  <c r="P626" i="4"/>
  <c r="T626" i="4"/>
  <c r="U626" i="4"/>
  <c r="V626" i="4" s="1"/>
  <c r="B625" i="4"/>
  <c r="C625" i="4"/>
  <c r="F625" i="4"/>
  <c r="J625" i="4"/>
  <c r="M625" i="4"/>
  <c r="P625" i="4"/>
  <c r="T625" i="4"/>
  <c r="U625" i="4"/>
  <c r="V625" i="4" s="1"/>
  <c r="B624" i="4"/>
  <c r="C624" i="4"/>
  <c r="F624" i="4"/>
  <c r="J624" i="4"/>
  <c r="M624" i="4"/>
  <c r="P624" i="4"/>
  <c r="T624" i="4"/>
  <c r="U624" i="4"/>
  <c r="V624" i="4" s="1"/>
  <c r="B623" i="4"/>
  <c r="C623" i="4"/>
  <c r="F623" i="4"/>
  <c r="J623" i="4"/>
  <c r="M623" i="4"/>
  <c r="P623" i="4"/>
  <c r="T623" i="4"/>
  <c r="U623" i="4"/>
  <c r="V623" i="4" s="1"/>
  <c r="B622" i="4"/>
  <c r="C622" i="4"/>
  <c r="F622" i="4"/>
  <c r="J622" i="4"/>
  <c r="M622" i="4"/>
  <c r="P622" i="4"/>
  <c r="T622" i="4"/>
  <c r="U622" i="4"/>
  <c r="V622" i="4" s="1"/>
  <c r="B621" i="4"/>
  <c r="C621" i="4"/>
  <c r="F621" i="4"/>
  <c r="J621" i="4"/>
  <c r="M621" i="4"/>
  <c r="P621" i="4"/>
  <c r="T621" i="4"/>
  <c r="U621" i="4"/>
  <c r="V621" i="4" s="1"/>
  <c r="H35" i="3"/>
  <c r="K35" i="3"/>
  <c r="M35" i="3"/>
  <c r="Q35" i="3"/>
  <c r="R35" i="3"/>
  <c r="S35" i="3" s="1"/>
  <c r="B620" i="4"/>
  <c r="C620" i="4"/>
  <c r="F620" i="4"/>
  <c r="J620" i="4"/>
  <c r="M620" i="4"/>
  <c r="P620" i="4"/>
  <c r="T620" i="4"/>
  <c r="U620" i="4"/>
  <c r="V620" i="4" s="1"/>
  <c r="B619" i="4"/>
  <c r="C619" i="4"/>
  <c r="F619" i="4"/>
  <c r="J619" i="4"/>
  <c r="M619" i="4"/>
  <c r="P619" i="4"/>
  <c r="T619" i="4"/>
  <c r="U619" i="4"/>
  <c r="V619" i="4" s="1"/>
  <c r="B618" i="4"/>
  <c r="C618" i="4"/>
  <c r="F618" i="4"/>
  <c r="J618" i="4"/>
  <c r="M618" i="4"/>
  <c r="P618" i="4"/>
  <c r="T618" i="4"/>
  <c r="U618" i="4"/>
  <c r="V618" i="4" s="1"/>
  <c r="B617" i="4"/>
  <c r="C617" i="4"/>
  <c r="F617" i="4"/>
  <c r="J617" i="4"/>
  <c r="M617" i="4"/>
  <c r="P617" i="4"/>
  <c r="T617" i="4"/>
  <c r="U617" i="4"/>
  <c r="V617" i="4" s="1"/>
  <c r="B616" i="4"/>
  <c r="C616" i="4"/>
  <c r="F616" i="4"/>
  <c r="J616" i="4"/>
  <c r="M616" i="4"/>
  <c r="P616" i="4"/>
  <c r="T616" i="4"/>
  <c r="U616" i="4"/>
  <c r="V616" i="4" s="1"/>
  <c r="B615" i="4"/>
  <c r="C615" i="4"/>
  <c r="F615" i="4"/>
  <c r="J615" i="4"/>
  <c r="M615" i="4"/>
  <c r="P615" i="4"/>
  <c r="T615" i="4"/>
  <c r="U615" i="4"/>
  <c r="V615" i="4" s="1"/>
  <c r="B614" i="4"/>
  <c r="C614" i="4"/>
  <c r="F614" i="4"/>
  <c r="J614" i="4"/>
  <c r="M614" i="4"/>
  <c r="P614" i="4"/>
  <c r="T614" i="4"/>
  <c r="U614" i="4"/>
  <c r="V614" i="4" s="1"/>
  <c r="B613" i="4"/>
  <c r="C613" i="4"/>
  <c r="F613" i="4"/>
  <c r="J613" i="4"/>
  <c r="M613" i="4"/>
  <c r="P613" i="4"/>
  <c r="T613" i="4"/>
  <c r="U613" i="4"/>
  <c r="V613" i="4" s="1"/>
  <c r="B612" i="4"/>
  <c r="C612" i="4"/>
  <c r="F612" i="4"/>
  <c r="J612" i="4"/>
  <c r="M612" i="4"/>
  <c r="P612" i="4"/>
  <c r="T612" i="4"/>
  <c r="U612" i="4"/>
  <c r="V612" i="4" s="1"/>
  <c r="B611" i="4"/>
  <c r="C611" i="4"/>
  <c r="F611" i="4"/>
  <c r="J611" i="4"/>
  <c r="M611" i="4"/>
  <c r="P611" i="4"/>
  <c r="T611" i="4"/>
  <c r="U611" i="4"/>
  <c r="V611" i="4" s="1"/>
  <c r="B610" i="4"/>
  <c r="C610" i="4"/>
  <c r="F610" i="4"/>
  <c r="J610" i="4"/>
  <c r="M610" i="4"/>
  <c r="P610" i="4"/>
  <c r="T610" i="4"/>
  <c r="U610" i="4"/>
  <c r="V610" i="4" s="1"/>
  <c r="H34" i="3"/>
  <c r="K34" i="3"/>
  <c r="M34" i="3"/>
  <c r="Q34" i="3"/>
  <c r="R34" i="3"/>
  <c r="S34" i="3" s="1"/>
  <c r="B609" i="4"/>
  <c r="C609" i="4"/>
  <c r="F609" i="4"/>
  <c r="J609" i="4"/>
  <c r="M609" i="4"/>
  <c r="P609" i="4"/>
  <c r="T609" i="4"/>
  <c r="U609" i="4"/>
  <c r="V609" i="4" s="1"/>
  <c r="B608" i="4"/>
  <c r="C608" i="4"/>
  <c r="F608" i="4"/>
  <c r="J608" i="4"/>
  <c r="M608" i="4"/>
  <c r="P608" i="4"/>
  <c r="T608" i="4"/>
  <c r="U608" i="4"/>
  <c r="V608" i="4" s="1"/>
  <c r="B607" i="4"/>
  <c r="C607" i="4"/>
  <c r="F607" i="4"/>
  <c r="J607" i="4"/>
  <c r="M607" i="4"/>
  <c r="P607" i="4"/>
  <c r="T607" i="4"/>
  <c r="U607" i="4"/>
  <c r="V607" i="4" s="1"/>
  <c r="B606" i="4"/>
  <c r="C606" i="4"/>
  <c r="F606" i="4"/>
  <c r="J606" i="4"/>
  <c r="M606" i="4"/>
  <c r="P606" i="4"/>
  <c r="T606" i="4"/>
  <c r="U606" i="4"/>
  <c r="V606" i="4" s="1"/>
  <c r="B605" i="4"/>
  <c r="C605" i="4"/>
  <c r="F605" i="4"/>
  <c r="J605" i="4"/>
  <c r="M605" i="4"/>
  <c r="P605" i="4"/>
  <c r="T605" i="4"/>
  <c r="U605" i="4"/>
  <c r="V605" i="4" s="1"/>
  <c r="B604" i="4"/>
  <c r="C604" i="4"/>
  <c r="F604" i="4"/>
  <c r="J604" i="4"/>
  <c r="M604" i="4"/>
  <c r="P604" i="4"/>
  <c r="T604" i="4"/>
  <c r="U604" i="4"/>
  <c r="V604" i="4" s="1"/>
  <c r="B603" i="4"/>
  <c r="C603" i="4"/>
  <c r="F603" i="4"/>
  <c r="J603" i="4"/>
  <c r="M603" i="4"/>
  <c r="P603" i="4"/>
  <c r="T603" i="4"/>
  <c r="U603" i="4"/>
  <c r="V603" i="4" s="1"/>
  <c r="B602" i="4"/>
  <c r="C602" i="4"/>
  <c r="F602" i="4"/>
  <c r="J602" i="4"/>
  <c r="M602" i="4"/>
  <c r="P602" i="4"/>
  <c r="T602" i="4"/>
  <c r="U602" i="4"/>
  <c r="V602" i="4" s="1"/>
  <c r="B601" i="4"/>
  <c r="C601" i="4"/>
  <c r="F601" i="4"/>
  <c r="J601" i="4"/>
  <c r="M601" i="4"/>
  <c r="P601" i="4"/>
  <c r="T601" i="4"/>
  <c r="U601" i="4"/>
  <c r="V601" i="4" s="1"/>
  <c r="B600" i="4"/>
  <c r="C600" i="4"/>
  <c r="F600" i="4"/>
  <c r="J600" i="4"/>
  <c r="M600" i="4"/>
  <c r="P600" i="4"/>
  <c r="T600" i="4"/>
  <c r="U600" i="4"/>
  <c r="V600" i="4" s="1"/>
  <c r="B599" i="4"/>
  <c r="C599" i="4"/>
  <c r="F599" i="4"/>
  <c r="J599" i="4"/>
  <c r="M599" i="4"/>
  <c r="P599" i="4"/>
  <c r="T599" i="4"/>
  <c r="U599" i="4"/>
  <c r="V599" i="4" s="1"/>
  <c r="B598" i="4"/>
  <c r="C598" i="4"/>
  <c r="F598" i="4"/>
  <c r="J598" i="4"/>
  <c r="M598" i="4"/>
  <c r="P598" i="4"/>
  <c r="T598" i="4"/>
  <c r="U598" i="4"/>
  <c r="V598" i="4" s="1"/>
  <c r="H33" i="3"/>
  <c r="K33" i="3"/>
  <c r="M33" i="3"/>
  <c r="Q33" i="3"/>
  <c r="R33" i="3"/>
  <c r="S33" i="3" s="1"/>
  <c r="B597" i="4"/>
  <c r="C597" i="4"/>
  <c r="F597" i="4"/>
  <c r="J597" i="4"/>
  <c r="M597" i="4"/>
  <c r="P597" i="4"/>
  <c r="T597" i="4"/>
  <c r="U597" i="4"/>
  <c r="V597" i="4" s="1"/>
  <c r="H32" i="3"/>
  <c r="K32" i="3"/>
  <c r="M32" i="3"/>
  <c r="Q32" i="3"/>
  <c r="R32" i="3"/>
  <c r="S32" i="3" s="1"/>
  <c r="B596" i="4"/>
  <c r="C596" i="4"/>
  <c r="F596" i="4"/>
  <c r="J596" i="4"/>
  <c r="M596" i="4"/>
  <c r="P596" i="4"/>
  <c r="T596" i="4"/>
  <c r="U596" i="4"/>
  <c r="V596" i="4" s="1"/>
  <c r="B595" i="4"/>
  <c r="C595" i="4"/>
  <c r="F595" i="4"/>
  <c r="J595" i="4"/>
  <c r="M595" i="4"/>
  <c r="P595" i="4"/>
  <c r="T595" i="4"/>
  <c r="U595" i="4"/>
  <c r="V595" i="4" s="1"/>
  <c r="B594" i="4"/>
  <c r="C594" i="4"/>
  <c r="F594" i="4"/>
  <c r="J594" i="4"/>
  <c r="M594" i="4"/>
  <c r="P594" i="4"/>
  <c r="T594" i="4"/>
  <c r="U594" i="4"/>
  <c r="V594" i="4" s="1"/>
  <c r="B593" i="4"/>
  <c r="C593" i="4"/>
  <c r="F593" i="4"/>
  <c r="J593" i="4"/>
  <c r="M593" i="4"/>
  <c r="P593" i="4"/>
  <c r="T593" i="4"/>
  <c r="U593" i="4"/>
  <c r="V593" i="4" s="1"/>
  <c r="B592" i="4"/>
  <c r="C592" i="4"/>
  <c r="F592" i="4"/>
  <c r="J592" i="4"/>
  <c r="M592" i="4"/>
  <c r="P592" i="4"/>
  <c r="T592" i="4"/>
  <c r="U592" i="4"/>
  <c r="V592" i="4" s="1"/>
  <c r="B591" i="4"/>
  <c r="C591" i="4"/>
  <c r="F591" i="4"/>
  <c r="J591" i="4"/>
  <c r="M591" i="4"/>
  <c r="P591" i="4"/>
  <c r="T591" i="4"/>
  <c r="U591" i="4"/>
  <c r="V591" i="4" s="1"/>
  <c r="B590" i="4"/>
  <c r="C590" i="4"/>
  <c r="F590" i="4"/>
  <c r="J590" i="4"/>
  <c r="M590" i="4"/>
  <c r="P590" i="4"/>
  <c r="T590" i="4"/>
  <c r="U590" i="4"/>
  <c r="V590" i="4" s="1"/>
  <c r="B589" i="4"/>
  <c r="C589" i="4"/>
  <c r="F589" i="4"/>
  <c r="J589" i="4"/>
  <c r="M589" i="4"/>
  <c r="P589" i="4"/>
  <c r="T589" i="4"/>
  <c r="U589" i="4"/>
  <c r="V589" i="4" s="1"/>
  <c r="H31" i="3"/>
  <c r="K31" i="3"/>
  <c r="M31" i="3"/>
  <c r="Q31" i="3"/>
  <c r="R31" i="3"/>
  <c r="S31" i="3" s="1"/>
  <c r="B588" i="4"/>
  <c r="C588" i="4"/>
  <c r="F588" i="4"/>
  <c r="J588" i="4"/>
  <c r="M588" i="4"/>
  <c r="P588" i="4"/>
  <c r="T588" i="4"/>
  <c r="U588" i="4"/>
  <c r="V588" i="4" s="1"/>
  <c r="B587" i="4"/>
  <c r="C587" i="4"/>
  <c r="F587" i="4"/>
  <c r="J587" i="4"/>
  <c r="M587" i="4"/>
  <c r="P587" i="4"/>
  <c r="T587" i="4"/>
  <c r="U587" i="4"/>
  <c r="V587" i="4" s="1"/>
  <c r="B586" i="4"/>
  <c r="C586" i="4"/>
  <c r="F586" i="4"/>
  <c r="J586" i="4"/>
  <c r="M586" i="4"/>
  <c r="P586" i="4"/>
  <c r="T586" i="4"/>
  <c r="U586" i="4"/>
  <c r="V586" i="4" s="1"/>
  <c r="B585" i="4"/>
  <c r="C585" i="4"/>
  <c r="F585" i="4"/>
  <c r="J585" i="4"/>
  <c r="M585" i="4"/>
  <c r="P585" i="4"/>
  <c r="T585" i="4"/>
  <c r="U585" i="4"/>
  <c r="V585" i="4" s="1"/>
  <c r="B584" i="4"/>
  <c r="C584" i="4"/>
  <c r="F584" i="4"/>
  <c r="J584" i="4"/>
  <c r="M584" i="4"/>
  <c r="P584" i="4"/>
  <c r="T584" i="4"/>
  <c r="U584" i="4"/>
  <c r="V584" i="4" s="1"/>
  <c r="B583" i="4"/>
  <c r="C583" i="4"/>
  <c r="F583" i="4"/>
  <c r="J583" i="4"/>
  <c r="M583" i="4"/>
  <c r="P583" i="4"/>
  <c r="T583" i="4"/>
  <c r="U583" i="4"/>
  <c r="V583" i="4" s="1"/>
  <c r="B582" i="4"/>
  <c r="C582" i="4"/>
  <c r="F582" i="4"/>
  <c r="J582" i="4"/>
  <c r="M582" i="4"/>
  <c r="P582" i="4"/>
  <c r="T582" i="4"/>
  <c r="U582" i="4"/>
  <c r="V582" i="4" s="1"/>
  <c r="B581" i="4"/>
  <c r="C581" i="4"/>
  <c r="F581" i="4"/>
  <c r="J581" i="4"/>
  <c r="M581" i="4"/>
  <c r="P581" i="4"/>
  <c r="T581" i="4"/>
  <c r="U581" i="4"/>
  <c r="V581" i="4" s="1"/>
  <c r="B580" i="4"/>
  <c r="C580" i="4"/>
  <c r="F580" i="4"/>
  <c r="J580" i="4"/>
  <c r="M580" i="4"/>
  <c r="P580" i="4"/>
  <c r="T580" i="4"/>
  <c r="U580" i="4"/>
  <c r="V580" i="4" s="1"/>
  <c r="B579" i="4"/>
  <c r="C579" i="4"/>
  <c r="F579" i="4"/>
  <c r="J579" i="4"/>
  <c r="M579" i="4"/>
  <c r="P579" i="4"/>
  <c r="T579" i="4"/>
  <c r="U579" i="4"/>
  <c r="V579" i="4" s="1"/>
  <c r="B578" i="4"/>
  <c r="C578" i="4"/>
  <c r="F578" i="4"/>
  <c r="J578" i="4"/>
  <c r="M578" i="4"/>
  <c r="P578" i="4"/>
  <c r="T578" i="4"/>
  <c r="U578" i="4"/>
  <c r="V578" i="4" s="1"/>
  <c r="B577" i="4"/>
  <c r="C577" i="4"/>
  <c r="F577" i="4"/>
  <c r="J577" i="4"/>
  <c r="M577" i="4"/>
  <c r="P577" i="4"/>
  <c r="T577" i="4"/>
  <c r="U577" i="4"/>
  <c r="V577" i="4" s="1"/>
  <c r="B576" i="4"/>
  <c r="C576" i="4"/>
  <c r="F576" i="4"/>
  <c r="J576" i="4"/>
  <c r="M576" i="4"/>
  <c r="P576" i="4"/>
  <c r="T576" i="4"/>
  <c r="U576" i="4"/>
  <c r="V576" i="4" s="1"/>
  <c r="B575" i="4"/>
  <c r="C575" i="4"/>
  <c r="F575" i="4"/>
  <c r="J575" i="4"/>
  <c r="M575" i="4"/>
  <c r="P575" i="4"/>
  <c r="T575" i="4"/>
  <c r="U575" i="4"/>
  <c r="V575" i="4" s="1"/>
  <c r="B574" i="4"/>
  <c r="C574" i="4"/>
  <c r="F574" i="4"/>
  <c r="J574" i="4"/>
  <c r="M574" i="4"/>
  <c r="P574" i="4"/>
  <c r="T574" i="4"/>
  <c r="U574" i="4"/>
  <c r="V574" i="4" s="1"/>
  <c r="B573" i="4"/>
  <c r="C573" i="4"/>
  <c r="F573" i="4"/>
  <c r="J573" i="4"/>
  <c r="M573" i="4"/>
  <c r="P573" i="4"/>
  <c r="T573" i="4"/>
  <c r="U573" i="4"/>
  <c r="V573" i="4" s="1"/>
  <c r="B572" i="4"/>
  <c r="C572" i="4"/>
  <c r="F572" i="4"/>
  <c r="J572" i="4"/>
  <c r="M572" i="4"/>
  <c r="P572" i="4"/>
  <c r="T572" i="4"/>
  <c r="U572" i="4"/>
  <c r="V572" i="4" s="1"/>
  <c r="B571" i="4"/>
  <c r="C571" i="4"/>
  <c r="F571" i="4"/>
  <c r="J571" i="4"/>
  <c r="M571" i="4"/>
  <c r="P571" i="4"/>
  <c r="T571" i="4"/>
  <c r="U571" i="4"/>
  <c r="V571" i="4" s="1"/>
  <c r="B570" i="4"/>
  <c r="C570" i="4"/>
  <c r="F570" i="4"/>
  <c r="J570" i="4"/>
  <c r="M570" i="4"/>
  <c r="P570" i="4"/>
  <c r="T570" i="4"/>
  <c r="U570" i="4"/>
  <c r="V570" i="4" s="1"/>
  <c r="B569" i="4"/>
  <c r="C569" i="4"/>
  <c r="F569" i="4"/>
  <c r="J569" i="4"/>
  <c r="M569" i="4"/>
  <c r="P569" i="4"/>
  <c r="T569" i="4"/>
  <c r="U569" i="4"/>
  <c r="V569" i="4" s="1"/>
  <c r="B568" i="4"/>
  <c r="C568" i="4"/>
  <c r="F568" i="4"/>
  <c r="J568" i="4"/>
  <c r="M568" i="4"/>
  <c r="P568" i="4"/>
  <c r="T568" i="4"/>
  <c r="U568" i="4"/>
  <c r="V568" i="4" s="1"/>
  <c r="B567" i="4"/>
  <c r="C567" i="4"/>
  <c r="F567" i="4"/>
  <c r="J567" i="4"/>
  <c r="M567" i="4"/>
  <c r="P567" i="4"/>
  <c r="T567" i="4"/>
  <c r="U567" i="4"/>
  <c r="V567" i="4" s="1"/>
  <c r="B566" i="4"/>
  <c r="C566" i="4"/>
  <c r="F566" i="4"/>
  <c r="J566" i="4"/>
  <c r="M566" i="4"/>
  <c r="P566" i="4"/>
  <c r="T566" i="4"/>
  <c r="U566" i="4"/>
  <c r="V566" i="4" s="1"/>
  <c r="B565" i="4"/>
  <c r="C565" i="4"/>
  <c r="F565" i="4"/>
  <c r="J565" i="4"/>
  <c r="M565" i="4"/>
  <c r="P565" i="4"/>
  <c r="T565" i="4"/>
  <c r="U565" i="4"/>
  <c r="V565" i="4" s="1"/>
  <c r="B564" i="4"/>
  <c r="C564" i="4"/>
  <c r="F564" i="4"/>
  <c r="J564" i="4"/>
  <c r="M564" i="4"/>
  <c r="P564" i="4"/>
  <c r="T564" i="4"/>
  <c r="U564" i="4"/>
  <c r="V564" i="4" s="1"/>
  <c r="B563" i="4"/>
  <c r="C563" i="4"/>
  <c r="F563" i="4"/>
  <c r="J563" i="4"/>
  <c r="M563" i="4"/>
  <c r="P563" i="4"/>
  <c r="T563" i="4"/>
  <c r="U563" i="4"/>
  <c r="V563" i="4" s="1"/>
  <c r="B562" i="4"/>
  <c r="C562" i="4"/>
  <c r="F562" i="4"/>
  <c r="J562" i="4"/>
  <c r="M562" i="4"/>
  <c r="P562" i="4"/>
  <c r="T562" i="4"/>
  <c r="U562" i="4"/>
  <c r="V562" i="4" s="1"/>
  <c r="B561" i="4"/>
  <c r="C561" i="4"/>
  <c r="F561" i="4"/>
  <c r="J561" i="4"/>
  <c r="M561" i="4"/>
  <c r="P561" i="4"/>
  <c r="T561" i="4"/>
  <c r="U561" i="4"/>
  <c r="V561" i="4" s="1"/>
  <c r="B560" i="4"/>
  <c r="C560" i="4"/>
  <c r="F560" i="4"/>
  <c r="J560" i="4"/>
  <c r="M560" i="4"/>
  <c r="P560" i="4"/>
  <c r="T560" i="4"/>
  <c r="U560" i="4"/>
  <c r="V560" i="4" s="1"/>
  <c r="H30" i="3"/>
  <c r="K30" i="3"/>
  <c r="M30" i="3"/>
  <c r="Q30" i="3"/>
  <c r="R30" i="3"/>
  <c r="S30" i="3" s="1"/>
  <c r="H29" i="3"/>
  <c r="K29" i="3"/>
  <c r="M29" i="3"/>
  <c r="Q29" i="3"/>
  <c r="R29" i="3"/>
  <c r="S29" i="3" s="1"/>
  <c r="B559" i="4"/>
  <c r="C559" i="4"/>
  <c r="F559" i="4"/>
  <c r="J559" i="4"/>
  <c r="M559" i="4"/>
  <c r="P559" i="4"/>
  <c r="T559" i="4"/>
  <c r="U559" i="4"/>
  <c r="V559" i="4" s="1"/>
  <c r="B558" i="4"/>
  <c r="C558" i="4"/>
  <c r="F558" i="4"/>
  <c r="J558" i="4"/>
  <c r="M558" i="4"/>
  <c r="P558" i="4"/>
  <c r="T558" i="4"/>
  <c r="U558" i="4"/>
  <c r="V558" i="4" s="1"/>
  <c r="B557" i="4"/>
  <c r="C557" i="4"/>
  <c r="F557" i="4"/>
  <c r="J557" i="4"/>
  <c r="M557" i="4"/>
  <c r="P557" i="4"/>
  <c r="T557" i="4"/>
  <c r="U557" i="4"/>
  <c r="V557" i="4" s="1"/>
  <c r="B556" i="4"/>
  <c r="C556" i="4"/>
  <c r="F556" i="4"/>
  <c r="J556" i="4"/>
  <c r="M556" i="4"/>
  <c r="P556" i="4"/>
  <c r="T556" i="4"/>
  <c r="U556" i="4"/>
  <c r="V556" i="4" s="1"/>
  <c r="B555" i="4"/>
  <c r="C555" i="4"/>
  <c r="F555" i="4"/>
  <c r="J555" i="4"/>
  <c r="M555" i="4"/>
  <c r="P555" i="4"/>
  <c r="T555" i="4"/>
  <c r="U555" i="4"/>
  <c r="V555" i="4" s="1"/>
  <c r="B554" i="4"/>
  <c r="C554" i="4"/>
  <c r="F554" i="4"/>
  <c r="J554" i="4"/>
  <c r="M554" i="4"/>
  <c r="P554" i="4"/>
  <c r="T554" i="4"/>
  <c r="U554" i="4"/>
  <c r="V554" i="4" s="1"/>
  <c r="B553" i="4"/>
  <c r="C553" i="4"/>
  <c r="F553" i="4"/>
  <c r="J553" i="4"/>
  <c r="M553" i="4"/>
  <c r="P553" i="4"/>
  <c r="T553" i="4"/>
  <c r="U553" i="4"/>
  <c r="V553" i="4" s="1"/>
  <c r="B552" i="4"/>
  <c r="C552" i="4"/>
  <c r="F552" i="4"/>
  <c r="J552" i="4"/>
  <c r="M552" i="4"/>
  <c r="P552" i="4"/>
  <c r="T552" i="4"/>
  <c r="U552" i="4"/>
  <c r="V552" i="4" s="1"/>
  <c r="B551" i="4"/>
  <c r="C551" i="4"/>
  <c r="F551" i="4"/>
  <c r="J551" i="4"/>
  <c r="M551" i="4"/>
  <c r="P551" i="4"/>
  <c r="T551" i="4"/>
  <c r="U551" i="4"/>
  <c r="V551" i="4" s="1"/>
  <c r="B550" i="4"/>
  <c r="C550" i="4"/>
  <c r="F550" i="4"/>
  <c r="J550" i="4"/>
  <c r="M550" i="4"/>
  <c r="P550" i="4"/>
  <c r="T550" i="4"/>
  <c r="U550" i="4"/>
  <c r="V550" i="4" s="1"/>
  <c r="B549" i="4"/>
  <c r="C549" i="4"/>
  <c r="F549" i="4"/>
  <c r="J549" i="4"/>
  <c r="M549" i="4"/>
  <c r="P549" i="4"/>
  <c r="T549" i="4"/>
  <c r="U549" i="4"/>
  <c r="V549" i="4" s="1"/>
  <c r="B548" i="4"/>
  <c r="C548" i="4"/>
  <c r="F548" i="4"/>
  <c r="J548" i="4"/>
  <c r="M548" i="4"/>
  <c r="P548" i="4"/>
  <c r="T548" i="4"/>
  <c r="U548" i="4"/>
  <c r="V548" i="4" s="1"/>
  <c r="B547" i="4"/>
  <c r="C547" i="4"/>
  <c r="F547" i="4"/>
  <c r="J547" i="4"/>
  <c r="M547" i="4"/>
  <c r="P547" i="4"/>
  <c r="T547" i="4"/>
  <c r="U547" i="4"/>
  <c r="V547" i="4" s="1"/>
  <c r="H28" i="3"/>
  <c r="K28" i="3"/>
  <c r="M28" i="3"/>
  <c r="Q28" i="3"/>
  <c r="R28" i="3"/>
  <c r="S28" i="3" s="1"/>
  <c r="B546" i="4"/>
  <c r="C546" i="4"/>
  <c r="F546" i="4"/>
  <c r="J546" i="4"/>
  <c r="M546" i="4"/>
  <c r="P546" i="4"/>
  <c r="T546" i="4"/>
  <c r="U546" i="4"/>
  <c r="V546" i="4" s="1"/>
  <c r="B545" i="4"/>
  <c r="C545" i="4"/>
  <c r="F545" i="4"/>
  <c r="J545" i="4"/>
  <c r="M545" i="4"/>
  <c r="P545" i="4"/>
  <c r="T545" i="4"/>
  <c r="U545" i="4"/>
  <c r="V545" i="4" s="1"/>
  <c r="B544" i="4"/>
  <c r="C544" i="4"/>
  <c r="F544" i="4"/>
  <c r="J544" i="4"/>
  <c r="M544" i="4"/>
  <c r="P544" i="4"/>
  <c r="T544" i="4"/>
  <c r="U544" i="4"/>
  <c r="V544" i="4" s="1"/>
  <c r="B543" i="4"/>
  <c r="C543" i="4"/>
  <c r="F543" i="4"/>
  <c r="J543" i="4"/>
  <c r="M543" i="4"/>
  <c r="P543" i="4"/>
  <c r="T543" i="4"/>
  <c r="U543" i="4"/>
  <c r="V543" i="4" s="1"/>
  <c r="B542" i="4"/>
  <c r="C542" i="4"/>
  <c r="F542" i="4"/>
  <c r="J542" i="4"/>
  <c r="M542" i="4"/>
  <c r="P542" i="4"/>
  <c r="T542" i="4"/>
  <c r="U542" i="4"/>
  <c r="V542" i="4" s="1"/>
  <c r="B541" i="4"/>
  <c r="C541" i="4"/>
  <c r="F541" i="4"/>
  <c r="J541" i="4"/>
  <c r="M541" i="4"/>
  <c r="P541" i="4"/>
  <c r="T541" i="4"/>
  <c r="U541" i="4"/>
  <c r="V541" i="4" s="1"/>
  <c r="B540" i="4"/>
  <c r="C540" i="4"/>
  <c r="F540" i="4"/>
  <c r="J540" i="4"/>
  <c r="M540" i="4"/>
  <c r="P540" i="4"/>
  <c r="T540" i="4"/>
  <c r="U540" i="4"/>
  <c r="V540" i="4" s="1"/>
  <c r="B539" i="4"/>
  <c r="C539" i="4"/>
  <c r="F539" i="4"/>
  <c r="J539" i="4"/>
  <c r="M539" i="4"/>
  <c r="P539" i="4"/>
  <c r="T539" i="4"/>
  <c r="U539" i="4"/>
  <c r="V539" i="4" s="1"/>
  <c r="B538" i="4"/>
  <c r="C538" i="4"/>
  <c r="F538" i="4"/>
  <c r="J538" i="4"/>
  <c r="M538" i="4"/>
  <c r="P538" i="4"/>
  <c r="T538" i="4"/>
  <c r="U538" i="4"/>
  <c r="V538" i="4" s="1"/>
  <c r="B537" i="4"/>
  <c r="C537" i="4"/>
  <c r="F537" i="4"/>
  <c r="J537" i="4"/>
  <c r="M537" i="4"/>
  <c r="P537" i="4"/>
  <c r="T537" i="4"/>
  <c r="U537" i="4"/>
  <c r="V537" i="4" s="1"/>
  <c r="B536" i="4" l="1"/>
  <c r="C536" i="4"/>
  <c r="F536" i="4"/>
  <c r="J536" i="4"/>
  <c r="M536" i="4"/>
  <c r="P536" i="4"/>
  <c r="T536" i="4"/>
  <c r="U536" i="4"/>
  <c r="V536" i="4" s="1"/>
  <c r="B535" i="4"/>
  <c r="C535" i="4"/>
  <c r="F535" i="4"/>
  <c r="J535" i="4"/>
  <c r="M535" i="4"/>
  <c r="P535" i="4"/>
  <c r="T535" i="4"/>
  <c r="U535" i="4"/>
  <c r="V535" i="4" s="1"/>
  <c r="B534" i="4"/>
  <c r="C534" i="4"/>
  <c r="F534" i="4"/>
  <c r="J534" i="4"/>
  <c r="M534" i="4"/>
  <c r="P534" i="4"/>
  <c r="T534" i="4"/>
  <c r="U534" i="4"/>
  <c r="V534" i="4" s="1"/>
  <c r="F533" i="4"/>
  <c r="B533" i="4"/>
  <c r="C533" i="4"/>
  <c r="J533" i="4"/>
  <c r="M533" i="4"/>
  <c r="P533" i="4"/>
  <c r="T533" i="4"/>
  <c r="U533" i="4"/>
  <c r="V533" i="4" s="1"/>
  <c r="B532" i="4"/>
  <c r="C532" i="4"/>
  <c r="F532" i="4"/>
  <c r="J532" i="4"/>
  <c r="M532" i="4"/>
  <c r="P532" i="4"/>
  <c r="T532" i="4"/>
  <c r="U532" i="4"/>
  <c r="V532" i="4" s="1"/>
  <c r="B531" i="4"/>
  <c r="C531" i="4"/>
  <c r="F531" i="4"/>
  <c r="J531" i="4"/>
  <c r="M531" i="4"/>
  <c r="P531" i="4"/>
  <c r="T531" i="4"/>
  <c r="U531" i="4"/>
  <c r="V531" i="4" s="1"/>
  <c r="B530" i="4"/>
  <c r="C530" i="4"/>
  <c r="F530" i="4"/>
  <c r="J530" i="4"/>
  <c r="M530" i="4"/>
  <c r="P530" i="4"/>
  <c r="T530" i="4"/>
  <c r="U530" i="4"/>
  <c r="V530" i="4" s="1"/>
  <c r="B529" i="4"/>
  <c r="C529" i="4"/>
  <c r="F529" i="4"/>
  <c r="J529" i="4"/>
  <c r="M529" i="4"/>
  <c r="P529" i="4"/>
  <c r="T529" i="4"/>
  <c r="U529" i="4"/>
  <c r="V529" i="4" s="1"/>
  <c r="B528" i="4"/>
  <c r="C528" i="4"/>
  <c r="F528" i="4"/>
  <c r="J528" i="4"/>
  <c r="M528" i="4"/>
  <c r="P528" i="4"/>
  <c r="T528" i="4"/>
  <c r="U528" i="4"/>
  <c r="V528" i="4" s="1"/>
  <c r="B527" i="4"/>
  <c r="C527" i="4"/>
  <c r="F527" i="4"/>
  <c r="J527" i="4"/>
  <c r="M527" i="4"/>
  <c r="P527" i="4"/>
  <c r="T527" i="4"/>
  <c r="U527" i="4"/>
  <c r="V527" i="4" s="1"/>
  <c r="B526" i="4"/>
  <c r="C526" i="4"/>
  <c r="F526" i="4"/>
  <c r="J526" i="4"/>
  <c r="M526" i="4"/>
  <c r="P526" i="4"/>
  <c r="T526" i="4"/>
  <c r="U526" i="4"/>
  <c r="V526" i="4" s="1"/>
  <c r="T525" i="4"/>
  <c r="B525" i="4"/>
  <c r="C525" i="4"/>
  <c r="F525" i="4"/>
  <c r="J525" i="4"/>
  <c r="M525" i="4"/>
  <c r="P525" i="4"/>
  <c r="U525" i="4"/>
  <c r="V525" i="4" s="1"/>
  <c r="B524" i="4"/>
  <c r="C524" i="4"/>
  <c r="F524" i="4"/>
  <c r="J524" i="4"/>
  <c r="M524" i="4"/>
  <c r="P524" i="4"/>
  <c r="T524" i="4"/>
  <c r="U524" i="4"/>
  <c r="V524" i="4" s="1"/>
  <c r="B523" i="4"/>
  <c r="C523" i="4"/>
  <c r="F523" i="4"/>
  <c r="J523" i="4"/>
  <c r="M523" i="4"/>
  <c r="P523" i="4"/>
  <c r="T523" i="4"/>
  <c r="U523" i="4"/>
  <c r="V523" i="4" s="1"/>
  <c r="B522" i="4"/>
  <c r="C522" i="4"/>
  <c r="F522" i="4"/>
  <c r="J522" i="4"/>
  <c r="M522" i="4"/>
  <c r="P522" i="4"/>
  <c r="T522" i="4"/>
  <c r="U522" i="4"/>
  <c r="V522" i="4" s="1"/>
  <c r="B521" i="4"/>
  <c r="C521" i="4"/>
  <c r="F521" i="4"/>
  <c r="J521" i="4"/>
  <c r="M521" i="4"/>
  <c r="P521" i="4"/>
  <c r="T521" i="4"/>
  <c r="U521" i="4"/>
  <c r="V521" i="4" s="1"/>
  <c r="B520" i="4"/>
  <c r="C520" i="4"/>
  <c r="F520" i="4"/>
  <c r="J520" i="4"/>
  <c r="M520" i="4"/>
  <c r="P520" i="4"/>
  <c r="T520" i="4"/>
  <c r="U520" i="4"/>
  <c r="V520" i="4" s="1"/>
  <c r="B519" i="4"/>
  <c r="C519" i="4"/>
  <c r="F519" i="4"/>
  <c r="J519" i="4"/>
  <c r="M519" i="4"/>
  <c r="P519" i="4"/>
  <c r="T519" i="4"/>
  <c r="U519" i="4"/>
  <c r="V519" i="4" s="1"/>
  <c r="B518" i="4"/>
  <c r="C518" i="4"/>
  <c r="F518" i="4"/>
  <c r="J518" i="4"/>
  <c r="M518" i="4"/>
  <c r="P518" i="4"/>
  <c r="T518" i="4"/>
  <c r="U518" i="4"/>
  <c r="V518" i="4" s="1"/>
  <c r="B517" i="4"/>
  <c r="C517" i="4"/>
  <c r="F517" i="4"/>
  <c r="J517" i="4"/>
  <c r="M517" i="4"/>
  <c r="P517" i="4"/>
  <c r="T517" i="4"/>
  <c r="U517" i="4"/>
  <c r="V517" i="4" s="1"/>
  <c r="B516" i="4"/>
  <c r="C516" i="4"/>
  <c r="F516" i="4"/>
  <c r="J516" i="4"/>
  <c r="M516" i="4"/>
  <c r="P516" i="4"/>
  <c r="T516" i="4"/>
  <c r="U516" i="4"/>
  <c r="V516" i="4" s="1"/>
  <c r="B515" i="4"/>
  <c r="C515" i="4"/>
  <c r="F515" i="4"/>
  <c r="J515" i="4"/>
  <c r="M515" i="4"/>
  <c r="P515" i="4"/>
  <c r="T515" i="4"/>
  <c r="U515" i="4"/>
  <c r="V515" i="4" s="1"/>
  <c r="B514" i="4"/>
  <c r="C514" i="4"/>
  <c r="F514" i="4"/>
  <c r="J514" i="4"/>
  <c r="M514" i="4"/>
  <c r="P514" i="4"/>
  <c r="T514" i="4"/>
  <c r="U514" i="4"/>
  <c r="V514" i="4" s="1"/>
  <c r="B513" i="4"/>
  <c r="C513" i="4"/>
  <c r="F513" i="4"/>
  <c r="J513" i="4"/>
  <c r="M513" i="4"/>
  <c r="P513" i="4"/>
  <c r="T513" i="4"/>
  <c r="U513" i="4"/>
  <c r="V513" i="4" s="1"/>
  <c r="H27" i="3"/>
  <c r="K27" i="3"/>
  <c r="M27" i="3"/>
  <c r="Q27" i="3"/>
  <c r="R27" i="3"/>
  <c r="S27" i="3" s="1"/>
  <c r="H26" i="3" l="1"/>
  <c r="K26" i="3"/>
  <c r="M26" i="3"/>
  <c r="Q26" i="3"/>
  <c r="R26" i="3"/>
  <c r="S26" i="3" s="1"/>
  <c r="B512" i="4"/>
  <c r="C512" i="4"/>
  <c r="F512" i="4"/>
  <c r="J512" i="4"/>
  <c r="M512" i="4"/>
  <c r="P512" i="4"/>
  <c r="T512" i="4"/>
  <c r="U512" i="4"/>
  <c r="V512" i="4" s="1"/>
  <c r="B511" i="4"/>
  <c r="C511" i="4"/>
  <c r="F511" i="4"/>
  <c r="J511" i="4"/>
  <c r="M511" i="4"/>
  <c r="P511" i="4"/>
  <c r="T511" i="4"/>
  <c r="U511" i="4"/>
  <c r="V511" i="4" s="1"/>
  <c r="B510" i="4"/>
  <c r="C510" i="4"/>
  <c r="F510" i="4"/>
  <c r="J510" i="4"/>
  <c r="M510" i="4"/>
  <c r="P510" i="4"/>
  <c r="T510" i="4"/>
  <c r="U510" i="4"/>
  <c r="V510" i="4" s="1"/>
  <c r="B509" i="4"/>
  <c r="C509" i="4"/>
  <c r="F509" i="4"/>
  <c r="J509" i="4"/>
  <c r="M509" i="4"/>
  <c r="P509" i="4"/>
  <c r="T509" i="4"/>
  <c r="U509" i="4"/>
  <c r="V509" i="4" s="1"/>
  <c r="B508" i="4"/>
  <c r="C508" i="4"/>
  <c r="F508" i="4"/>
  <c r="J508" i="4"/>
  <c r="M508" i="4"/>
  <c r="P508" i="4"/>
  <c r="T508" i="4"/>
  <c r="U508" i="4"/>
  <c r="V508" i="4" s="1"/>
  <c r="B507" i="4"/>
  <c r="C507" i="4"/>
  <c r="F507" i="4"/>
  <c r="J507" i="4"/>
  <c r="M507" i="4"/>
  <c r="P507" i="4"/>
  <c r="T507" i="4"/>
  <c r="U507" i="4"/>
  <c r="V507" i="4" s="1"/>
  <c r="B506" i="4"/>
  <c r="C506" i="4"/>
  <c r="F506" i="4"/>
  <c r="J506" i="4"/>
  <c r="M506" i="4"/>
  <c r="P506" i="4"/>
  <c r="T506" i="4"/>
  <c r="U506" i="4"/>
  <c r="V506" i="4" s="1"/>
  <c r="B505" i="4"/>
  <c r="C505" i="4"/>
  <c r="F505" i="4"/>
  <c r="J505" i="4"/>
  <c r="M505" i="4"/>
  <c r="P505" i="4"/>
  <c r="T505" i="4"/>
  <c r="U505" i="4"/>
  <c r="V505" i="4" s="1"/>
  <c r="T504" i="4"/>
  <c r="B504" i="4"/>
  <c r="C504" i="4"/>
  <c r="F504" i="4"/>
  <c r="J504" i="4"/>
  <c r="M504" i="4"/>
  <c r="P504" i="4"/>
  <c r="U504" i="4"/>
  <c r="V504" i="4" s="1"/>
  <c r="B503" i="4"/>
  <c r="C503" i="4"/>
  <c r="F503" i="4"/>
  <c r="J503" i="4"/>
  <c r="M503" i="4"/>
  <c r="P503" i="4"/>
  <c r="T503" i="4"/>
  <c r="U503" i="4"/>
  <c r="V503" i="4" s="1"/>
  <c r="B502" i="4"/>
  <c r="C502" i="4"/>
  <c r="F502" i="4"/>
  <c r="J502" i="4"/>
  <c r="M502" i="4"/>
  <c r="P502" i="4"/>
  <c r="T502" i="4"/>
  <c r="U502" i="4"/>
  <c r="V502" i="4" s="1"/>
  <c r="H25" i="3"/>
  <c r="K25" i="3"/>
  <c r="M25" i="3"/>
  <c r="Q25" i="3"/>
  <c r="R25" i="3"/>
  <c r="S25" i="3" s="1"/>
  <c r="B501" i="4"/>
  <c r="C501" i="4"/>
  <c r="F501" i="4"/>
  <c r="J501" i="4"/>
  <c r="M501" i="4"/>
  <c r="P501" i="4"/>
  <c r="T501" i="4"/>
  <c r="U501" i="4"/>
  <c r="V501" i="4" s="1"/>
  <c r="B500" i="4"/>
  <c r="C500" i="4"/>
  <c r="F500" i="4"/>
  <c r="J500" i="4"/>
  <c r="M500" i="4"/>
  <c r="P500" i="4"/>
  <c r="T500" i="4"/>
  <c r="U500" i="4"/>
  <c r="V500" i="4" s="1"/>
  <c r="B499" i="4"/>
  <c r="C499" i="4"/>
  <c r="F499" i="4"/>
  <c r="J499" i="4"/>
  <c r="M499" i="4"/>
  <c r="P499" i="4"/>
  <c r="T499" i="4"/>
  <c r="U499" i="4"/>
  <c r="V499" i="4" s="1"/>
  <c r="B498" i="4"/>
  <c r="C498" i="4"/>
  <c r="F498" i="4"/>
  <c r="J498" i="4"/>
  <c r="M498" i="4"/>
  <c r="P498" i="4"/>
  <c r="T498" i="4"/>
  <c r="U498" i="4"/>
  <c r="V498" i="4" s="1"/>
  <c r="B497" i="4"/>
  <c r="C497" i="4"/>
  <c r="F497" i="4"/>
  <c r="J497" i="4"/>
  <c r="M497" i="4"/>
  <c r="P497" i="4"/>
  <c r="T497" i="4"/>
  <c r="U497" i="4"/>
  <c r="V497" i="4" s="1"/>
  <c r="B496" i="4"/>
  <c r="C496" i="4"/>
  <c r="F496" i="4"/>
  <c r="J496" i="4"/>
  <c r="M496" i="4"/>
  <c r="P496" i="4"/>
  <c r="T496" i="4"/>
  <c r="U496" i="4"/>
  <c r="V496" i="4" s="1"/>
  <c r="B495" i="4"/>
  <c r="C495" i="4"/>
  <c r="F495" i="4"/>
  <c r="J495" i="4"/>
  <c r="M495" i="4"/>
  <c r="P495" i="4"/>
  <c r="T495" i="4"/>
  <c r="U495" i="4"/>
  <c r="V495" i="4" s="1"/>
  <c r="B494" i="4"/>
  <c r="C494" i="4"/>
  <c r="F494" i="4"/>
  <c r="J494" i="4"/>
  <c r="M494" i="4"/>
  <c r="P494" i="4"/>
  <c r="T494" i="4"/>
  <c r="U494" i="4"/>
  <c r="V494" i="4" s="1"/>
  <c r="B493" i="4"/>
  <c r="C493" i="4"/>
  <c r="F493" i="4"/>
  <c r="J493" i="4"/>
  <c r="M493" i="4"/>
  <c r="P493" i="4"/>
  <c r="T493" i="4"/>
  <c r="U493" i="4"/>
  <c r="V493" i="4" s="1"/>
  <c r="B492" i="4"/>
  <c r="C492" i="4"/>
  <c r="F492" i="4"/>
  <c r="J492" i="4"/>
  <c r="M492" i="4"/>
  <c r="P492" i="4"/>
  <c r="T492" i="4"/>
  <c r="U492" i="4"/>
  <c r="V492" i="4" s="1"/>
  <c r="B491" i="4"/>
  <c r="C491" i="4"/>
  <c r="F491" i="4"/>
  <c r="J491" i="4"/>
  <c r="M491" i="4"/>
  <c r="P491" i="4"/>
  <c r="T491" i="4"/>
  <c r="U491" i="4"/>
  <c r="V491" i="4" s="1"/>
  <c r="B490" i="4"/>
  <c r="C490" i="4"/>
  <c r="F490" i="4"/>
  <c r="J490" i="4"/>
  <c r="M490" i="4"/>
  <c r="P490" i="4"/>
  <c r="T490" i="4"/>
  <c r="U490" i="4"/>
  <c r="V490" i="4" s="1"/>
  <c r="H24" i="3"/>
  <c r="K24" i="3"/>
  <c r="M24" i="3"/>
  <c r="Q24" i="3"/>
  <c r="R24" i="3"/>
  <c r="S24" i="3" s="1"/>
  <c r="B489" i="4"/>
  <c r="C489" i="4"/>
  <c r="F489" i="4"/>
  <c r="J489" i="4"/>
  <c r="M489" i="4"/>
  <c r="P489" i="4"/>
  <c r="T489" i="4"/>
  <c r="U489" i="4"/>
  <c r="V489" i="4" s="1"/>
  <c r="F488" i="4"/>
  <c r="B488" i="4"/>
  <c r="C488" i="4"/>
  <c r="J488" i="4"/>
  <c r="M488" i="4"/>
  <c r="P488" i="4"/>
  <c r="T488" i="4"/>
  <c r="U488" i="4"/>
  <c r="V488" i="4" s="1"/>
  <c r="B487" i="4"/>
  <c r="C487" i="4"/>
  <c r="F487" i="4"/>
  <c r="J487" i="4"/>
  <c r="M487" i="4"/>
  <c r="P487" i="4"/>
  <c r="T487" i="4"/>
  <c r="U487" i="4"/>
  <c r="V487" i="4" s="1"/>
  <c r="B486" i="4"/>
  <c r="C486" i="4"/>
  <c r="F486" i="4"/>
  <c r="J486" i="4"/>
  <c r="M486" i="4"/>
  <c r="P486" i="4"/>
  <c r="T486" i="4"/>
  <c r="U486" i="4"/>
  <c r="V486" i="4" s="1"/>
  <c r="B485" i="4"/>
  <c r="C485" i="4"/>
  <c r="F485" i="4"/>
  <c r="J485" i="4"/>
  <c r="M485" i="4"/>
  <c r="P485" i="4"/>
  <c r="T485" i="4"/>
  <c r="U485" i="4"/>
  <c r="V485" i="4" s="1"/>
  <c r="B484" i="4"/>
  <c r="C484" i="4"/>
  <c r="F484" i="4"/>
  <c r="J484" i="4"/>
  <c r="M484" i="4"/>
  <c r="P484" i="4"/>
  <c r="T484" i="4"/>
  <c r="U484" i="4"/>
  <c r="V484" i="4" s="1"/>
  <c r="B483" i="4"/>
  <c r="C483" i="4"/>
  <c r="F483" i="4"/>
  <c r="J483" i="4"/>
  <c r="M483" i="4"/>
  <c r="P483" i="4"/>
  <c r="T483" i="4"/>
  <c r="U483" i="4"/>
  <c r="V483" i="4" s="1"/>
  <c r="B482" i="4"/>
  <c r="C482" i="4"/>
  <c r="F482" i="4"/>
  <c r="J482" i="4"/>
  <c r="M482" i="4"/>
  <c r="P482" i="4"/>
  <c r="T482" i="4"/>
  <c r="U482" i="4"/>
  <c r="V482" i="4" s="1"/>
  <c r="B481" i="4"/>
  <c r="C481" i="4"/>
  <c r="F481" i="4"/>
  <c r="J481" i="4"/>
  <c r="M481" i="4"/>
  <c r="P481" i="4"/>
  <c r="T481" i="4"/>
  <c r="U481" i="4"/>
  <c r="V481" i="4" s="1"/>
  <c r="B480" i="4"/>
  <c r="C480" i="4"/>
  <c r="F480" i="4"/>
  <c r="J480" i="4"/>
  <c r="M480" i="4"/>
  <c r="P480" i="4"/>
  <c r="T480" i="4"/>
  <c r="U480" i="4"/>
  <c r="V480" i="4" s="1"/>
  <c r="B479" i="4"/>
  <c r="C479" i="4"/>
  <c r="F479" i="4"/>
  <c r="J479" i="4"/>
  <c r="M479" i="4"/>
  <c r="P479" i="4"/>
  <c r="T479" i="4"/>
  <c r="U479" i="4"/>
  <c r="V479" i="4" s="1"/>
  <c r="B478" i="4"/>
  <c r="C478" i="4"/>
  <c r="F478" i="4"/>
  <c r="J478" i="4"/>
  <c r="M478" i="4"/>
  <c r="P478" i="4"/>
  <c r="T478" i="4"/>
  <c r="U478" i="4"/>
  <c r="V478" i="4" s="1"/>
  <c r="B477" i="4"/>
  <c r="C477" i="4"/>
  <c r="F477" i="4"/>
  <c r="J477" i="4"/>
  <c r="M477" i="4"/>
  <c r="P477" i="4"/>
  <c r="T477" i="4"/>
  <c r="U477" i="4"/>
  <c r="V477" i="4" s="1"/>
  <c r="B476" i="4"/>
  <c r="C476" i="4"/>
  <c r="F476" i="4"/>
  <c r="J476" i="4"/>
  <c r="M476" i="4"/>
  <c r="P476" i="4"/>
  <c r="T476" i="4"/>
  <c r="U476" i="4"/>
  <c r="V476" i="4" s="1"/>
  <c r="B475" i="4"/>
  <c r="C475" i="4"/>
  <c r="F475" i="4"/>
  <c r="J475" i="4"/>
  <c r="M475" i="4"/>
  <c r="P475" i="4"/>
  <c r="T475" i="4"/>
  <c r="U475" i="4"/>
  <c r="V475" i="4" s="1"/>
  <c r="B474" i="4"/>
  <c r="C474" i="4"/>
  <c r="F474" i="4"/>
  <c r="J474" i="4"/>
  <c r="M474" i="4"/>
  <c r="P474" i="4"/>
  <c r="T474" i="4"/>
  <c r="U474" i="4"/>
  <c r="V474" i="4" s="1"/>
  <c r="B473" i="4"/>
  <c r="C473" i="4"/>
  <c r="F473" i="4"/>
  <c r="J473" i="4"/>
  <c r="M473" i="4"/>
  <c r="P473" i="4"/>
  <c r="T473" i="4"/>
  <c r="U473" i="4"/>
  <c r="V473" i="4" s="1"/>
  <c r="B472" i="4"/>
  <c r="C472" i="4"/>
  <c r="F472" i="4"/>
  <c r="J472" i="4"/>
  <c r="M472" i="4"/>
  <c r="P472" i="4"/>
  <c r="T472" i="4"/>
  <c r="U472" i="4"/>
  <c r="V472" i="4" s="1"/>
  <c r="B471" i="4"/>
  <c r="C471" i="4"/>
  <c r="F471" i="4"/>
  <c r="J471" i="4"/>
  <c r="M471" i="4"/>
  <c r="P471" i="4"/>
  <c r="T471" i="4"/>
  <c r="U471" i="4"/>
  <c r="V471" i="4" s="1"/>
  <c r="B470" i="4"/>
  <c r="C470" i="4"/>
  <c r="F470" i="4"/>
  <c r="J470" i="4"/>
  <c r="M470" i="4"/>
  <c r="P470" i="4"/>
  <c r="T470" i="4"/>
  <c r="U470" i="4"/>
  <c r="V470" i="4" s="1"/>
  <c r="B469" i="4"/>
  <c r="C469" i="4"/>
  <c r="F469" i="4"/>
  <c r="J469" i="4"/>
  <c r="M469" i="4"/>
  <c r="P469" i="4"/>
  <c r="T469" i="4"/>
  <c r="U469" i="4"/>
  <c r="V469" i="4" s="1"/>
  <c r="B468" i="4"/>
  <c r="C468" i="4"/>
  <c r="F468" i="4"/>
  <c r="J468" i="4"/>
  <c r="M468" i="4"/>
  <c r="P468" i="4"/>
  <c r="T468" i="4"/>
  <c r="U468" i="4"/>
  <c r="V468" i="4" s="1"/>
  <c r="B467" i="4"/>
  <c r="C467" i="4"/>
  <c r="F467" i="4"/>
  <c r="J467" i="4"/>
  <c r="M467" i="4"/>
  <c r="P467" i="4"/>
  <c r="T467" i="4"/>
  <c r="U467" i="4"/>
  <c r="V467" i="4" s="1"/>
  <c r="P466" i="4"/>
  <c r="B466" i="4"/>
  <c r="C466" i="4"/>
  <c r="F466" i="4"/>
  <c r="J466" i="4"/>
  <c r="M466" i="4"/>
  <c r="T466" i="4"/>
  <c r="U466" i="4"/>
  <c r="V466" i="4" s="1"/>
  <c r="B465" i="4"/>
  <c r="C465" i="4"/>
  <c r="F465" i="4"/>
  <c r="J465" i="4"/>
  <c r="M465" i="4"/>
  <c r="P465" i="4"/>
  <c r="T465" i="4"/>
  <c r="U465" i="4"/>
  <c r="V465" i="4" s="1"/>
  <c r="B464" i="4"/>
  <c r="C464" i="4"/>
  <c r="F464" i="4"/>
  <c r="J464" i="4"/>
  <c r="M464" i="4"/>
  <c r="P464" i="4"/>
  <c r="T464" i="4"/>
  <c r="U464" i="4"/>
  <c r="V464" i="4" s="1"/>
  <c r="B463" i="4"/>
  <c r="C463" i="4"/>
  <c r="F463" i="4"/>
  <c r="J463" i="4"/>
  <c r="M463" i="4"/>
  <c r="P463" i="4"/>
  <c r="T463" i="4"/>
  <c r="U463" i="4"/>
  <c r="V463" i="4" s="1"/>
  <c r="B462" i="4"/>
  <c r="C462" i="4"/>
  <c r="F462" i="4"/>
  <c r="J462" i="4"/>
  <c r="M462" i="4"/>
  <c r="P462" i="4"/>
  <c r="T462" i="4"/>
  <c r="U462" i="4"/>
  <c r="V462" i="4" s="1"/>
  <c r="B461" i="4"/>
  <c r="C461" i="4"/>
  <c r="F461" i="4"/>
  <c r="J461" i="4"/>
  <c r="M461" i="4"/>
  <c r="P461" i="4"/>
  <c r="T461" i="4"/>
  <c r="U461" i="4"/>
  <c r="V461" i="4" s="1"/>
  <c r="B460" i="4"/>
  <c r="C460" i="4"/>
  <c r="F460" i="4"/>
  <c r="J460" i="4"/>
  <c r="M460" i="4"/>
  <c r="P460" i="4"/>
  <c r="T460" i="4"/>
  <c r="U460" i="4"/>
  <c r="V460" i="4" s="1"/>
  <c r="B459" i="4"/>
  <c r="C459" i="4"/>
  <c r="F459" i="4"/>
  <c r="J459" i="4"/>
  <c r="M459" i="4"/>
  <c r="P459" i="4"/>
  <c r="T459" i="4"/>
  <c r="U459" i="4"/>
  <c r="V459" i="4" s="1"/>
  <c r="B458" i="4"/>
  <c r="C458" i="4"/>
  <c r="F458" i="4"/>
  <c r="J458" i="4"/>
  <c r="M458" i="4"/>
  <c r="P458" i="4"/>
  <c r="T458" i="4"/>
  <c r="U458" i="4"/>
  <c r="V458" i="4" s="1"/>
  <c r="B457" i="4"/>
  <c r="C457" i="4"/>
  <c r="F457" i="4"/>
  <c r="J457" i="4"/>
  <c r="M457" i="4"/>
  <c r="P457" i="4"/>
  <c r="T457" i="4"/>
  <c r="U457" i="4"/>
  <c r="V457" i="4" s="1"/>
  <c r="B456" i="4"/>
  <c r="C456" i="4"/>
  <c r="F456" i="4"/>
  <c r="J456" i="4"/>
  <c r="M456" i="4"/>
  <c r="P456" i="4"/>
  <c r="T456" i="4"/>
  <c r="U456" i="4"/>
  <c r="V456" i="4" s="1"/>
  <c r="H23" i="3"/>
  <c r="K23" i="3"/>
  <c r="M23" i="3"/>
  <c r="Q23" i="3"/>
  <c r="R23" i="3"/>
  <c r="S23" i="3" s="1"/>
  <c r="B455" i="4"/>
  <c r="C455" i="4"/>
  <c r="F455" i="4"/>
  <c r="J455" i="4"/>
  <c r="M455" i="4"/>
  <c r="P455" i="4"/>
  <c r="T455" i="4"/>
  <c r="U455" i="4"/>
  <c r="V455" i="4" s="1"/>
  <c r="B454" i="4"/>
  <c r="C454" i="4"/>
  <c r="F454" i="4"/>
  <c r="J454" i="4"/>
  <c r="M454" i="4"/>
  <c r="P454" i="4"/>
  <c r="T454" i="4"/>
  <c r="U454" i="4"/>
  <c r="V454" i="4" s="1"/>
  <c r="B453" i="4"/>
  <c r="C453" i="4"/>
  <c r="F453" i="4"/>
  <c r="J453" i="4"/>
  <c r="M453" i="4"/>
  <c r="P453" i="4"/>
  <c r="T453" i="4"/>
  <c r="U453" i="4"/>
  <c r="V453" i="4" s="1"/>
  <c r="B452" i="4"/>
  <c r="C452" i="4"/>
  <c r="F452" i="4"/>
  <c r="J452" i="4"/>
  <c r="M452" i="4"/>
  <c r="P452" i="4"/>
  <c r="T452" i="4"/>
  <c r="U452" i="4"/>
  <c r="V452" i="4" s="1"/>
  <c r="B451" i="4"/>
  <c r="C451" i="4"/>
  <c r="F451" i="4"/>
  <c r="J451" i="4"/>
  <c r="M451" i="4"/>
  <c r="P451" i="4"/>
  <c r="T451" i="4"/>
  <c r="U451" i="4"/>
  <c r="V451" i="4" s="1"/>
  <c r="B450" i="4"/>
  <c r="C450" i="4"/>
  <c r="F450" i="4"/>
  <c r="J450" i="4"/>
  <c r="M450" i="4"/>
  <c r="P450" i="4"/>
  <c r="T450" i="4"/>
  <c r="U450" i="4"/>
  <c r="V450" i="4" s="1"/>
  <c r="B449" i="4"/>
  <c r="C449" i="4"/>
  <c r="F449" i="4"/>
  <c r="J449" i="4"/>
  <c r="M449" i="4"/>
  <c r="P449" i="4"/>
  <c r="T449" i="4"/>
  <c r="U449" i="4"/>
  <c r="V449" i="4" s="1"/>
  <c r="B448" i="4"/>
  <c r="C448" i="4"/>
  <c r="F448" i="4"/>
  <c r="J448" i="4"/>
  <c r="M448" i="4"/>
  <c r="P448" i="4"/>
  <c r="T448" i="4"/>
  <c r="U448" i="4"/>
  <c r="V448" i="4" s="1"/>
  <c r="B447" i="4"/>
  <c r="C447" i="4"/>
  <c r="F447" i="4"/>
  <c r="J447" i="4"/>
  <c r="M447" i="4"/>
  <c r="P447" i="4"/>
  <c r="T447" i="4"/>
  <c r="U447" i="4"/>
  <c r="V447" i="4" s="1"/>
  <c r="B446" i="4"/>
  <c r="C446" i="4"/>
  <c r="F446" i="4"/>
  <c r="J446" i="4"/>
  <c r="M446" i="4"/>
  <c r="P446" i="4"/>
  <c r="T446" i="4"/>
  <c r="U446" i="4"/>
  <c r="V446" i="4" s="1"/>
  <c r="B445" i="4"/>
  <c r="C445" i="4"/>
  <c r="F445" i="4"/>
  <c r="J445" i="4"/>
  <c r="M445" i="4"/>
  <c r="P445" i="4"/>
  <c r="T445" i="4"/>
  <c r="U445" i="4"/>
  <c r="V445" i="4" s="1"/>
  <c r="H22" i="3"/>
  <c r="K22" i="3"/>
  <c r="M22" i="3"/>
  <c r="Q22" i="3"/>
  <c r="R22" i="3"/>
  <c r="S22" i="3" s="1"/>
  <c r="T444" i="4"/>
  <c r="B444" i="4"/>
  <c r="C444" i="4"/>
  <c r="F444" i="4"/>
  <c r="J444" i="4"/>
  <c r="M444" i="4"/>
  <c r="P444" i="4"/>
  <c r="U444" i="4"/>
  <c r="V444" i="4" s="1"/>
  <c r="B443" i="4"/>
  <c r="C443" i="4"/>
  <c r="F443" i="4"/>
  <c r="J443" i="4"/>
  <c r="M443" i="4"/>
  <c r="P443" i="4"/>
  <c r="T443" i="4"/>
  <c r="U443" i="4"/>
  <c r="V443" i="4" s="1"/>
  <c r="B442" i="4"/>
  <c r="C442" i="4"/>
  <c r="F442" i="4"/>
  <c r="J442" i="4"/>
  <c r="M442" i="4"/>
  <c r="P442" i="4"/>
  <c r="T442" i="4"/>
  <c r="U442" i="4"/>
  <c r="V442" i="4" s="1"/>
  <c r="B441" i="4"/>
  <c r="C441" i="4"/>
  <c r="F441" i="4"/>
  <c r="J441" i="4"/>
  <c r="M441" i="4"/>
  <c r="P441" i="4"/>
  <c r="T441" i="4"/>
  <c r="U441" i="4"/>
  <c r="V441" i="4" s="1"/>
  <c r="B440" i="4"/>
  <c r="C440" i="4"/>
  <c r="F440" i="4"/>
  <c r="J440" i="4"/>
  <c r="M440" i="4"/>
  <c r="P440" i="4"/>
  <c r="T440" i="4"/>
  <c r="U440" i="4"/>
  <c r="V440" i="4" s="1"/>
  <c r="B439" i="4"/>
  <c r="C439" i="4"/>
  <c r="F439" i="4"/>
  <c r="J439" i="4"/>
  <c r="M439" i="4"/>
  <c r="P439" i="4"/>
  <c r="T439" i="4"/>
  <c r="U439" i="4"/>
  <c r="V439" i="4" s="1"/>
  <c r="B438" i="4"/>
  <c r="C438" i="4"/>
  <c r="F438" i="4"/>
  <c r="J438" i="4"/>
  <c r="M438" i="4"/>
  <c r="P438" i="4"/>
  <c r="T438" i="4"/>
  <c r="U438" i="4"/>
  <c r="V438" i="4" s="1"/>
  <c r="B437" i="4"/>
  <c r="C437" i="4"/>
  <c r="F437" i="4"/>
  <c r="J437" i="4"/>
  <c r="M437" i="4"/>
  <c r="P437" i="4"/>
  <c r="T437" i="4"/>
  <c r="U437" i="4"/>
  <c r="V437" i="4" s="1"/>
  <c r="J436" i="4"/>
  <c r="B436" i="4"/>
  <c r="C436" i="4"/>
  <c r="F436" i="4"/>
  <c r="M436" i="4"/>
  <c r="P436" i="4"/>
  <c r="T436" i="4"/>
  <c r="U436" i="4"/>
  <c r="V436" i="4" s="1"/>
  <c r="B435" i="4"/>
  <c r="C435" i="4"/>
  <c r="F435" i="4"/>
  <c r="J435" i="4"/>
  <c r="M435" i="4"/>
  <c r="P435" i="4"/>
  <c r="T435" i="4"/>
  <c r="U435" i="4"/>
  <c r="V435" i="4" s="1"/>
  <c r="H21" i="3"/>
  <c r="K21" i="3"/>
  <c r="M21" i="3"/>
  <c r="Q21" i="3"/>
  <c r="R21" i="3"/>
  <c r="S21" i="3" s="1"/>
  <c r="B434" i="4"/>
  <c r="C434" i="4"/>
  <c r="F434" i="4"/>
  <c r="J434" i="4"/>
  <c r="M434" i="4"/>
  <c r="P434" i="4"/>
  <c r="T434" i="4"/>
  <c r="U434" i="4"/>
  <c r="V434" i="4" s="1"/>
  <c r="M433" i="4"/>
  <c r="B433" i="4"/>
  <c r="C433" i="4"/>
  <c r="F433" i="4"/>
  <c r="J433" i="4"/>
  <c r="P433" i="4"/>
  <c r="T433" i="4"/>
  <c r="U433" i="4"/>
  <c r="V433" i="4" s="1"/>
  <c r="T432" i="4"/>
  <c r="B432" i="4"/>
  <c r="C432" i="4"/>
  <c r="F432" i="4"/>
  <c r="J432" i="4"/>
  <c r="M432" i="4"/>
  <c r="P432" i="4"/>
  <c r="U432" i="4"/>
  <c r="V432" i="4" s="1"/>
  <c r="B431" i="4"/>
  <c r="C431" i="4"/>
  <c r="F431" i="4"/>
  <c r="J431" i="4"/>
  <c r="M431" i="4"/>
  <c r="P431" i="4"/>
  <c r="T431" i="4"/>
  <c r="U431" i="4"/>
  <c r="V431" i="4" s="1"/>
  <c r="B430" i="4"/>
  <c r="C430" i="4"/>
  <c r="F430" i="4"/>
  <c r="J430" i="4"/>
  <c r="M430" i="4"/>
  <c r="P430" i="4"/>
  <c r="T430" i="4"/>
  <c r="U430" i="4"/>
  <c r="V430" i="4" s="1"/>
  <c r="B429" i="4"/>
  <c r="C429" i="4"/>
  <c r="F429" i="4"/>
  <c r="J429" i="4"/>
  <c r="M429" i="4"/>
  <c r="P429" i="4"/>
  <c r="T429" i="4"/>
  <c r="U429" i="4"/>
  <c r="V429" i="4" s="1"/>
  <c r="B428" i="4"/>
  <c r="C428" i="4"/>
  <c r="F428" i="4"/>
  <c r="J428" i="4"/>
  <c r="M428" i="4"/>
  <c r="P428" i="4"/>
  <c r="T428" i="4"/>
  <c r="U428" i="4"/>
  <c r="V428" i="4" s="1"/>
  <c r="B427" i="4"/>
  <c r="C427" i="4"/>
  <c r="F427" i="4"/>
  <c r="J427" i="4"/>
  <c r="M427" i="4"/>
  <c r="P427" i="4"/>
  <c r="T427" i="4"/>
  <c r="U427" i="4"/>
  <c r="V427" i="4" s="1"/>
  <c r="B426" i="4"/>
  <c r="C426" i="4"/>
  <c r="F426" i="4"/>
  <c r="J426" i="4"/>
  <c r="M426" i="4"/>
  <c r="P426" i="4"/>
  <c r="T426" i="4"/>
  <c r="U426" i="4"/>
  <c r="V426" i="4" s="1"/>
  <c r="B425" i="4"/>
  <c r="C425" i="4"/>
  <c r="F425" i="4"/>
  <c r="J425" i="4"/>
  <c r="M425" i="4"/>
  <c r="P425" i="4"/>
  <c r="T425" i="4"/>
  <c r="U425" i="4"/>
  <c r="V425" i="4" s="1"/>
  <c r="B424" i="4"/>
  <c r="C424" i="4"/>
  <c r="F424" i="4"/>
  <c r="J424" i="4"/>
  <c r="M424" i="4"/>
  <c r="P424" i="4"/>
  <c r="T424" i="4"/>
  <c r="U424" i="4"/>
  <c r="V424" i="4" s="1"/>
  <c r="B423" i="4"/>
  <c r="C423" i="4"/>
  <c r="F423" i="4"/>
  <c r="J423" i="4"/>
  <c r="M423" i="4"/>
  <c r="P423" i="4"/>
  <c r="T423" i="4"/>
  <c r="U423" i="4"/>
  <c r="V423" i="4" s="1"/>
  <c r="B422" i="4"/>
  <c r="C422" i="4"/>
  <c r="F422" i="4"/>
  <c r="J422" i="4"/>
  <c r="M422" i="4"/>
  <c r="P422" i="4"/>
  <c r="T422" i="4"/>
  <c r="U422" i="4"/>
  <c r="V422" i="4" s="1"/>
  <c r="B421" i="4"/>
  <c r="C421" i="4"/>
  <c r="F421" i="4"/>
  <c r="J421" i="4"/>
  <c r="M421" i="4"/>
  <c r="P421" i="4"/>
  <c r="T421" i="4"/>
  <c r="U421" i="4"/>
  <c r="V421" i="4" s="1"/>
  <c r="B420" i="4"/>
  <c r="C420" i="4"/>
  <c r="F420" i="4"/>
  <c r="J420" i="4"/>
  <c r="M420" i="4"/>
  <c r="P420" i="4"/>
  <c r="T420" i="4"/>
  <c r="U420" i="4"/>
  <c r="V420" i="4" s="1"/>
  <c r="B419" i="4"/>
  <c r="C419" i="4"/>
  <c r="F419" i="4"/>
  <c r="J419" i="4"/>
  <c r="M419" i="4"/>
  <c r="P419" i="4"/>
  <c r="T419" i="4"/>
  <c r="U419" i="4"/>
  <c r="V419" i="4" s="1"/>
  <c r="B418" i="4"/>
  <c r="C418" i="4"/>
  <c r="F418" i="4"/>
  <c r="J418" i="4"/>
  <c r="M418" i="4"/>
  <c r="P418" i="4"/>
  <c r="T418" i="4"/>
  <c r="U418" i="4"/>
  <c r="V418" i="4" s="1"/>
  <c r="B417" i="4"/>
  <c r="C417" i="4"/>
  <c r="F417" i="4"/>
  <c r="J417" i="4"/>
  <c r="M417" i="4"/>
  <c r="P417" i="4"/>
  <c r="T417" i="4"/>
  <c r="U417" i="4"/>
  <c r="V417" i="4" s="1"/>
  <c r="B416" i="4"/>
  <c r="C416" i="4"/>
  <c r="F416" i="4"/>
  <c r="J416" i="4"/>
  <c r="M416" i="4"/>
  <c r="P416" i="4"/>
  <c r="T416" i="4"/>
  <c r="U416" i="4"/>
  <c r="V416" i="4" s="1"/>
  <c r="B415" i="4"/>
  <c r="C415" i="4"/>
  <c r="F415" i="4"/>
  <c r="J415" i="4"/>
  <c r="M415" i="4"/>
  <c r="P415" i="4"/>
  <c r="T415" i="4"/>
  <c r="U415" i="4"/>
  <c r="V415" i="4" s="1"/>
  <c r="B414" i="4"/>
  <c r="C414" i="4"/>
  <c r="F414" i="4"/>
  <c r="J414" i="4"/>
  <c r="M414" i="4"/>
  <c r="P414" i="4"/>
  <c r="T414" i="4"/>
  <c r="U414" i="4"/>
  <c r="V414" i="4" s="1"/>
  <c r="H20" i="3"/>
  <c r="K20" i="3"/>
  <c r="M20" i="3"/>
  <c r="Q20" i="3"/>
  <c r="R20" i="3"/>
  <c r="S20" i="3" s="1"/>
  <c r="B413" i="4"/>
  <c r="C413" i="4"/>
  <c r="F413" i="4"/>
  <c r="J413" i="4"/>
  <c r="M413" i="4"/>
  <c r="P413" i="4"/>
  <c r="T413" i="4"/>
  <c r="U413" i="4"/>
  <c r="V413" i="4" s="1"/>
  <c r="B412" i="4"/>
  <c r="C412" i="4"/>
  <c r="F412" i="4"/>
  <c r="J412" i="4"/>
  <c r="M412" i="4"/>
  <c r="P412" i="4"/>
  <c r="T412" i="4"/>
  <c r="U412" i="4"/>
  <c r="V412" i="4" s="1"/>
  <c r="B411" i="4"/>
  <c r="C411" i="4"/>
  <c r="F411" i="4"/>
  <c r="J411" i="4"/>
  <c r="M411" i="4"/>
  <c r="P411" i="4"/>
  <c r="T411" i="4"/>
  <c r="U411" i="4"/>
  <c r="V411" i="4" s="1"/>
  <c r="B410" i="4"/>
  <c r="C410" i="4"/>
  <c r="F410" i="4"/>
  <c r="J410" i="4"/>
  <c r="M410" i="4"/>
  <c r="P410" i="4"/>
  <c r="T410" i="4"/>
  <c r="U410" i="4"/>
  <c r="V410" i="4" s="1"/>
  <c r="B409" i="4"/>
  <c r="C409" i="4"/>
  <c r="F409" i="4"/>
  <c r="J409" i="4"/>
  <c r="M409" i="4"/>
  <c r="P409" i="4"/>
  <c r="T409" i="4"/>
  <c r="U409" i="4"/>
  <c r="V409" i="4" s="1"/>
  <c r="B408" i="4"/>
  <c r="C408" i="4"/>
  <c r="F408" i="4"/>
  <c r="J408" i="4"/>
  <c r="M408" i="4"/>
  <c r="P408" i="4"/>
  <c r="T408" i="4"/>
  <c r="U408" i="4"/>
  <c r="V408" i="4" s="1"/>
  <c r="B407" i="4"/>
  <c r="C407" i="4"/>
  <c r="F407" i="4"/>
  <c r="J407" i="4"/>
  <c r="M407" i="4"/>
  <c r="P407" i="4"/>
  <c r="T407" i="4"/>
  <c r="U407" i="4"/>
  <c r="V407" i="4" s="1"/>
  <c r="B406" i="4"/>
  <c r="C406" i="4"/>
  <c r="F406" i="4"/>
  <c r="J406" i="4"/>
  <c r="M406" i="4"/>
  <c r="P406" i="4"/>
  <c r="T406" i="4"/>
  <c r="U406" i="4"/>
  <c r="V406" i="4" s="1"/>
  <c r="B405" i="4"/>
  <c r="C405" i="4"/>
  <c r="F405" i="4"/>
  <c r="J405" i="4"/>
  <c r="M405" i="4"/>
  <c r="P405" i="4"/>
  <c r="T405" i="4"/>
  <c r="U405" i="4"/>
  <c r="V405" i="4" s="1"/>
  <c r="B404" i="4"/>
  <c r="C404" i="4"/>
  <c r="F404" i="4"/>
  <c r="J404" i="4"/>
  <c r="M404" i="4"/>
  <c r="P404" i="4"/>
  <c r="T404" i="4"/>
  <c r="U404" i="4"/>
  <c r="V404" i="4" s="1"/>
  <c r="T403" i="4"/>
  <c r="B403" i="4"/>
  <c r="C403" i="4"/>
  <c r="F403" i="4"/>
  <c r="J403" i="4"/>
  <c r="M403" i="4"/>
  <c r="P403" i="4"/>
  <c r="U403" i="4"/>
  <c r="V403" i="4" s="1"/>
  <c r="H19" i="3"/>
  <c r="K19" i="3"/>
  <c r="M19" i="3"/>
  <c r="Q19" i="3"/>
  <c r="R19" i="3"/>
  <c r="S19" i="3" s="1"/>
  <c r="J402" i="4"/>
  <c r="B402" i="4"/>
  <c r="C402" i="4"/>
  <c r="F402" i="4"/>
  <c r="M402" i="4"/>
  <c r="P402" i="4"/>
  <c r="T402" i="4"/>
  <c r="U402" i="4"/>
  <c r="V402" i="4" s="1"/>
  <c r="B401" i="4"/>
  <c r="C401" i="4"/>
  <c r="F401" i="4"/>
  <c r="J401" i="4"/>
  <c r="M401" i="4"/>
  <c r="P401" i="4"/>
  <c r="T401" i="4"/>
  <c r="U401" i="4"/>
  <c r="V401" i="4" s="1"/>
  <c r="B400" i="4"/>
  <c r="C400" i="4"/>
  <c r="F400" i="4"/>
  <c r="J400" i="4"/>
  <c r="M400" i="4"/>
  <c r="P400" i="4"/>
  <c r="T400" i="4"/>
  <c r="U400" i="4"/>
  <c r="V400" i="4" s="1"/>
  <c r="B399" i="4"/>
  <c r="C399" i="4"/>
  <c r="F399" i="4"/>
  <c r="J399" i="4"/>
  <c r="M399" i="4"/>
  <c r="P399" i="4"/>
  <c r="T399" i="4"/>
  <c r="U399" i="4"/>
  <c r="V399" i="4" s="1"/>
  <c r="B398" i="4"/>
  <c r="C398" i="4"/>
  <c r="F398" i="4"/>
  <c r="J398" i="4"/>
  <c r="M398" i="4"/>
  <c r="P398" i="4"/>
  <c r="T398" i="4"/>
  <c r="U398" i="4"/>
  <c r="V398" i="4" s="1"/>
  <c r="B397" i="4"/>
  <c r="C397" i="4"/>
  <c r="F397" i="4"/>
  <c r="J397" i="4"/>
  <c r="M397" i="4"/>
  <c r="P397" i="4"/>
  <c r="T397" i="4"/>
  <c r="U397" i="4"/>
  <c r="V397" i="4" s="1"/>
  <c r="B396" i="4"/>
  <c r="C396" i="4"/>
  <c r="F396" i="4"/>
  <c r="J396" i="4"/>
  <c r="M396" i="4"/>
  <c r="P396" i="4"/>
  <c r="T396" i="4"/>
  <c r="U396" i="4"/>
  <c r="V396" i="4" s="1"/>
  <c r="B395" i="4"/>
  <c r="C395" i="4"/>
  <c r="F395" i="4"/>
  <c r="J395" i="4"/>
  <c r="M395" i="4"/>
  <c r="P395" i="4"/>
  <c r="T395" i="4"/>
  <c r="U395" i="4"/>
  <c r="V395" i="4" s="1"/>
  <c r="B394" i="4"/>
  <c r="C394" i="4"/>
  <c r="F394" i="4"/>
  <c r="J394" i="4"/>
  <c r="M394" i="4"/>
  <c r="P394" i="4"/>
  <c r="T394" i="4"/>
  <c r="U394" i="4"/>
  <c r="V394" i="4" s="1"/>
  <c r="B393" i="4"/>
  <c r="C393" i="4"/>
  <c r="F393" i="4"/>
  <c r="J393" i="4"/>
  <c r="M393" i="4"/>
  <c r="P393" i="4"/>
  <c r="T393" i="4"/>
  <c r="U393" i="4"/>
  <c r="V393" i="4" s="1"/>
  <c r="H18" i="3"/>
  <c r="K18" i="3"/>
  <c r="M18" i="3"/>
  <c r="Q18" i="3"/>
  <c r="R18" i="3"/>
  <c r="S18" i="3" s="1"/>
  <c r="B392" i="4"/>
  <c r="C392" i="4"/>
  <c r="F392" i="4"/>
  <c r="J392" i="4"/>
  <c r="M392" i="4"/>
  <c r="P392" i="4"/>
  <c r="T392" i="4"/>
  <c r="U392" i="4"/>
  <c r="V392" i="4" s="1"/>
  <c r="B391" i="4"/>
  <c r="C391" i="4"/>
  <c r="F391" i="4"/>
  <c r="J391" i="4"/>
  <c r="M391" i="4"/>
  <c r="P391" i="4"/>
  <c r="T391" i="4"/>
  <c r="U391" i="4"/>
  <c r="V391" i="4" s="1"/>
  <c r="F390" i="4"/>
  <c r="B390" i="4"/>
  <c r="C390" i="4"/>
  <c r="J390" i="4"/>
  <c r="M390" i="4"/>
  <c r="P390" i="4"/>
  <c r="T390" i="4"/>
  <c r="U390" i="4"/>
  <c r="V390" i="4" s="1"/>
  <c r="B389" i="4"/>
  <c r="C389" i="4"/>
  <c r="F389" i="4"/>
  <c r="J389" i="4"/>
  <c r="M389" i="4"/>
  <c r="P389" i="4"/>
  <c r="T389" i="4"/>
  <c r="U389" i="4"/>
  <c r="V389" i="4" s="1"/>
  <c r="B388" i="4"/>
  <c r="C388" i="4"/>
  <c r="F388" i="4"/>
  <c r="J388" i="4"/>
  <c r="M388" i="4"/>
  <c r="P388" i="4"/>
  <c r="T388" i="4"/>
  <c r="U388" i="4"/>
  <c r="V388" i="4" s="1"/>
  <c r="B387" i="4"/>
  <c r="C387" i="4"/>
  <c r="F387" i="4"/>
  <c r="J387" i="4"/>
  <c r="M387" i="4"/>
  <c r="P387" i="4"/>
  <c r="T387" i="4"/>
  <c r="U387" i="4"/>
  <c r="V387" i="4" s="1"/>
  <c r="B386" i="4" l="1"/>
  <c r="C386" i="4"/>
  <c r="F386" i="4"/>
  <c r="J386" i="4"/>
  <c r="M386" i="4"/>
  <c r="P386" i="4"/>
  <c r="T386" i="4"/>
  <c r="U386" i="4"/>
  <c r="V386" i="4" s="1"/>
  <c r="F385" i="4"/>
  <c r="B385" i="4"/>
  <c r="C385" i="4"/>
  <c r="J385" i="4"/>
  <c r="M385" i="4"/>
  <c r="P385" i="4"/>
  <c r="T385" i="4"/>
  <c r="U385" i="4"/>
  <c r="V385" i="4" s="1"/>
  <c r="M384" i="4"/>
  <c r="B384" i="4"/>
  <c r="C384" i="4"/>
  <c r="F384" i="4"/>
  <c r="J384" i="4"/>
  <c r="P384" i="4"/>
  <c r="T384" i="4"/>
  <c r="U384" i="4"/>
  <c r="V384" i="4" s="1"/>
  <c r="B383" i="4"/>
  <c r="C383" i="4"/>
  <c r="F383" i="4"/>
  <c r="J383" i="4"/>
  <c r="M383" i="4"/>
  <c r="P383" i="4"/>
  <c r="T383" i="4"/>
  <c r="U383" i="4"/>
  <c r="V383" i="4" s="1"/>
  <c r="B382" i="4"/>
  <c r="C382" i="4"/>
  <c r="F382" i="4"/>
  <c r="J382" i="4"/>
  <c r="M382" i="4"/>
  <c r="P382" i="4"/>
  <c r="T382" i="4"/>
  <c r="U382" i="4"/>
  <c r="V382" i="4" s="1"/>
  <c r="H17" i="3"/>
  <c r="K17" i="3"/>
  <c r="M17" i="3"/>
  <c r="Q17" i="3"/>
  <c r="R17" i="3"/>
  <c r="S17" i="3" s="1"/>
  <c r="H16" i="3"/>
  <c r="K16" i="3"/>
  <c r="M16" i="3"/>
  <c r="Q16" i="3"/>
  <c r="R16" i="3"/>
  <c r="S16" i="3" s="1"/>
  <c r="B381" i="4"/>
  <c r="C381" i="4"/>
  <c r="F381" i="4"/>
  <c r="J381" i="4"/>
  <c r="M381" i="4"/>
  <c r="P381" i="4"/>
  <c r="T381" i="4"/>
  <c r="U381" i="4"/>
  <c r="V381" i="4" s="1"/>
  <c r="B380" i="4"/>
  <c r="C380" i="4"/>
  <c r="F380" i="4"/>
  <c r="J380" i="4"/>
  <c r="M380" i="4"/>
  <c r="P380" i="4"/>
  <c r="T380" i="4"/>
  <c r="U380" i="4"/>
  <c r="V380" i="4" s="1"/>
  <c r="B379" i="4"/>
  <c r="C379" i="4"/>
  <c r="F379" i="4"/>
  <c r="J379" i="4"/>
  <c r="M379" i="4"/>
  <c r="P379" i="4"/>
  <c r="T379" i="4"/>
  <c r="U379" i="4"/>
  <c r="V379" i="4" s="1"/>
  <c r="B378" i="4"/>
  <c r="C378" i="4"/>
  <c r="F378" i="4"/>
  <c r="J378" i="4"/>
  <c r="M378" i="4"/>
  <c r="P378" i="4"/>
  <c r="T378" i="4"/>
  <c r="U378" i="4"/>
  <c r="V378" i="4" s="1"/>
  <c r="B377" i="4"/>
  <c r="C377" i="4"/>
  <c r="F377" i="4"/>
  <c r="J377" i="4"/>
  <c r="M377" i="4"/>
  <c r="P377" i="4"/>
  <c r="T377" i="4"/>
  <c r="U377" i="4"/>
  <c r="V377" i="4" s="1"/>
  <c r="B376" i="4"/>
  <c r="C376" i="4"/>
  <c r="F376" i="4"/>
  <c r="J376" i="4"/>
  <c r="M376" i="4"/>
  <c r="P376" i="4"/>
  <c r="T376" i="4"/>
  <c r="U376" i="4"/>
  <c r="V376" i="4" s="1"/>
  <c r="B375" i="4"/>
  <c r="C375" i="4"/>
  <c r="F375" i="4"/>
  <c r="J375" i="4"/>
  <c r="M375" i="4"/>
  <c r="P375" i="4"/>
  <c r="T375" i="4"/>
  <c r="U375" i="4"/>
  <c r="V375" i="4" s="1"/>
  <c r="B374" i="4"/>
  <c r="C374" i="4"/>
  <c r="F374" i="4"/>
  <c r="J374" i="4"/>
  <c r="M374" i="4"/>
  <c r="P374" i="4"/>
  <c r="T374" i="4"/>
  <c r="U374" i="4"/>
  <c r="V374" i="4" s="1"/>
  <c r="B373" i="4"/>
  <c r="C373" i="4"/>
  <c r="F373" i="4"/>
  <c r="J373" i="4"/>
  <c r="M373" i="4"/>
  <c r="P373" i="4"/>
  <c r="T373" i="4"/>
  <c r="U373" i="4"/>
  <c r="V373" i="4" s="1"/>
  <c r="B372" i="4"/>
  <c r="C372" i="4"/>
  <c r="F372" i="4"/>
  <c r="J372" i="4"/>
  <c r="M372" i="4"/>
  <c r="P372" i="4"/>
  <c r="T372" i="4"/>
  <c r="U372" i="4"/>
  <c r="V372" i="4" s="1"/>
  <c r="B371" i="4"/>
  <c r="C371" i="4"/>
  <c r="F371" i="4"/>
  <c r="J371" i="4"/>
  <c r="M371" i="4"/>
  <c r="P371" i="4"/>
  <c r="T371" i="4"/>
  <c r="U371" i="4"/>
  <c r="V371" i="4" s="1"/>
  <c r="B370" i="4"/>
  <c r="C370" i="4"/>
  <c r="F370" i="4"/>
  <c r="J370" i="4"/>
  <c r="M370" i="4"/>
  <c r="P370" i="4"/>
  <c r="T370" i="4"/>
  <c r="U370" i="4"/>
  <c r="V370" i="4" s="1"/>
  <c r="B369" i="4"/>
  <c r="C369" i="4"/>
  <c r="F369" i="4"/>
  <c r="J369" i="4"/>
  <c r="M369" i="4"/>
  <c r="P369" i="4"/>
  <c r="T369" i="4"/>
  <c r="U369" i="4"/>
  <c r="V369" i="4" s="1"/>
  <c r="B368" i="4"/>
  <c r="C368" i="4"/>
  <c r="F368" i="4"/>
  <c r="J368" i="4"/>
  <c r="M368" i="4"/>
  <c r="P368" i="4"/>
  <c r="T368" i="4"/>
  <c r="U368" i="4"/>
  <c r="V368" i="4" s="1"/>
  <c r="B367" i="4"/>
  <c r="C367" i="4"/>
  <c r="F367" i="4"/>
  <c r="J367" i="4"/>
  <c r="M367" i="4"/>
  <c r="P367" i="4"/>
  <c r="T367" i="4"/>
  <c r="U367" i="4"/>
  <c r="V367" i="4" s="1"/>
  <c r="B366" i="4"/>
  <c r="C366" i="4"/>
  <c r="F366" i="4"/>
  <c r="J366" i="4"/>
  <c r="M366" i="4"/>
  <c r="P366" i="4"/>
  <c r="T366" i="4"/>
  <c r="U366" i="4"/>
  <c r="V366" i="4" s="1"/>
  <c r="B365" i="4"/>
  <c r="C365" i="4"/>
  <c r="F365" i="4"/>
  <c r="J365" i="4"/>
  <c r="M365" i="4"/>
  <c r="P365" i="4"/>
  <c r="T365" i="4"/>
  <c r="U365" i="4"/>
  <c r="V365" i="4" s="1"/>
  <c r="B364" i="4"/>
  <c r="C364" i="4"/>
  <c r="F364" i="4"/>
  <c r="J364" i="4"/>
  <c r="M364" i="4"/>
  <c r="P364" i="4"/>
  <c r="T364" i="4"/>
  <c r="U364" i="4"/>
  <c r="V364" i="4" s="1"/>
  <c r="B363" i="4"/>
  <c r="C363" i="4"/>
  <c r="F363" i="4"/>
  <c r="J363" i="4"/>
  <c r="M363" i="4"/>
  <c r="P363" i="4"/>
  <c r="T363" i="4"/>
  <c r="U363" i="4"/>
  <c r="V363" i="4" s="1"/>
  <c r="B362" i="4"/>
  <c r="C362" i="4"/>
  <c r="F362" i="4"/>
  <c r="J362" i="4"/>
  <c r="M362" i="4"/>
  <c r="P362" i="4"/>
  <c r="T362" i="4"/>
  <c r="U362" i="4"/>
  <c r="V362" i="4" s="1"/>
  <c r="B361" i="4"/>
  <c r="C361" i="4"/>
  <c r="F361" i="4"/>
  <c r="J361" i="4"/>
  <c r="M361" i="4"/>
  <c r="P361" i="4"/>
  <c r="T361" i="4"/>
  <c r="U361" i="4"/>
  <c r="V361" i="4" s="1"/>
  <c r="B360" i="4"/>
  <c r="C360" i="4"/>
  <c r="F360" i="4"/>
  <c r="J360" i="4"/>
  <c r="M360" i="4"/>
  <c r="P360" i="4"/>
  <c r="T360" i="4"/>
  <c r="U360" i="4"/>
  <c r="V360" i="4" s="1"/>
  <c r="B359" i="4"/>
  <c r="C359" i="4"/>
  <c r="F359" i="4"/>
  <c r="J359" i="4"/>
  <c r="M359" i="4"/>
  <c r="P359" i="4"/>
  <c r="T359" i="4"/>
  <c r="U359" i="4"/>
  <c r="V359" i="4" s="1"/>
  <c r="B358" i="4"/>
  <c r="C358" i="4"/>
  <c r="F358" i="4"/>
  <c r="J358" i="4"/>
  <c r="M358" i="4"/>
  <c r="P358" i="4"/>
  <c r="T358" i="4"/>
  <c r="U358" i="4"/>
  <c r="V358" i="4" s="1"/>
  <c r="B357" i="4"/>
  <c r="C357" i="4"/>
  <c r="F357" i="4"/>
  <c r="J357" i="4"/>
  <c r="M357" i="4"/>
  <c r="P357" i="4"/>
  <c r="T357" i="4"/>
  <c r="U357" i="4"/>
  <c r="V357" i="4" s="1"/>
  <c r="B356" i="4"/>
  <c r="C356" i="4"/>
  <c r="F356" i="4"/>
  <c r="J356" i="4"/>
  <c r="M356" i="4"/>
  <c r="P356" i="4"/>
  <c r="T356" i="4"/>
  <c r="U356" i="4"/>
  <c r="V356" i="4" s="1"/>
  <c r="B355" i="4"/>
  <c r="C355" i="4"/>
  <c r="F355" i="4"/>
  <c r="J355" i="4"/>
  <c r="M355" i="4"/>
  <c r="P355" i="4"/>
  <c r="T355" i="4"/>
  <c r="U355" i="4"/>
  <c r="V355" i="4" s="1"/>
  <c r="H15" i="3"/>
  <c r="K15" i="3"/>
  <c r="M15" i="3"/>
  <c r="Q15" i="3"/>
  <c r="R15" i="3"/>
  <c r="S15" i="3" s="1"/>
  <c r="B354" i="4"/>
  <c r="C354" i="4"/>
  <c r="F354" i="4"/>
  <c r="J354" i="4"/>
  <c r="M354" i="4"/>
  <c r="P354" i="4"/>
  <c r="T354" i="4"/>
  <c r="U354" i="4"/>
  <c r="V354" i="4" s="1"/>
  <c r="B353" i="4"/>
  <c r="C353" i="4"/>
  <c r="F353" i="4"/>
  <c r="J353" i="4"/>
  <c r="M353" i="4"/>
  <c r="P353" i="4"/>
  <c r="T353" i="4"/>
  <c r="U353" i="4"/>
  <c r="V353" i="4" s="1"/>
  <c r="B352" i="4"/>
  <c r="C352" i="4"/>
  <c r="F352" i="4"/>
  <c r="J352" i="4"/>
  <c r="M352" i="4"/>
  <c r="P352" i="4"/>
  <c r="T352" i="4"/>
  <c r="U352" i="4"/>
  <c r="V352" i="4" s="1"/>
  <c r="B351" i="4"/>
  <c r="C351" i="4"/>
  <c r="F351" i="4"/>
  <c r="J351" i="4"/>
  <c r="M351" i="4"/>
  <c r="P351" i="4"/>
  <c r="T351" i="4"/>
  <c r="U351" i="4"/>
  <c r="V351" i="4" s="1"/>
  <c r="B350" i="4"/>
  <c r="C350" i="4"/>
  <c r="F350" i="4"/>
  <c r="J350" i="4"/>
  <c r="M350" i="4"/>
  <c r="P350" i="4"/>
  <c r="T350" i="4"/>
  <c r="U350" i="4"/>
  <c r="V350" i="4" s="1"/>
  <c r="B349" i="4"/>
  <c r="C349" i="4"/>
  <c r="F349" i="4"/>
  <c r="J349" i="4"/>
  <c r="M349" i="4"/>
  <c r="P349" i="4"/>
  <c r="T349" i="4"/>
  <c r="U349" i="4"/>
  <c r="V349" i="4" s="1"/>
  <c r="B348" i="4"/>
  <c r="C348" i="4"/>
  <c r="F348" i="4"/>
  <c r="J348" i="4"/>
  <c r="M348" i="4"/>
  <c r="P348" i="4"/>
  <c r="T348" i="4"/>
  <c r="U348" i="4"/>
  <c r="V348" i="4" s="1"/>
  <c r="B347" i="4"/>
  <c r="C347" i="4"/>
  <c r="F347" i="4"/>
  <c r="J347" i="4"/>
  <c r="M347" i="4"/>
  <c r="P347" i="4"/>
  <c r="T347" i="4"/>
  <c r="U347" i="4"/>
  <c r="V347" i="4" s="1"/>
  <c r="B346" i="4"/>
  <c r="C346" i="4"/>
  <c r="F346" i="4"/>
  <c r="J346" i="4"/>
  <c r="M346" i="4"/>
  <c r="P346" i="4"/>
  <c r="T346" i="4"/>
  <c r="U346" i="4"/>
  <c r="V346" i="4" s="1"/>
  <c r="B345" i="4"/>
  <c r="C345" i="4"/>
  <c r="F345" i="4"/>
  <c r="J345" i="4"/>
  <c r="M345" i="4"/>
  <c r="P345" i="4"/>
  <c r="T345" i="4"/>
  <c r="U345" i="4"/>
  <c r="V345" i="4" s="1"/>
  <c r="B344" i="4"/>
  <c r="C344" i="4"/>
  <c r="F344" i="4"/>
  <c r="J344" i="4"/>
  <c r="M344" i="4"/>
  <c r="P344" i="4"/>
  <c r="T344" i="4"/>
  <c r="U344" i="4"/>
  <c r="V344" i="4" s="1"/>
  <c r="H14" i="3"/>
  <c r="K14" i="3"/>
  <c r="M14" i="3"/>
  <c r="Q14" i="3"/>
  <c r="R14" i="3"/>
  <c r="S14" i="3" s="1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<sst xmlns="http://schemas.openxmlformats.org/spreadsheetml/2006/main" count="1510" uniqueCount="107">
  <si>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</si>
  <si>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</si>
  <si>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</si>
  <si>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</si>
  <si>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</si>
  <si>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</si>
  <si>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</si>
  <si>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</si>
  <si>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</si>
  <si>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</si>
  <si>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</si>
  <si>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</si>
  <si>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</si>
  <si>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</si>
  <si>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</si>
  <si>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</si>
  <si>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</si>
  <si>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</si>
  <si>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</si>
  <si>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</si>
  <si>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</si>
  <si>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</si>
  <si>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</si>
  <si>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</si>
  <si>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</si>
  <si>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</si>
  <si>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</si>
  <si>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</si>
  <si>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</si>
  <si>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</si>
  <si>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</si>
  <si>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</si>
  <si>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</si>
  <si>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</si>
  <si>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</si>
  <si>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</si>
  <si>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</si>
  <si>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</si>
  <si>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</si>
  <si>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</si>
  <si>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</si>
  <si>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</si>
  <si>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</si>
  <si>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</si>
  <si>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</si>
  <si>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</si>
  <si>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</si>
  <si>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</si>
  <si>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</si>
  <si>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</si>
  <si>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</si>
  <si>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</si>
  <si>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</si>
  <si>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</si>
  <si>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</si>
  <si>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</si>
  <si>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</si>
  <si>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</si>
  <si>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</si>
  <si>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</si>
  <si>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</si>
  <si>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</si>
  <si>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</si>
  <si>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</si>
  <si>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</si>
  <si>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</si>
  <si>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</si>
  <si>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</si>
  <si>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</si>
  <si>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</si>
  <si>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</si>
  <si>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</si>
  <si>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</si>
  <si>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</si>
  <si>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</si>
  <si>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</si>
  <si>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</si>
  <si>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</si>
  <si>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</si>
  <si>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</si>
  <si>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</si>
  <si>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</si>
  <si>
    <t>42,10,13,13</t>
  </si>
  <si>
    <t>42,9,9</t>
  </si>
  <si>
    <t>38,38,38,9,13,13,13</t>
  </si>
  <si>
    <t>10,9,42,9</t>
  </si>
  <si>
    <t>13,13,13,13,9</t>
  </si>
  <si>
    <t>27,27,27,27</t>
  </si>
  <si>
    <t>38,38,38,38</t>
  </si>
  <si>
    <t>13,13,8</t>
  </si>
  <si>
    <t>Mosqueiro</t>
  </si>
  <si>
    <t>38,38,38,8</t>
  </si>
  <si>
    <t>38,8,8</t>
  </si>
  <si>
    <t>9,9,9,9,38</t>
  </si>
  <si>
    <t>9,9,13,13</t>
  </si>
  <si>
    <t>13,13,13,13,13,13,13,13,13,13</t>
  </si>
  <si>
    <t>BER6A86</t>
  </si>
  <si>
    <t>9,9,38,38,38</t>
  </si>
  <si>
    <t>13,13,13,13,13,13,13,27</t>
  </si>
  <si>
    <t>13,13,13,13,13,13</t>
  </si>
  <si>
    <t>13,13,13,13,13,13,13,13,13,13,13,13,13,13,13,13,13,38</t>
  </si>
  <si>
    <t>38,38,38,38,38,38,38,38,38</t>
  </si>
  <si>
    <t>38,38,38,38,38,38,38</t>
  </si>
  <si>
    <t>9,21,42</t>
  </si>
  <si>
    <t>13,13,9</t>
  </si>
  <si>
    <t>Juscelino</t>
  </si>
  <si>
    <t>13,13,13,38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</si>
</sst>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45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38" totalsRowShown="0" headerRowDxfId="144" dataDxfId="142" headerRowBorderDxfId="143" tableBorderDxfId="141" totalsRowBorderDxfId="140" headerRowCellStyle="Normal 2 2 2">
  <autoFilter ref="A1:V38" xr:uid="{DCE91C63-7150-4B05-9681-4C03C82B532C}"/>
  <tableColumns count="22">
    <tableColumn id="1" xr3:uid="{26A85748-1AED-4A71-96D3-23AF97AC5D2B}" name="Data" dataDxfId="139"/>
    <tableColumn id="25" xr3:uid="{D413966D-CDFC-4875-A3AE-6AE9D849E75F}" name="Placa" dataDxfId="138"/>
    <tableColumn id="3" xr3:uid="{D30CA2C3-D31F-4082-8392-1A98EB60EDD3}" name="Carreta" dataDxfId="137"/>
    <tableColumn id="4" xr3:uid="{758E5D51-7D49-4A69-8227-C9CE8E4A907A}" name="Motorista" dataDxfId="136"/>
    <tableColumn id="6" xr3:uid="{842361EA-39E1-4EF7-90A4-9BDC9C0966DF}" name="Valor Frete" dataDxfId="135" dataCellStyle="Moeda"/>
    <tableColumn id="7" xr3:uid="{D4C1D57F-C6B7-49EE-9F7B-47EBA6030041}" name="Valor Mercadoria" dataDxfId="134" dataCellStyle="Moeda"/>
    <tableColumn id="8" xr3:uid="{C79AB3D8-0BFF-4FFE-B20B-E81367BFEEFC}" name="Peso" dataDxfId="133"/>
    <tableColumn id="9" xr3:uid="{7D4ACBB5-8F17-463A-A61F-84A8EFF41604}" name="% Frete" dataDxfId="132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31"/>
    <tableColumn id="11" xr3:uid="{DC726A91-384E-47C4-A94A-9095E8138925}" name="Hr Chegada" dataDxfId="130"/>
    <tableColumn id="12" xr3:uid="{9A37D38C-D321-47A3-881E-B95F03E5DB0D}" name="Tempo" dataDxfId="129">
      <calculatedColumnFormula>Tabela35[[#This Row],[Hr Chegada]]-Tabela35[[#This Row],[Hr Saida]]</calculatedColumnFormula>
    </tableColumn>
    <tableColumn id="13" xr3:uid="{E5643091-5008-4800-BF73-88DFC566FBE9}" name="Frete" dataDxfId="128" dataCellStyle="Moeda"/>
    <tableColumn id="14" xr3:uid="{5E8F8636-0E97-4E52-8561-725D1AD8BAF1}" name="% Frete T" dataDxfId="127" dataCellStyle="Porcentagem">
      <calculatedColumnFormula>Tabela35[[#This Row],[Frete]]/Tabela35[[#This Row],[Valor Frete]]</calculatedColumnFormula>
    </tableColumn>
    <tableColumn id="16" xr3:uid="{F64AFFB0-A5D7-49FD-8B66-BD3FBD830A8C}" name="Vols" dataDxfId="126"/>
    <tableColumn id="17" xr3:uid="{36B8097A-82AA-4880-AA26-8A84D3BFDAE9}" name="Qtde Entregas" dataDxfId="125"/>
    <tableColumn id="18" xr3:uid="{8BF06732-0C91-4852-86A9-342D98B30169}" name="Entregas Realizadas" dataDxfId="124"/>
    <tableColumn id="19" xr3:uid="{20BD31A4-57AA-4F11-A73A-2B181C01798B}" name=" Retornadas" dataDxfId="123">
      <calculatedColumnFormula>Tabela35[[#This Row],[Qtde Entregas]]-Tabela35[[#This Row],[Entregas Realizadas]]</calculatedColumnFormula>
    </tableColumn>
    <tableColumn id="20" xr3:uid="{F3EDF45C-B4E9-4FE6-A74A-C49CA0273F75}" name="% Entrega" dataDxfId="122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21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20"/>
    <tableColumn id="23" xr3:uid="{D7BA1AAD-39A7-4F74-8E2B-3DAD30E78669}" name="Nfs Voltaram" dataDxfId="119"/>
    <tableColumn id="24" xr3:uid="{3938B063-E851-4B1A-B457-042DD7442897}" name="Código ocorrência" dataDxfId="1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648" totalsRowShown="0" headerRowDxfId="117" dataDxfId="115" headerRowBorderDxfId="116" tableBorderDxfId="114" totalsRowBorderDxfId="113">
  <tableColumns count="25">
    <tableColumn id="1" xr3:uid="{B118DAB0-A500-46F5-A61D-A15BA1838F69}" name="Data" dataDxfId="112"/>
    <tableColumn id="25" xr3:uid="{DAA903FE-736A-4CBF-95D8-B9E859203B97}" name="Ano" dataDxfId="111">
      <calculatedColumnFormula>YEAR(Tabela32[[#This Row],[Data]])</calculatedColumnFormula>
    </tableColumn>
    <tableColumn id="5" xr3:uid="{90D6CF8C-ACE3-46EA-828E-BB258996DD8F}" name="Mês" dataDxfId="110">
      <calculatedColumnFormula>MONTH(Tabela32[[#This Row],[Data]])</calculatedColumnFormula>
    </tableColumn>
    <tableColumn id="2" xr3:uid="{9E2D603E-103D-4F88-A5C8-5E9A03E2A3EE}" name="Placa" dataDxfId="109"/>
    <tableColumn id="3" xr3:uid="{7935B67B-4456-42E7-8B2D-EAF1D5C1B4F9}" name="Rota" dataDxfId="108"/>
    <tableColumn id="4" xr3:uid="{74C94A9C-B298-4701-847E-59C66BC8BBC2}" name="Motorista" dataDxfId="107">
      <calculatedColumnFormula>IFERROR(VLOOKUP(Tabela32[[#This Row],[Placa]],Planilha2!$A$1:$B$12,2,0),"")</calculatedColumnFormula>
    </tableColumn>
    <tableColumn id="6" xr3:uid="{694C94D7-8F01-480E-AA0C-B9B0FA8D2345}" name="Valor Frete" dataDxfId="106" dataCellStyle="Moeda"/>
    <tableColumn id="7" xr3:uid="{7D623530-7EED-4526-B289-B392FA2EF883}" name="Valor Mercadoria" dataDxfId="105" dataCellStyle="Moeda"/>
    <tableColumn id="8" xr3:uid="{3D927A69-B557-47A5-A269-05DEBEF85C73}" name="Peso" dataDxfId="104"/>
    <tableColumn id="9" xr3:uid="{69BC588C-6D01-4257-B2D9-CF2D843D1C40}" name="% Frete" dataDxfId="103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102"/>
    <tableColumn id="11" xr3:uid="{3B907CC4-B262-4107-87FF-1E75280AC1BF}" name="Hr Chegada" dataDxfId="101"/>
    <tableColumn id="12" xr3:uid="{ED725939-179A-4D21-873C-15774DD68F53}" name="Tempo" dataDxfId="100">
      <calculatedColumnFormula>Tabela32[[#This Row],[Hr Chegada]]-Tabela32[[#This Row],[Hr Saida]]</calculatedColumnFormula>
    </tableColumn>
    <tableColumn id="13" xr3:uid="{74EA350D-6976-4E2D-A058-0785043C5735}" name="Km Saída" dataDxfId="99"/>
    <tableColumn id="14" xr3:uid="{496AFEAD-5BFE-466C-B0AF-20375AAEECFC}" name="Km Chegada" dataDxfId="98"/>
    <tableColumn id="15" xr3:uid="{AB2841F1-639E-4525-98D9-0FAED04E102B}" name="Km/Dia" dataDxfId="97">
      <calculatedColumnFormula>Tabela32[[#This Row],[Km Chegada]]-Tabela32[[#This Row],[Km Saída]]</calculatedColumnFormula>
    </tableColumn>
    <tableColumn id="16" xr3:uid="{D83FBC01-4652-43E1-B278-CE34A958D106}" name="Vols" dataDxfId="96"/>
    <tableColumn id="17" xr3:uid="{CA7BF05C-1770-40EE-89A9-C80AA88EFC06}" name="Entregas" dataDxfId="95"/>
    <tableColumn id="18" xr3:uid="{037F6348-AFD4-431D-99B0-8147EA9E213B}" name="Realizadas" dataDxfId="94"/>
    <tableColumn id="19" xr3:uid="{196A1910-314C-450C-B67A-E51295FA6A18}" name=" Retornadas" dataDxfId="93">
      <calculatedColumnFormula>Tabela32[[#This Row],[Entregas]]-Tabela32[[#This Row],[Realizadas]]</calculatedColumnFormula>
    </tableColumn>
    <tableColumn id="20" xr3:uid="{F0BBC004-BAAB-43E2-A50E-1DD3FAEFD5F0}" name="% Entrega" dataDxfId="92" dataCellStyle="Moeda">
      <calculatedColumnFormula>Tabela32[[#This Row],[Realizadas]]/Tabela32[[#This Row],[Entregas]]</calculatedColumnFormula>
    </tableColumn>
    <tableColumn id="21" xr3:uid="{BB53A276-7721-4934-9C42-DB7E1D2740B3}" name="Meta" dataDxfId="91">
      <calculatedColumnFormula>IF(Tabela32[[#This Row],[% Entrega]]&gt;=96%,"Atendeu a Meta","Não Atendeu a Meta")</calculatedColumnFormula>
    </tableColumn>
    <tableColumn id="22" xr3:uid="{CE1DD687-26CA-4D2F-BCFC-661EB14CAD0F}" name="Cidade Destino" dataDxfId="90"/>
    <tableColumn id="23" xr3:uid="{F8FFD74E-1FF0-45CC-9EA9-8E8EA807957C}" name="Nfs Voltaram" dataDxfId="89"/>
    <tableColumn id="24" xr3:uid="{2EC98F08-AFB3-40A3-B3CE-1C9A788E39CD}" name="Ocorrência" dataDxfId="8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2" sqref="B2"/>
    </sheetView>
  </sheetViews>
  <sheetFormatPr defaultRowHeight="15" x14ac:dyDescent="0.25"/>
  <sheetData>
    <row r="1" spans="1:2" x14ac:dyDescent="0.25">
      <c r="A1" t="s">
        <v>22</v>
      </c>
      <c r="B1" t="s">
        <v>105</v>
      </c>
    </row>
    <row r="2" spans="1:2" x14ac:dyDescent="0.25">
      <c r="A2" t="s">
        <v>23</v>
      </c>
      <c r="B2" t="s">
        <v>77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61</v>
      </c>
    </row>
    <row r="5" spans="1:2" x14ac:dyDescent="0.25">
      <c r="A5" t="s">
        <v>28</v>
      </c>
      <c r="B5" t="s">
        <v>55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80</v>
      </c>
    </row>
    <row r="11" spans="1:2" x14ac:dyDescent="0.25">
      <c r="A11" t="s">
        <v>96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38"/>
  <sheetViews>
    <sheetView showGridLines="0" tabSelected="1" workbookViewId="0">
      <pane xSplit="8" ySplit="1" topLeftCell="R12" activePane="bottomRight" state="frozen"/>
      <selection pane="topRight" activeCell="I1" sqref="I1"/>
      <selection pane="bottomLeft" activeCell="A2" sqref="A2"/>
      <selection pane="bottomRight" activeCell="V37" sqref="V37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56</v>
      </c>
      <c r="C3" s="4"/>
      <c r="D3" s="4" t="s">
        <v>57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64</v>
      </c>
      <c r="C8" s="4"/>
      <c r="D8" s="4" t="s">
        <v>65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56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56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10">
        <v>3850.15</v>
      </c>
      <c r="F14" s="10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  <row r="15" spans="1:22" x14ac:dyDescent="0.25">
      <c r="A15" s="8">
        <v>46283</v>
      </c>
      <c r="B15" s="8" t="s">
        <v>44</v>
      </c>
      <c r="C15" s="4"/>
      <c r="D15" s="4" t="s">
        <v>45</v>
      </c>
      <c r="E15" s="10">
        <v>6994.8</v>
      </c>
      <c r="F15" s="10">
        <v>202752.86</v>
      </c>
      <c r="G15" s="4">
        <v>1833</v>
      </c>
      <c r="H15" s="9">
        <f>Tabela35[[#This Row],[Valor Frete]]/Tabela35[[#This Row],[Valor Mercadoria]]</f>
        <v>3.4499143439949503E-2</v>
      </c>
      <c r="I15" s="4"/>
      <c r="J15" s="4"/>
      <c r="K15" s="4">
        <f>Tabela35[[#This Row],[Hr Chegada]]-Tabela35[[#This Row],[Hr Saida]]</f>
        <v>0</v>
      </c>
      <c r="L15" s="10">
        <v>500</v>
      </c>
      <c r="M15" s="9">
        <f>Tabela35[[#This Row],[Frete]]/Tabela35[[#This Row],[Valor Frete]]</f>
        <v>7.1481672099273738E-2</v>
      </c>
      <c r="N15" s="4"/>
      <c r="O15" s="4"/>
      <c r="P15" s="4"/>
      <c r="Q15" s="12">
        <f>Tabela35[[#This Row],[Qtde Entregas]]-Tabela35[[#This Row],[Entregas Realizadas]]</f>
        <v>0</v>
      </c>
      <c r="R15" s="13" t="e">
        <f>Tabela35[[#This Row],[Entregas Realizadas]]/Tabela35[[#This Row],[Qtde Entregas]]</f>
        <v>#DIV/0!</v>
      </c>
      <c r="S15" s="14" t="e">
        <f>IF(Tabela35[[#This Row],[% Entrega]]&gt;=96%,"Atendeu a Meta","Não Atendeu a Meta")</f>
        <v>#DIV/0!</v>
      </c>
      <c r="T15" s="4"/>
      <c r="U15" s="4"/>
      <c r="V15" s="5"/>
    </row>
    <row r="16" spans="1:22" x14ac:dyDescent="0.25">
      <c r="A16" s="8">
        <v>46287</v>
      </c>
      <c r="B16" s="8" t="s">
        <v>44</v>
      </c>
      <c r="C16" s="4"/>
      <c r="D16" s="4" t="s">
        <v>45</v>
      </c>
      <c r="E16" s="10">
        <v>6537.08</v>
      </c>
      <c r="F16" s="10">
        <v>70656.17</v>
      </c>
      <c r="G16" s="4">
        <v>2255</v>
      </c>
      <c r="H16" s="9">
        <f>Tabela35[[#This Row],[Valor Frete]]/Tabela35[[#This Row],[Valor Mercadoria]]</f>
        <v>9.2519591707277651E-2</v>
      </c>
      <c r="I16" s="4"/>
      <c r="J16" s="4"/>
      <c r="K16" s="4">
        <f>Tabela35[[#This Row],[Hr Chegada]]-Tabela35[[#This Row],[Hr Saida]]</f>
        <v>0</v>
      </c>
      <c r="L16" s="10">
        <v>500</v>
      </c>
      <c r="M16" s="9">
        <f>Tabela35[[#This Row],[Frete]]/Tabela35[[#This Row],[Valor Frete]]</f>
        <v>7.6486749435527787E-2</v>
      </c>
      <c r="N16" s="4"/>
      <c r="O16" s="4">
        <v>11</v>
      </c>
      <c r="P16" s="4">
        <v>11</v>
      </c>
      <c r="Q16" s="12">
        <f>Tabela35[[#This Row],[Qtde Entregas]]-Tabela35[[#This Row],[Entregas Realizadas]]</f>
        <v>0</v>
      </c>
      <c r="R16" s="13">
        <f>Tabela35[[#This Row],[Entregas Realizadas]]/Tabela35[[#This Row],[Qtde Entregas]]</f>
        <v>1</v>
      </c>
      <c r="S16" s="14" t="str">
        <f>IF(Tabela35[[#This Row],[% Entrega]]&gt;=96%,"Atendeu a Meta","Não Atendeu a Meta")</f>
        <v>Atendeu a Meta</v>
      </c>
      <c r="T16" s="4"/>
      <c r="U16" s="4"/>
      <c r="V16" s="5"/>
    </row>
    <row r="17" spans="1:22" x14ac:dyDescent="0.25">
      <c r="A17" s="8">
        <v>46287</v>
      </c>
      <c r="B17" s="8" t="s">
        <v>64</v>
      </c>
      <c r="C17" s="4"/>
      <c r="D17" s="4" t="s">
        <v>65</v>
      </c>
      <c r="E17" s="10">
        <v>4118.54</v>
      </c>
      <c r="F17" s="10">
        <v>62885.27</v>
      </c>
      <c r="G17" s="4">
        <v>632</v>
      </c>
      <c r="H17" s="9">
        <f>Tabela35[[#This Row],[Valor Frete]]/Tabela35[[#This Row],[Valor Mercadoria]]</f>
        <v>6.5492920679198804E-2</v>
      </c>
      <c r="I17" s="4"/>
      <c r="J17" s="4"/>
      <c r="K17" s="4">
        <f>Tabela35[[#This Row],[Hr Chegada]]-Tabela35[[#This Row],[Hr Saida]]</f>
        <v>0</v>
      </c>
      <c r="L17" s="10">
        <v>500</v>
      </c>
      <c r="M17" s="9">
        <f>Tabela35[[#This Row],[Frete]]/Tabela35[[#This Row],[Valor Frete]]</f>
        <v>0.12140224448469604</v>
      </c>
      <c r="N17" s="4"/>
      <c r="O17" s="4">
        <v>5</v>
      </c>
      <c r="P17" s="4">
        <v>5</v>
      </c>
      <c r="Q17" s="12">
        <f>Tabela35[[#This Row],[Qtde Entregas]]-Tabela35[[#This Row],[Entregas Realizadas]]</f>
        <v>0</v>
      </c>
      <c r="R17" s="13">
        <f>Tabela35[[#This Row],[Entregas Realizadas]]/Tabela35[[#This Row],[Qtde Entregas]]</f>
        <v>1</v>
      </c>
      <c r="S17" s="14" t="str">
        <f>IF(Tabela35[[#This Row],[% Entrega]]&gt;=96%,"Atendeu a Meta","Não Atendeu a Meta")</f>
        <v>Atendeu a Meta</v>
      </c>
      <c r="T17" s="4"/>
      <c r="U17" s="4"/>
      <c r="V17" s="5"/>
    </row>
    <row r="18" spans="1:22" x14ac:dyDescent="0.25">
      <c r="A18" s="8">
        <v>46288</v>
      </c>
      <c r="B18" s="8" t="s">
        <v>44</v>
      </c>
      <c r="C18" s="4"/>
      <c r="D18" s="4" t="s">
        <v>45</v>
      </c>
      <c r="E18" s="10">
        <v>4151.1400000000003</v>
      </c>
      <c r="F18" s="10">
        <v>51812.79</v>
      </c>
      <c r="G18" s="4">
        <v>631</v>
      </c>
      <c r="H18" s="9">
        <f>Tabela35[[#This Row],[Valor Frete]]/Tabela35[[#This Row],[Valor Mercadoria]]</f>
        <v>8.0118055792787843E-2</v>
      </c>
      <c r="I18" s="4"/>
      <c r="J18" s="4"/>
      <c r="K18" s="4">
        <f>Tabela35[[#This Row],[Hr Chegada]]-Tabela35[[#This Row],[Hr Saida]]</f>
        <v>0</v>
      </c>
      <c r="L18" s="10">
        <v>500</v>
      </c>
      <c r="M18" s="9">
        <f>Tabela35[[#This Row],[Frete]]/Tabela35[[#This Row],[Valor Frete]]</f>
        <v>0.12044884055946077</v>
      </c>
      <c r="N18" s="4"/>
      <c r="O18" s="4">
        <v>11</v>
      </c>
      <c r="P18" s="4">
        <v>11</v>
      </c>
      <c r="Q18" s="12">
        <f>Tabela35[[#This Row],[Qtde Entregas]]-Tabela35[[#This Row],[Entregas Realizadas]]</f>
        <v>0</v>
      </c>
      <c r="R18" s="13">
        <f>Tabela35[[#This Row],[Entregas Realizadas]]/Tabela35[[#This Row],[Qtde Entregas]]</f>
        <v>1</v>
      </c>
      <c r="S18" s="14" t="str">
        <f>IF(Tabela35[[#This Row],[% Entrega]]&gt;=96%,"Atendeu a Meta","Não Atendeu a Meta")</f>
        <v>Atendeu a Meta</v>
      </c>
      <c r="T18" s="4"/>
      <c r="U18" s="4"/>
      <c r="V18" s="5"/>
    </row>
    <row r="19" spans="1:22" x14ac:dyDescent="0.25">
      <c r="A19" s="8">
        <v>46289</v>
      </c>
      <c r="B19" s="8" t="s">
        <v>44</v>
      </c>
      <c r="C19" s="4"/>
      <c r="D19" s="4" t="s">
        <v>45</v>
      </c>
      <c r="E19" s="10">
        <v>3779.58</v>
      </c>
      <c r="F19" s="10">
        <v>77696.94</v>
      </c>
      <c r="G19" s="4">
        <v>718</v>
      </c>
      <c r="H19" s="9">
        <f>Tabela35[[#This Row],[Valor Frete]]/Tabela35[[#This Row],[Valor Mercadoria]]</f>
        <v>4.864515899853971E-2</v>
      </c>
      <c r="I19" s="4"/>
      <c r="J19" s="4"/>
      <c r="K19" s="4">
        <f>Tabela35[[#This Row],[Hr Chegada]]-Tabela35[[#This Row],[Hr Saida]]</f>
        <v>0</v>
      </c>
      <c r="L19" s="10">
        <v>500</v>
      </c>
      <c r="M19" s="9">
        <f>Tabela35[[#This Row],[Frete]]/Tabela35[[#This Row],[Valor Frete]]</f>
        <v>0.13228983114525952</v>
      </c>
      <c r="N19" s="4"/>
      <c r="O19" s="4">
        <v>14</v>
      </c>
      <c r="P19" s="4">
        <v>14</v>
      </c>
      <c r="Q19" s="12">
        <f>Tabela35[[#This Row],[Qtde Entregas]]-Tabela35[[#This Row],[Entregas Realizadas]]</f>
        <v>0</v>
      </c>
      <c r="R19" s="13">
        <f>Tabela35[[#This Row],[Entregas Realizadas]]/Tabela35[[#This Row],[Qtde Entregas]]</f>
        <v>1</v>
      </c>
      <c r="S19" s="14" t="str">
        <f>IF(Tabela35[[#This Row],[% Entrega]]&gt;=96%,"Atendeu a Meta","Não Atendeu a Meta")</f>
        <v>Atendeu a Meta</v>
      </c>
      <c r="T19" s="4">
        <v>0</v>
      </c>
      <c r="U19" s="4">
        <v>38</v>
      </c>
      <c r="V19" s="5"/>
    </row>
    <row r="20" spans="1:22" x14ac:dyDescent="0.25">
      <c r="A20" s="8">
        <v>46290</v>
      </c>
      <c r="B20" s="8" t="s">
        <v>44</v>
      </c>
      <c r="C20" s="4"/>
      <c r="D20" s="4" t="s">
        <v>45</v>
      </c>
      <c r="E20" s="10">
        <v>10761.38</v>
      </c>
      <c r="F20" s="10">
        <v>181084.37</v>
      </c>
      <c r="G20" s="4">
        <v>2461</v>
      </c>
      <c r="H20" s="9">
        <f>Tabela35[[#This Row],[Valor Frete]]/Tabela35[[#This Row],[Valor Mercadoria]]</f>
        <v>5.9427437055997706E-2</v>
      </c>
      <c r="I20" s="4"/>
      <c r="J20" s="4"/>
      <c r="K20" s="4">
        <f>Tabela35[[#This Row],[Hr Chegada]]-Tabela35[[#This Row],[Hr Saida]]</f>
        <v>0</v>
      </c>
      <c r="L20" s="10">
        <v>500</v>
      </c>
      <c r="M20" s="9">
        <f>Tabela35[[#This Row],[Frete]]/Tabela35[[#This Row],[Valor Frete]]</f>
        <v>4.646244254918979E-2</v>
      </c>
      <c r="N20" s="4"/>
      <c r="O20" s="4">
        <v>28</v>
      </c>
      <c r="P20" s="4">
        <v>28</v>
      </c>
      <c r="Q20" s="12">
        <f>Tabela35[[#This Row],[Qtde Entregas]]-Tabela35[[#This Row],[Entregas Realizadas]]</f>
        <v>0</v>
      </c>
      <c r="R20" s="13">
        <f>Tabela35[[#This Row],[Entregas Realizadas]]/Tabela35[[#This Row],[Qtde Entregas]]</f>
        <v>1</v>
      </c>
      <c r="S20" s="14" t="str">
        <f>IF(Tabela35[[#This Row],[% Entrega]]&gt;=96%,"Atendeu a Meta","Não Atendeu a Meta")</f>
        <v>Atendeu a Meta</v>
      </c>
      <c r="T20" s="4">
        <v>0</v>
      </c>
      <c r="U20" s="4" t="s">
        <v>81</v>
      </c>
      <c r="V20" s="5"/>
    </row>
    <row r="21" spans="1:22" x14ac:dyDescent="0.25">
      <c r="A21" s="8">
        <v>46294</v>
      </c>
      <c r="B21" s="8" t="s">
        <v>56</v>
      </c>
      <c r="C21" s="4"/>
      <c r="D21" s="4" t="s">
        <v>57</v>
      </c>
      <c r="E21" s="10"/>
      <c r="F21" s="10"/>
      <c r="G21" s="4"/>
      <c r="H21" s="9" t="e">
        <f>Tabela35[[#This Row],[Valor Frete]]/Tabela35[[#This Row],[Valor Mercadoria]]</f>
        <v>#DIV/0!</v>
      </c>
      <c r="I21" s="4"/>
      <c r="J21" s="4"/>
      <c r="K21" s="4">
        <f>Tabela35[[#This Row],[Hr Chegada]]-Tabela35[[#This Row],[Hr Saida]]</f>
        <v>0</v>
      </c>
      <c r="L21" s="10"/>
      <c r="M21" s="9" t="e">
        <f>Tabela35[[#This Row],[Frete]]/Tabela35[[#This Row],[Valor Frete]]</f>
        <v>#DIV/0!</v>
      </c>
      <c r="N21" s="4"/>
      <c r="O21" s="4"/>
      <c r="P21" s="4"/>
      <c r="Q21" s="12">
        <f>Tabela35[[#This Row],[Qtde Entregas]]-Tabela35[[#This Row],[Entregas Realizadas]]</f>
        <v>0</v>
      </c>
      <c r="R21" s="13" t="e">
        <f>Tabela35[[#This Row],[Entregas Realizadas]]/Tabela35[[#This Row],[Qtde Entregas]]</f>
        <v>#DIV/0!</v>
      </c>
      <c r="S21" s="14" t="e">
        <f>IF(Tabela35[[#This Row],[% Entrega]]&gt;=96%,"Atendeu a Meta","Não Atendeu a Meta")</f>
        <v>#DIV/0!</v>
      </c>
      <c r="T21" s="4"/>
      <c r="U21" s="4"/>
      <c r="V21" s="5"/>
    </row>
    <row r="22" spans="1:22" x14ac:dyDescent="0.25">
      <c r="A22" s="8">
        <v>46295</v>
      </c>
      <c r="B22" s="8" t="s">
        <v>56</v>
      </c>
      <c r="C22" s="4"/>
      <c r="D22" s="4" t="s">
        <v>57</v>
      </c>
      <c r="E22" s="10"/>
      <c r="F22" s="10"/>
      <c r="G22" s="4"/>
      <c r="H22" s="9" t="e">
        <f>Tabela35[[#This Row],[Valor Frete]]/Tabela35[[#This Row],[Valor Mercadoria]]</f>
        <v>#DIV/0!</v>
      </c>
      <c r="I22" s="4"/>
      <c r="J22" s="4"/>
      <c r="K22" s="4">
        <f>Tabela35[[#This Row],[Hr Chegada]]-Tabela35[[#This Row],[Hr Saida]]</f>
        <v>0</v>
      </c>
      <c r="L22" s="10"/>
      <c r="M22" s="9" t="e">
        <f>Tabela35[[#This Row],[Frete]]/Tabela35[[#This Row],[Valor Frete]]</f>
        <v>#DIV/0!</v>
      </c>
      <c r="N22" s="4"/>
      <c r="O22" s="4"/>
      <c r="P22" s="4"/>
      <c r="Q22" s="12">
        <f>Tabela35[[#This Row],[Qtde Entregas]]-Tabela35[[#This Row],[Entregas Realizadas]]</f>
        <v>0</v>
      </c>
      <c r="R22" s="13" t="e">
        <f>Tabela35[[#This Row],[Entregas Realizadas]]/Tabela35[[#This Row],[Qtde Entregas]]</f>
        <v>#DIV/0!</v>
      </c>
      <c r="S22" s="14" t="e">
        <f>IF(Tabela35[[#This Row],[% Entrega]]&gt;=96%,"Atendeu a Meta","Não Atendeu a Meta")</f>
        <v>#DIV/0!</v>
      </c>
      <c r="T22" s="4"/>
      <c r="U22" s="4"/>
      <c r="V22" s="5"/>
    </row>
    <row r="23" spans="1:22" x14ac:dyDescent="0.25">
      <c r="A23" s="8">
        <v>46296</v>
      </c>
      <c r="B23" s="8" t="s">
        <v>44</v>
      </c>
      <c r="C23" s="4"/>
      <c r="D23" s="4" t="s">
        <v>45</v>
      </c>
      <c r="E23" s="10">
        <v>9007.2099999999991</v>
      </c>
      <c r="F23" s="10">
        <v>179512.59</v>
      </c>
      <c r="G23" s="4">
        <v>2015</v>
      </c>
      <c r="H23" s="9">
        <f>Tabela35[[#This Row],[Valor Frete]]/Tabela35[[#This Row],[Valor Mercadoria]]</f>
        <v>5.0175923593994157E-2</v>
      </c>
      <c r="I23" s="4"/>
      <c r="J23" s="4"/>
      <c r="K23" s="4">
        <f>Tabela35[[#This Row],[Hr Chegada]]-Tabela35[[#This Row],[Hr Saida]]</f>
        <v>0</v>
      </c>
      <c r="L23" s="10">
        <v>500</v>
      </c>
      <c r="M23" s="9">
        <f>Tabela35[[#This Row],[Frete]]/Tabela35[[#This Row],[Valor Frete]]</f>
        <v>5.5511085008565365E-2</v>
      </c>
      <c r="N23" s="4"/>
      <c r="O23" s="4"/>
      <c r="P23" s="4"/>
      <c r="Q23" s="12">
        <f>Tabela35[[#This Row],[Qtde Entregas]]-Tabela35[[#This Row],[Entregas Realizadas]]</f>
        <v>0</v>
      </c>
      <c r="R23" s="13" t="e">
        <f>Tabela35[[#This Row],[Entregas Realizadas]]/Tabela35[[#This Row],[Qtde Entregas]]</f>
        <v>#DIV/0!</v>
      </c>
      <c r="S23" s="14" t="e">
        <f>IF(Tabela35[[#This Row],[% Entrega]]&gt;=96%,"Atendeu a Meta","Não Atendeu a Meta")</f>
        <v>#DIV/0!</v>
      </c>
      <c r="T23" s="4"/>
      <c r="U23" s="4"/>
      <c r="V23" s="5"/>
    </row>
    <row r="24" spans="1:22" x14ac:dyDescent="0.25">
      <c r="A24" s="8">
        <v>46301</v>
      </c>
      <c r="B24" s="8" t="s">
        <v>44</v>
      </c>
      <c r="C24" s="4"/>
      <c r="D24" s="4" t="s">
        <v>45</v>
      </c>
      <c r="E24" s="10">
        <v>6185.78</v>
      </c>
      <c r="F24" s="10">
        <v>89820.800000000003</v>
      </c>
      <c r="G24" s="4"/>
      <c r="H24" s="9">
        <f>Tabela35[[#This Row],[Valor Frete]]/Tabela35[[#This Row],[Valor Mercadoria]]</f>
        <v>6.8868012754284086E-2</v>
      </c>
      <c r="I24" s="4"/>
      <c r="J24" s="4"/>
      <c r="K24" s="4">
        <f>Tabela35[[#This Row],[Hr Chegada]]-Tabela35[[#This Row],[Hr Saida]]</f>
        <v>0</v>
      </c>
      <c r="L24" s="10">
        <v>500</v>
      </c>
      <c r="M24" s="9">
        <f>Tabela35[[#This Row],[Frete]]/Tabela35[[#This Row],[Valor Frete]]</f>
        <v>8.0830550068059323E-2</v>
      </c>
      <c r="N24" s="4"/>
      <c r="O24" s="4"/>
      <c r="P24" s="4"/>
      <c r="Q24" s="12">
        <f>Tabela35[[#This Row],[Qtde Entregas]]-Tabela35[[#This Row],[Entregas Realizadas]]</f>
        <v>0</v>
      </c>
      <c r="R24" s="13" t="e">
        <f>Tabela35[[#This Row],[Entregas Realizadas]]/Tabela35[[#This Row],[Qtde Entregas]]</f>
        <v>#DIV/0!</v>
      </c>
      <c r="S24" s="14" t="e">
        <f>IF(Tabela35[[#This Row],[% Entrega]]&gt;=96%,"Atendeu a Meta","Não Atendeu a Meta")</f>
        <v>#DIV/0!</v>
      </c>
      <c r="T24" s="4"/>
      <c r="U24" s="4"/>
      <c r="V24" s="5"/>
    </row>
    <row r="25" spans="1:22" x14ac:dyDescent="0.25">
      <c r="A25" s="8">
        <v>46302</v>
      </c>
      <c r="B25" s="8" t="s">
        <v>44</v>
      </c>
      <c r="C25" s="4"/>
      <c r="D25" s="4" t="s">
        <v>45</v>
      </c>
      <c r="E25" s="10">
        <v>8104.3</v>
      </c>
      <c r="F25" s="10">
        <v>95783.11</v>
      </c>
      <c r="G25" s="4"/>
      <c r="H25" s="9">
        <f>Tabela35[[#This Row],[Valor Frete]]/Tabela35[[#This Row],[Valor Mercadoria]]</f>
        <v>8.4610950719808536E-2</v>
      </c>
      <c r="I25" s="4"/>
      <c r="J25" s="4"/>
      <c r="K25" s="4">
        <f>Tabela35[[#This Row],[Hr Chegada]]-Tabela35[[#This Row],[Hr Saida]]</f>
        <v>0</v>
      </c>
      <c r="L25" s="10">
        <v>500</v>
      </c>
      <c r="M25" s="9">
        <f>Tabela35[[#This Row],[Frete]]/Tabela35[[#This Row],[Valor Frete]]</f>
        <v>6.1695643053687549E-2</v>
      </c>
      <c r="N25" s="4"/>
      <c r="O25" s="4">
        <v>16</v>
      </c>
      <c r="P25" s="4">
        <v>16</v>
      </c>
      <c r="Q25" s="12">
        <f>Tabela35[[#This Row],[Qtde Entregas]]-Tabela35[[#This Row],[Entregas Realizadas]]</f>
        <v>0</v>
      </c>
      <c r="R25" s="13">
        <f>Tabela35[[#This Row],[Entregas Realizadas]]/Tabela35[[#This Row],[Qtde Entregas]]</f>
        <v>1</v>
      </c>
      <c r="S25" s="14" t="str">
        <f>IF(Tabela35[[#This Row],[% Entrega]]&gt;=96%,"Atendeu a Meta","Não Atendeu a Meta")</f>
        <v>Atendeu a Meta</v>
      </c>
      <c r="T25" s="4" t="s">
        <v>39</v>
      </c>
      <c r="U25" s="4">
        <v>38</v>
      </c>
      <c r="V25" s="5"/>
    </row>
    <row r="26" spans="1:22" x14ac:dyDescent="0.25">
      <c r="A26" s="8">
        <v>46303</v>
      </c>
      <c r="B26" s="8" t="s">
        <v>44</v>
      </c>
      <c r="C26" s="4"/>
      <c r="D26" s="4" t="s">
        <v>45</v>
      </c>
      <c r="E26" s="10">
        <v>5994.53</v>
      </c>
      <c r="F26" s="10">
        <v>131439.71</v>
      </c>
      <c r="G26" s="4">
        <v>1808</v>
      </c>
      <c r="H26" s="9">
        <f>Tabela35[[#This Row],[Valor Frete]]/Tabela35[[#This Row],[Valor Mercadoria]]</f>
        <v>4.5606689180918002E-2</v>
      </c>
      <c r="I26" s="4"/>
      <c r="J26" s="4"/>
      <c r="K26" s="4">
        <f>Tabela35[[#This Row],[Hr Chegada]]-Tabela35[[#This Row],[Hr Saida]]</f>
        <v>0</v>
      </c>
      <c r="L26" s="10">
        <v>500</v>
      </c>
      <c r="M26" s="9">
        <f>Tabela35[[#This Row],[Frete]]/Tabela35[[#This Row],[Valor Frete]]</f>
        <v>8.340937488009903E-2</v>
      </c>
      <c r="N26" s="4">
        <v>359</v>
      </c>
      <c r="O26" s="4">
        <v>19</v>
      </c>
      <c r="P26" s="4">
        <v>19</v>
      </c>
      <c r="Q26" s="12">
        <f>Tabela35[[#This Row],[Qtde Entregas]]-Tabela35[[#This Row],[Entregas Realizadas]]</f>
        <v>0</v>
      </c>
      <c r="R26" s="13">
        <f>Tabela35[[#This Row],[Entregas Realizadas]]/Tabela35[[#This Row],[Qtde Entregas]]</f>
        <v>1</v>
      </c>
      <c r="S26" s="14" t="str">
        <f>IF(Tabela35[[#This Row],[% Entrega]]&gt;=96%,"Atendeu a Meta","Não Atendeu a Meta")</f>
        <v>Atendeu a Meta</v>
      </c>
      <c r="T26" s="4" t="s">
        <v>39</v>
      </c>
      <c r="U26" s="4">
        <v>0</v>
      </c>
      <c r="V26" s="5">
        <v>0</v>
      </c>
    </row>
    <row r="27" spans="1:22" x14ac:dyDescent="0.25">
      <c r="A27" s="8">
        <v>46308</v>
      </c>
      <c r="B27" s="8" t="s">
        <v>44</v>
      </c>
      <c r="C27" s="4"/>
      <c r="D27" s="4" t="s">
        <v>45</v>
      </c>
      <c r="E27" s="10">
        <v>8191.62</v>
      </c>
      <c r="F27" s="10">
        <v>144115.01</v>
      </c>
      <c r="G27" s="4">
        <v>1700</v>
      </c>
      <c r="H27" s="9">
        <f>Tabela35[[#This Row],[Valor Frete]]/Tabela35[[#This Row],[Valor Mercadoria]]</f>
        <v>5.6840852316493606E-2</v>
      </c>
      <c r="I27" s="4"/>
      <c r="J27" s="4"/>
      <c r="K27" s="4">
        <f>Tabela35[[#This Row],[Hr Chegada]]-Tabela35[[#This Row],[Hr Saida]]</f>
        <v>0</v>
      </c>
      <c r="L27" s="10">
        <v>500</v>
      </c>
      <c r="M27" s="9">
        <f>Tabela35[[#This Row],[Frete]]/Tabela35[[#This Row],[Valor Frete]]</f>
        <v>6.103798760196396E-2</v>
      </c>
      <c r="N27" s="4">
        <v>346</v>
      </c>
      <c r="O27" s="4">
        <v>16</v>
      </c>
      <c r="P27" s="4">
        <v>16</v>
      </c>
      <c r="Q27" s="12">
        <f>Tabela35[[#This Row],[Qtde Entregas]]-Tabela35[[#This Row],[Entregas Realizadas]]</f>
        <v>0</v>
      </c>
      <c r="R27" s="13">
        <f>Tabela35[[#This Row],[Entregas Realizadas]]/Tabela35[[#This Row],[Qtde Entregas]]</f>
        <v>1</v>
      </c>
      <c r="S27" s="14" t="str">
        <f>IF(Tabela35[[#This Row],[% Entrega]]&gt;=96%,"Atendeu a Meta","Não Atendeu a Meta")</f>
        <v>Atendeu a Meta</v>
      </c>
      <c r="T27" s="4"/>
      <c r="U27" s="4"/>
      <c r="V27" s="5"/>
    </row>
    <row r="28" spans="1:22" x14ac:dyDescent="0.25">
      <c r="A28" s="8">
        <v>46309</v>
      </c>
      <c r="B28" s="8" t="s">
        <v>44</v>
      </c>
      <c r="C28" s="4"/>
      <c r="D28" s="4" t="s">
        <v>45</v>
      </c>
      <c r="E28" s="10">
        <v>9402.9500000000007</v>
      </c>
      <c r="F28" s="10">
        <v>196694.44</v>
      </c>
      <c r="G28" s="4">
        <v>2046</v>
      </c>
      <c r="H28" s="9">
        <f>Tabela35[[#This Row],[Valor Frete]]/Tabela35[[#This Row],[Valor Mercadoria]]</f>
        <v>4.7804859151077177E-2</v>
      </c>
      <c r="I28" s="4"/>
      <c r="J28" s="4"/>
      <c r="K28" s="4">
        <f>Tabela35[[#This Row],[Hr Chegada]]-Tabela35[[#This Row],[Hr Saida]]</f>
        <v>0</v>
      </c>
      <c r="L28" s="10">
        <v>500</v>
      </c>
      <c r="M28" s="9">
        <f>Tabela35[[#This Row],[Frete]]/Tabela35[[#This Row],[Valor Frete]]</f>
        <v>5.31748015250533E-2</v>
      </c>
      <c r="N28" s="4">
        <v>432</v>
      </c>
      <c r="O28" s="4">
        <v>33</v>
      </c>
      <c r="P28" s="4">
        <v>32</v>
      </c>
      <c r="Q28" s="12">
        <f>Tabela35[[#This Row],[Qtde Entregas]]-Tabela35[[#This Row],[Entregas Realizadas]]</f>
        <v>1</v>
      </c>
      <c r="R28" s="13">
        <f>Tabela35[[#This Row],[Entregas Realizadas]]/Tabela35[[#This Row],[Qtde Entregas]]</f>
        <v>0.96969696969696972</v>
      </c>
      <c r="S28" s="14" t="str">
        <f>IF(Tabela35[[#This Row],[% Entrega]]&gt;=96%,"Atendeu a Meta","Não Atendeu a Meta")</f>
        <v>Atendeu a Meta</v>
      </c>
      <c r="T28" s="4" t="s">
        <v>39</v>
      </c>
      <c r="U28" s="4">
        <v>1</v>
      </c>
      <c r="V28" s="5">
        <v>13.38</v>
      </c>
    </row>
    <row r="29" spans="1:22" x14ac:dyDescent="0.25">
      <c r="A29" s="8">
        <v>46310</v>
      </c>
      <c r="B29" s="8" t="s">
        <v>44</v>
      </c>
      <c r="C29" s="4"/>
      <c r="D29" s="4" t="s">
        <v>45</v>
      </c>
      <c r="E29" s="10">
        <v>3879.95</v>
      </c>
      <c r="F29" s="10">
        <v>86853.79</v>
      </c>
      <c r="G29" s="4">
        <v>623</v>
      </c>
      <c r="H29" s="9">
        <f>Tabela35[[#This Row],[Valor Frete]]/Tabela35[[#This Row],[Valor Mercadoria]]</f>
        <v>4.4672201408827411E-2</v>
      </c>
      <c r="I29" s="4"/>
      <c r="J29" s="4"/>
      <c r="K29" s="4">
        <f>Tabela35[[#This Row],[Hr Chegada]]-Tabela35[[#This Row],[Hr Saida]]</f>
        <v>0</v>
      </c>
      <c r="L29" s="10">
        <v>500</v>
      </c>
      <c r="M29" s="9">
        <f>Tabela35[[#This Row],[Frete]]/Tabela35[[#This Row],[Valor Frete]]</f>
        <v>0.12886764004690782</v>
      </c>
      <c r="N29" s="4">
        <v>98</v>
      </c>
      <c r="O29" s="4">
        <v>22</v>
      </c>
      <c r="P29" s="4">
        <v>22</v>
      </c>
      <c r="Q29" s="12">
        <f>Tabela35[[#This Row],[Qtde Entregas]]-Tabela35[[#This Row],[Entregas Realizadas]]</f>
        <v>0</v>
      </c>
      <c r="R29" s="13">
        <f>Tabela35[[#This Row],[Entregas Realizadas]]/Tabela35[[#This Row],[Qtde Entregas]]</f>
        <v>1</v>
      </c>
      <c r="S29" s="14" t="str">
        <f>IF(Tabela35[[#This Row],[% Entrega]]&gt;=96%,"Atendeu a Meta","Não Atendeu a Meta")</f>
        <v>Atendeu a Meta</v>
      </c>
      <c r="T29" s="4" t="s">
        <v>39</v>
      </c>
      <c r="U29" s="4">
        <v>0</v>
      </c>
      <c r="V29" s="5">
        <v>0</v>
      </c>
    </row>
    <row r="30" spans="1:22" x14ac:dyDescent="0.25">
      <c r="A30" s="8">
        <v>46311</v>
      </c>
      <c r="B30" s="8" t="s">
        <v>44</v>
      </c>
      <c r="C30" s="4"/>
      <c r="D30" s="4" t="s">
        <v>45</v>
      </c>
      <c r="E30" s="10">
        <v>11165.89</v>
      </c>
      <c r="F30" s="10">
        <v>183889.61</v>
      </c>
      <c r="G30" s="4">
        <v>2241</v>
      </c>
      <c r="H30" s="9">
        <f>Tabela35[[#This Row],[Valor Frete]]/Tabela35[[#This Row],[Valor Mercadoria]]</f>
        <v>6.0720613850885868E-2</v>
      </c>
      <c r="I30" s="4"/>
      <c r="J30" s="4"/>
      <c r="K30" s="4">
        <f>Tabela35[[#This Row],[Hr Chegada]]-Tabela35[[#This Row],[Hr Saida]]</f>
        <v>0</v>
      </c>
      <c r="L30" s="10">
        <v>500</v>
      </c>
      <c r="M30" s="9">
        <f>Tabela35[[#This Row],[Frete]]/Tabela35[[#This Row],[Valor Frete]]</f>
        <v>4.4779233898954766E-2</v>
      </c>
      <c r="N30" s="4">
        <v>208</v>
      </c>
      <c r="O30" s="4">
        <v>16</v>
      </c>
      <c r="P30" s="4">
        <v>16</v>
      </c>
      <c r="Q30" s="12">
        <f>Tabela35[[#This Row],[Qtde Entregas]]-Tabela35[[#This Row],[Entregas Realizadas]]</f>
        <v>0</v>
      </c>
      <c r="R30" s="13">
        <f>Tabela35[[#This Row],[Entregas Realizadas]]/Tabela35[[#This Row],[Qtde Entregas]]</f>
        <v>1</v>
      </c>
      <c r="S30" s="14" t="str">
        <f>IF(Tabela35[[#This Row],[% Entrega]]&gt;=96%,"Atendeu a Meta","Não Atendeu a Meta")</f>
        <v>Atendeu a Meta</v>
      </c>
      <c r="T30" s="4" t="s">
        <v>43</v>
      </c>
      <c r="U30" s="4">
        <v>0</v>
      </c>
      <c r="V30" s="5">
        <v>0</v>
      </c>
    </row>
    <row r="31" spans="1:22" x14ac:dyDescent="0.25">
      <c r="A31" s="8">
        <v>46314</v>
      </c>
      <c r="B31" s="8" t="s">
        <v>44</v>
      </c>
      <c r="C31" s="4"/>
      <c r="D31" s="4" t="s">
        <v>45</v>
      </c>
      <c r="E31" s="10">
        <v>4218.16</v>
      </c>
      <c r="F31" s="10">
        <v>91137.94</v>
      </c>
      <c r="G31" s="4">
        <v>790</v>
      </c>
      <c r="H31" s="9">
        <f>Tabela35[[#This Row],[Valor Frete]]/Tabela35[[#This Row],[Valor Mercadoria]]</f>
        <v>4.6283249325143841E-2</v>
      </c>
      <c r="I31" s="4"/>
      <c r="J31" s="4"/>
      <c r="K31" s="4">
        <f>Tabela35[[#This Row],[Hr Chegada]]-Tabela35[[#This Row],[Hr Saida]]</f>
        <v>0</v>
      </c>
      <c r="L31" s="10">
        <v>500</v>
      </c>
      <c r="M31" s="9">
        <f>Tabela35[[#This Row],[Frete]]/Tabela35[[#This Row],[Valor Frete]]</f>
        <v>0.11853509587118555</v>
      </c>
      <c r="N31" s="4">
        <v>97</v>
      </c>
      <c r="O31" s="4">
        <v>13</v>
      </c>
      <c r="P31" s="4">
        <v>13</v>
      </c>
      <c r="Q31" s="12">
        <f>Tabela35[[#This Row],[Qtde Entregas]]-Tabela35[[#This Row],[Entregas Realizadas]]</f>
        <v>0</v>
      </c>
      <c r="R31" s="13">
        <f>Tabela35[[#This Row],[Entregas Realizadas]]/Tabela35[[#This Row],[Qtde Entregas]]</f>
        <v>1</v>
      </c>
      <c r="S31" s="14" t="str">
        <f>IF(Tabela35[[#This Row],[% Entrega]]&gt;=96%,"Atendeu a Meta","Não Atendeu a Meta")</f>
        <v>Atendeu a Meta</v>
      </c>
      <c r="T31" s="4" t="s">
        <v>39</v>
      </c>
      <c r="U31" s="4">
        <v>0</v>
      </c>
      <c r="V31" s="5">
        <v>38.380000000000003</v>
      </c>
    </row>
    <row r="32" spans="1:22" x14ac:dyDescent="0.25">
      <c r="A32" s="8">
        <v>46315</v>
      </c>
      <c r="B32" s="8" t="s">
        <v>44</v>
      </c>
      <c r="C32" s="4"/>
      <c r="D32" s="4" t="s">
        <v>45</v>
      </c>
      <c r="E32" s="10">
        <v>13436.17</v>
      </c>
      <c r="F32" s="10">
        <v>222024.45</v>
      </c>
      <c r="G32" s="4">
        <v>1806</v>
      </c>
      <c r="H32" s="9">
        <f>Tabela35[[#This Row],[Valor Frete]]/Tabela35[[#This Row],[Valor Mercadoria]]</f>
        <v>6.0516623281805224E-2</v>
      </c>
      <c r="I32" s="4"/>
      <c r="J32" s="4"/>
      <c r="K32" s="4">
        <f>Tabela35[[#This Row],[Hr Chegada]]-Tabela35[[#This Row],[Hr Saida]]</f>
        <v>0</v>
      </c>
      <c r="L32" s="10">
        <v>500</v>
      </c>
      <c r="M32" s="9">
        <f>Tabela35[[#This Row],[Frete]]/Tabela35[[#This Row],[Valor Frete]]</f>
        <v>3.7212985545732151E-2</v>
      </c>
      <c r="N32" s="4">
        <v>323</v>
      </c>
      <c r="O32" s="4">
        <v>54</v>
      </c>
      <c r="P32" s="4">
        <v>46</v>
      </c>
      <c r="Q32" s="12">
        <f>Tabela35[[#This Row],[Qtde Entregas]]-Tabela35[[#This Row],[Entregas Realizadas]]</f>
        <v>8</v>
      </c>
      <c r="R32" s="13">
        <f>Tabela35[[#This Row],[Entregas Realizadas]]/Tabela35[[#This Row],[Qtde Entregas]]</f>
        <v>0.85185185185185186</v>
      </c>
      <c r="S32" s="14" t="str">
        <f>IF(Tabela35[[#This Row],[% Entrega]]&gt;=96%,"Atendeu a Meta","Não Atendeu a Meta")</f>
        <v>Não Atendeu a Meta</v>
      </c>
      <c r="T32" s="4" t="s">
        <v>39</v>
      </c>
      <c r="U32" s="4">
        <v>8</v>
      </c>
      <c r="V32" s="5" t="s">
        <v>73</v>
      </c>
    </row>
    <row r="33" spans="1:22" x14ac:dyDescent="0.25">
      <c r="A33" s="8">
        <v>46315</v>
      </c>
      <c r="B33" s="8" t="s">
        <v>64</v>
      </c>
      <c r="C33" s="4"/>
      <c r="D33" s="4" t="s">
        <v>65</v>
      </c>
      <c r="E33" s="10">
        <v>8690.0400000000009</v>
      </c>
      <c r="F33" s="10">
        <v>162493.32999999999</v>
      </c>
      <c r="G33" s="4">
        <v>2340</v>
      </c>
      <c r="H33" s="9">
        <f>Tabela35[[#This Row],[Valor Frete]]/Tabela35[[#This Row],[Valor Mercadoria]]</f>
        <v>5.3479364352986065E-2</v>
      </c>
      <c r="I33" s="4"/>
      <c r="J33" s="4"/>
      <c r="K33" s="4">
        <f>Tabela35[[#This Row],[Hr Chegada]]-Tabela35[[#This Row],[Hr Saida]]</f>
        <v>0</v>
      </c>
      <c r="L33" s="10">
        <v>500</v>
      </c>
      <c r="M33" s="9">
        <f>Tabela35[[#This Row],[Frete]]/Tabela35[[#This Row],[Valor Frete]]</f>
        <v>5.7537134466584726E-2</v>
      </c>
      <c r="N33" s="4">
        <v>621</v>
      </c>
      <c r="O33" s="4">
        <v>1</v>
      </c>
      <c r="P33" s="4">
        <v>1</v>
      </c>
      <c r="Q33" s="12">
        <f>Tabela35[[#This Row],[Qtde Entregas]]-Tabela35[[#This Row],[Entregas Realizadas]]</f>
        <v>0</v>
      </c>
      <c r="R33" s="13">
        <f>Tabela35[[#This Row],[Entregas Realizadas]]/Tabela35[[#This Row],[Qtde Entregas]]</f>
        <v>1</v>
      </c>
      <c r="S33" s="14" t="str">
        <f>IF(Tabela35[[#This Row],[% Entrega]]&gt;=96%,"Atendeu a Meta","Não Atendeu a Meta")</f>
        <v>Atendeu a Meta</v>
      </c>
      <c r="T33" s="4" t="s">
        <v>39</v>
      </c>
      <c r="U33" s="4">
        <v>0</v>
      </c>
      <c r="V33" s="5">
        <v>0</v>
      </c>
    </row>
    <row r="34" spans="1:22" x14ac:dyDescent="0.25">
      <c r="A34" s="8">
        <v>46316</v>
      </c>
      <c r="B34" s="8" t="s">
        <v>44</v>
      </c>
      <c r="C34" s="4"/>
      <c r="D34" s="4" t="s">
        <v>45</v>
      </c>
      <c r="E34" s="10">
        <v>13271.97</v>
      </c>
      <c r="F34" s="10">
        <v>305083.5</v>
      </c>
      <c r="G34" s="4">
        <v>1771</v>
      </c>
      <c r="H34" s="9">
        <f>Tabela35[[#This Row],[Valor Frete]]/Tabela35[[#This Row],[Valor Mercadoria]]</f>
        <v>4.3502745969546043E-2</v>
      </c>
      <c r="I34" s="4"/>
      <c r="J34" s="4"/>
      <c r="K34" s="4">
        <f>Tabela35[[#This Row],[Hr Chegada]]-Tabela35[[#This Row],[Hr Saida]]</f>
        <v>0</v>
      </c>
      <c r="L34" s="10">
        <v>500</v>
      </c>
      <c r="M34" s="9">
        <f>Tabela35[[#This Row],[Frete]]/Tabela35[[#This Row],[Valor Frete]]</f>
        <v>3.7673382323799708E-2</v>
      </c>
      <c r="N34" s="4">
        <v>145</v>
      </c>
      <c r="O34" s="4">
        <v>37</v>
      </c>
      <c r="P34" s="4">
        <v>37</v>
      </c>
      <c r="Q34" s="12">
        <f>Tabela35[[#This Row],[Qtde Entregas]]-Tabela35[[#This Row],[Entregas Realizadas]]</f>
        <v>0</v>
      </c>
      <c r="R34" s="13">
        <f>Tabela35[[#This Row],[Entregas Realizadas]]/Tabela35[[#This Row],[Qtde Entregas]]</f>
        <v>1</v>
      </c>
      <c r="S34" s="14" t="str">
        <f>IF(Tabela35[[#This Row],[% Entrega]]&gt;=96%,"Atendeu a Meta","Não Atendeu a Meta")</f>
        <v>Atendeu a Meta</v>
      </c>
      <c r="T34" s="4" t="s">
        <v>62</v>
      </c>
      <c r="U34" s="4">
        <v>0</v>
      </c>
      <c r="V34" s="5">
        <v>0</v>
      </c>
    </row>
    <row r="35" spans="1:22" x14ac:dyDescent="0.25">
      <c r="A35" s="8">
        <v>46317</v>
      </c>
      <c r="B35" s="8" t="s">
        <v>44</v>
      </c>
      <c r="C35" s="4"/>
      <c r="D35" s="4" t="s">
        <v>45</v>
      </c>
      <c r="E35" s="10">
        <v>9644.82</v>
      </c>
      <c r="F35" s="10">
        <v>176414.07999999999</v>
      </c>
      <c r="G35" s="4">
        <v>1828</v>
      </c>
      <c r="H35" s="9">
        <f>Tabela35[[#This Row],[Valor Frete]]/Tabela35[[#This Row],[Valor Mercadoria]]</f>
        <v>5.4671486538942923E-2</v>
      </c>
      <c r="I35" s="4"/>
      <c r="J35" s="4"/>
      <c r="K35" s="4">
        <f>Tabela35[[#This Row],[Hr Chegada]]-Tabela35[[#This Row],[Hr Saida]]</f>
        <v>0</v>
      </c>
      <c r="L35" s="10">
        <v>500</v>
      </c>
      <c r="M35" s="9">
        <f>Tabela35[[#This Row],[Frete]]/Tabela35[[#This Row],[Valor Frete]]</f>
        <v>5.1841299267378758E-2</v>
      </c>
      <c r="N35" s="4">
        <v>225</v>
      </c>
      <c r="O35" s="4">
        <v>22</v>
      </c>
      <c r="P35" s="4">
        <v>22</v>
      </c>
      <c r="Q35" s="12">
        <f>Tabela35[[#This Row],[Qtde Entregas]]-Tabela35[[#This Row],[Entregas Realizadas]]</f>
        <v>0</v>
      </c>
      <c r="R35" s="13">
        <f>Tabela35[[#This Row],[Entregas Realizadas]]/Tabela35[[#This Row],[Qtde Entregas]]</f>
        <v>1</v>
      </c>
      <c r="S35" s="14" t="str">
        <f>IF(Tabela35[[#This Row],[% Entrega]]&gt;=96%,"Atendeu a Meta","Não Atendeu a Meta")</f>
        <v>Atendeu a Meta</v>
      </c>
      <c r="T35" s="4" t="s">
        <v>39</v>
      </c>
      <c r="U35" s="4">
        <v>0</v>
      </c>
      <c r="V35" s="5">
        <v>38</v>
      </c>
    </row>
    <row r="36" spans="1:22" x14ac:dyDescent="0.25">
      <c r="A36" s="8">
        <v>46318</v>
      </c>
      <c r="B36" s="8" t="s">
        <v>44</v>
      </c>
      <c r="C36" s="4"/>
      <c r="D36" s="4" t="s">
        <v>45</v>
      </c>
      <c r="E36" s="10">
        <v>7868.6</v>
      </c>
      <c r="F36" s="10">
        <v>115708.02</v>
      </c>
      <c r="G36" s="4">
        <v>928</v>
      </c>
      <c r="H36" s="9">
        <f>Tabela35[[#This Row],[Valor Frete]]/Tabela35[[#This Row],[Valor Mercadoria]]</f>
        <v>6.8003929200413246E-2</v>
      </c>
      <c r="I36" s="4"/>
      <c r="J36" s="4"/>
      <c r="K36" s="4">
        <f>Tabela35[[#This Row],[Hr Chegada]]-Tabela35[[#This Row],[Hr Saida]]</f>
        <v>0</v>
      </c>
      <c r="L36" s="10">
        <v>500</v>
      </c>
      <c r="M36" s="9">
        <f>Tabela35[[#This Row],[Frete]]/Tabela35[[#This Row],[Valor Frete]]</f>
        <v>6.3543705360546987E-2</v>
      </c>
      <c r="N36" s="4">
        <v>203</v>
      </c>
      <c r="O36" s="4">
        <v>19</v>
      </c>
      <c r="P36" s="4">
        <v>18</v>
      </c>
      <c r="Q36" s="12">
        <f>Tabela35[[#This Row],[Qtde Entregas]]-Tabela35[[#This Row],[Entregas Realizadas]]</f>
        <v>1</v>
      </c>
      <c r="R36" s="13">
        <f>Tabela35[[#This Row],[Entregas Realizadas]]/Tabela35[[#This Row],[Qtde Entregas]]</f>
        <v>0.94736842105263153</v>
      </c>
      <c r="S36" s="14" t="str">
        <f>IF(Tabela35[[#This Row],[% Entrega]]&gt;=96%,"Atendeu a Meta","Não Atendeu a Meta")</f>
        <v>Não Atendeu a Meta</v>
      </c>
      <c r="T36" s="4" t="s">
        <v>43</v>
      </c>
      <c r="U36" s="4">
        <v>1</v>
      </c>
      <c r="V36" s="5">
        <v>10</v>
      </c>
    </row>
    <row r="37" spans="1:22" x14ac:dyDescent="0.25">
      <c r="A37" s="8">
        <v>46322</v>
      </c>
      <c r="B37" s="8" t="s">
        <v>44</v>
      </c>
      <c r="C37" s="4"/>
      <c r="D37" s="4" t="s">
        <v>45</v>
      </c>
      <c r="E37" s="27">
        <v>7938.89</v>
      </c>
      <c r="F37" s="27">
        <v>115788.23</v>
      </c>
      <c r="G37" s="4">
        <v>1257</v>
      </c>
      <c r="H37" s="9">
        <f>Tabela35[[#This Row],[Valor Frete]]/Tabela35[[#This Row],[Valor Mercadoria]]</f>
        <v>6.8563877347464428E-2</v>
      </c>
      <c r="I37" s="4"/>
      <c r="J37" s="4"/>
      <c r="K37" s="4">
        <f>Tabela35[[#This Row],[Hr Chegada]]-Tabela35[[#This Row],[Hr Saida]]</f>
        <v>0</v>
      </c>
      <c r="L37" s="10">
        <v>500</v>
      </c>
      <c r="M37" s="9">
        <f>Tabela35[[#This Row],[Frete]]/Tabela35[[#This Row],[Valor Frete]]</f>
        <v>6.2981096853590365E-2</v>
      </c>
      <c r="N37" s="4">
        <v>194</v>
      </c>
      <c r="O37" s="4">
        <v>18</v>
      </c>
      <c r="P37" s="4">
        <v>18</v>
      </c>
      <c r="Q37" s="12">
        <f>Tabela35[[#This Row],[Qtde Entregas]]-Tabela35[[#This Row],[Entregas Realizadas]]</f>
        <v>0</v>
      </c>
      <c r="R37" s="13">
        <f>Tabela35[[#This Row],[Entregas Realizadas]]/Tabela35[[#This Row],[Qtde Entregas]]</f>
        <v>1</v>
      </c>
      <c r="S37" s="14" t="str">
        <f>IF(Tabela35[[#This Row],[% Entrega]]&gt;=96%,"Atendeu a Meta","Não Atendeu a Meta")</f>
        <v>Atendeu a Meta</v>
      </c>
      <c r="T37" s="4" t="s">
        <v>39</v>
      </c>
      <c r="U37" s="4">
        <v>1</v>
      </c>
      <c r="V37" s="5">
        <v>42</v>
      </c>
    </row>
    <row r="38" spans="1:22" x14ac:dyDescent="0.25">
      <c r="A38" s="8">
        <v>46322</v>
      </c>
      <c r="B38" s="8" t="s">
        <v>64</v>
      </c>
      <c r="C38" s="4"/>
      <c r="D38" s="4" t="s">
        <v>65</v>
      </c>
      <c r="E38" s="27">
        <v>12483.12</v>
      </c>
      <c r="F38" s="27">
        <v>193194.5</v>
      </c>
      <c r="G38" s="4">
        <v>1752</v>
      </c>
      <c r="H38" s="9">
        <f>Tabela35[[#This Row],[Valor Frete]]/Tabela35[[#This Row],[Valor Mercadoria]]</f>
        <v>6.4614261793166997E-2</v>
      </c>
      <c r="I38" s="4"/>
      <c r="J38" s="4"/>
      <c r="K38" s="4">
        <f>Tabela35[[#This Row],[Hr Chegada]]-Tabela35[[#This Row],[Hr Saida]]</f>
        <v>0</v>
      </c>
      <c r="L38" s="10">
        <v>500</v>
      </c>
      <c r="M38" s="9">
        <f>Tabela35[[#This Row],[Frete]]/Tabela35[[#This Row],[Valor Frete]]</f>
        <v>4.00540890418421E-2</v>
      </c>
      <c r="N38" s="4">
        <v>964</v>
      </c>
      <c r="O38" s="4">
        <v>6</v>
      </c>
      <c r="P38" s="4">
        <v>6</v>
      </c>
      <c r="Q38" s="12">
        <f>Tabela35[[#This Row],[Qtde Entregas]]-Tabela35[[#This Row],[Entregas Realizadas]]</f>
        <v>0</v>
      </c>
      <c r="R38" s="13">
        <f>Tabela35[[#This Row],[Entregas Realizadas]]/Tabela35[[#This Row],[Qtde Entregas]]</f>
        <v>1</v>
      </c>
      <c r="S38" s="14" t="str">
        <f>IF(Tabela35[[#This Row],[% Entrega]]&gt;=96%,"Atendeu a Meta","Não Atendeu a Meta")</f>
        <v>Atendeu a Meta</v>
      </c>
      <c r="T38" s="4" t="s">
        <v>39</v>
      </c>
      <c r="U38" s="4">
        <v>0</v>
      </c>
      <c r="V38" s="5">
        <v>0</v>
      </c>
    </row>
  </sheetData>
  <conditionalFormatting sqref="H2:H38">
    <cfRule type="cellIs" dxfId="87" priority="1" operator="lessThan">
      <formula>0.05</formula>
    </cfRule>
    <cfRule type="cellIs" dxfId="86" priority="2" operator="greaterThanOrEqual">
      <formula>0.05</formula>
    </cfRule>
  </conditionalFormatting>
  <conditionalFormatting sqref="R2:R38">
    <cfRule type="cellIs" dxfId="85" priority="7" stopIfTrue="1" operator="lessThanOrEqual">
      <formula>0.949</formula>
    </cfRule>
    <cfRule type="cellIs" dxfId="84" priority="8" stopIfTrue="1" operator="greaterThanOrEqual">
      <formula>0.9</formula>
    </cfRule>
    <cfRule type="cellIs" dxfId="83" priority="9" stopIfTrue="1" operator="greaterThanOrEqual">
      <formula>90</formula>
    </cfRule>
    <cfRule type="cellIs" dxfId="82" priority="10" stopIfTrue="1" operator="lessThan">
      <formula>0</formula>
    </cfRule>
    <cfRule type="cellIs" dxfId="81" priority="11" stopIfTrue="1" operator="lessThan">
      <formula>1</formula>
    </cfRule>
    <cfRule type="cellIs" dxfId="80" priority="12" stopIfTrue="1" operator="greaterThan">
      <formula>100</formula>
    </cfRule>
    <cfRule type="cellIs" dxfId="79" priority="13" stopIfTrue="1" operator="greaterThan">
      <formula>1</formula>
    </cfRule>
  </conditionalFormatting>
  <conditionalFormatting sqref="S2:S38">
    <cfRule type="expression" dxfId="78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77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648"/>
  <sheetViews>
    <sheetView showGridLines="0" workbookViewId="0">
      <pane xSplit="10" ySplit="1" topLeftCell="W621" activePane="bottomRight" state="frozen"/>
      <selection pane="topRight" activeCell="I1" sqref="I1"/>
      <selection pane="bottomLeft" activeCell="A2" sqref="A2"/>
      <selection pane="bottomRight" activeCell="Y648" sqref="Y648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72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58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59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60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68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68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62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Juscelino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Juscelino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62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/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63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67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68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67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66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62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Juscelino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69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70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Juscelino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Juscelino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Juscelino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71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Juscelino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/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Juscelino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62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63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63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Juscelino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73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Juscelino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62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74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75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76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Juscelino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Juscelino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/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Juscelino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78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Juscelino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Juscelino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79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Juscelino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Juscelino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68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Juscelino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16">
        <f>YEAR(Tabela32[[#This Row],[Data]])</f>
        <v>2026</v>
      </c>
      <c r="C333" s="1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16">
        <f>YEAR(Tabela32[[#This Row],[Data]])</f>
        <v>2026</v>
      </c>
      <c r="C334" s="1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Juscelino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16">
        <f>YEAR(Tabela32[[#This Row],[Data]])</f>
        <v>2026</v>
      </c>
      <c r="C335" s="1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16">
        <f>YEAR(Tabela32[[#This Row],[Data]])</f>
        <v>2026</v>
      </c>
      <c r="C336" s="1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/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16">
        <f>YEAR(Tabela32[[#This Row],[Data]])</f>
        <v>2026</v>
      </c>
      <c r="C337" s="1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16">
        <f>YEAR(Tabela32[[#This Row],[Data]])</f>
        <v>2026</v>
      </c>
      <c r="C338" s="1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16">
        <f>YEAR(Tabela32[[#This Row],[Data]])</f>
        <v>2026</v>
      </c>
      <c r="C339" s="1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81</v>
      </c>
    </row>
    <row r="340" spans="1:25" x14ac:dyDescent="0.25">
      <c r="A340" s="8">
        <v>46282</v>
      </c>
      <c r="B340" s="16">
        <f>YEAR(Tabela32[[#This Row],[Data]])</f>
        <v>2026</v>
      </c>
      <c r="C340" s="1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16">
        <f>YEAR(Tabela32[[#This Row],[Data]])</f>
        <v>2026</v>
      </c>
      <c r="C341" s="1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16">
        <f>YEAR(Tabela32[[#This Row],[Data]])</f>
        <v>2026</v>
      </c>
      <c r="C342" s="1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16">
        <f>YEAR(Tabela32[[#This Row],[Data]])</f>
        <v>2026</v>
      </c>
      <c r="C343" s="1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  <row r="344" spans="1:25" x14ac:dyDescent="0.25">
      <c r="A344" s="8">
        <v>46283</v>
      </c>
      <c r="B344" s="16">
        <f>YEAR(Tabela32[[#This Row],[Data]])</f>
        <v>2026</v>
      </c>
      <c r="C344" s="16">
        <f>MONTH(Tabela32[[#This Row],[Data]])</f>
        <v>9</v>
      </c>
      <c r="D344" s="4" t="s">
        <v>37</v>
      </c>
      <c r="E344" s="4">
        <v>4</v>
      </c>
      <c r="F344" s="4" t="str">
        <f>IFERROR(VLOOKUP(Tabela32[[#This Row],[Placa]],Planilha2!$A$1:$B$12,2,0),"")</f>
        <v/>
      </c>
      <c r="G344" s="10">
        <v>127.39</v>
      </c>
      <c r="H344" s="10">
        <v>3141.84</v>
      </c>
      <c r="I344" s="4">
        <v>95</v>
      </c>
      <c r="J344" s="17">
        <f>IFERROR(Tabela32[[#This Row],[Valor Frete]]/Tabela32[[#This Row],[Valor Mercadoria]],"")</f>
        <v>4.0546304076592057E-2</v>
      </c>
      <c r="K344" s="11">
        <v>0.58333333333333337</v>
      </c>
      <c r="L344" s="15">
        <v>0.75</v>
      </c>
      <c r="M344" s="15">
        <f>Tabela32[[#This Row],[Hr Chegada]]-Tabela32[[#This Row],[Hr Saida]]</f>
        <v>0.16666666666666663</v>
      </c>
      <c r="N344" s="4">
        <v>12334</v>
      </c>
      <c r="O344" s="4">
        <v>12372</v>
      </c>
      <c r="P344" s="4">
        <f>Tabela32[[#This Row],[Km Chegada]]-Tabela32[[#This Row],[Km Saída]]</f>
        <v>38</v>
      </c>
      <c r="Q344" s="4">
        <v>23</v>
      </c>
      <c r="R344" s="4">
        <v>1</v>
      </c>
      <c r="S344" s="4">
        <v>1</v>
      </c>
      <c r="T344" s="12">
        <f>Tabela32[[#This Row],[Entregas]]-Tabela32[[#This Row],[Realizadas]]</f>
        <v>0</v>
      </c>
      <c r="U344" s="18">
        <f>Tabela32[[#This Row],[Realizadas]]/Tabela32[[#This Row],[Entregas]]</f>
        <v>1</v>
      </c>
      <c r="V344" s="19" t="str">
        <f>IF(Tabela32[[#This Row],[% Entrega]]&gt;=96%,"Atendeu a Meta","Não Atendeu a Meta")</f>
        <v>Atendeu a Meta</v>
      </c>
      <c r="W344" s="4" t="s">
        <v>39</v>
      </c>
      <c r="X344" s="4">
        <v>0</v>
      </c>
      <c r="Y344" s="5">
        <v>18</v>
      </c>
    </row>
    <row r="345" spans="1:25" x14ac:dyDescent="0.25">
      <c r="A345" s="8">
        <v>46283</v>
      </c>
      <c r="B345" s="16">
        <f>YEAR(Tabela32[[#This Row],[Data]])</f>
        <v>2026</v>
      </c>
      <c r="C345" s="16">
        <f>MONTH(Tabela32[[#This Row],[Data]])</f>
        <v>9</v>
      </c>
      <c r="D345" s="4" t="s">
        <v>33</v>
      </c>
      <c r="E345" s="4">
        <v>1</v>
      </c>
      <c r="F345" s="4" t="str">
        <f>IFERROR(VLOOKUP(Tabela32[[#This Row],[Placa]],Planilha2!$A$1:$B$12,2,0),"")</f>
        <v>Paulo</v>
      </c>
      <c r="G345" s="10">
        <v>1727.4</v>
      </c>
      <c r="H345" s="10">
        <v>8066.11</v>
      </c>
      <c r="I345" s="4">
        <v>99</v>
      </c>
      <c r="J345" s="17">
        <f>IFERROR(Tabela32[[#This Row],[Valor Frete]]/Tabela32[[#This Row],[Valor Mercadoria]],"")</f>
        <v>0.21415527435157716</v>
      </c>
      <c r="K345" s="11">
        <v>0.29166666666666669</v>
      </c>
      <c r="L345" s="15">
        <v>0.63541666666666663</v>
      </c>
      <c r="M345" s="15">
        <f>Tabela32[[#This Row],[Hr Chegada]]-Tabela32[[#This Row],[Hr Saida]]</f>
        <v>0.34374999999999994</v>
      </c>
      <c r="N345" s="4">
        <v>155669</v>
      </c>
      <c r="O345" s="4">
        <v>155756</v>
      </c>
      <c r="P345" s="4">
        <f>Tabela32[[#This Row],[Km Chegada]]-Tabela32[[#This Row],[Km Saída]]</f>
        <v>87</v>
      </c>
      <c r="Q345" s="4">
        <v>94</v>
      </c>
      <c r="R345" s="4">
        <v>1</v>
      </c>
      <c r="S345" s="4">
        <v>1</v>
      </c>
      <c r="T345" s="12">
        <f>Tabela32[[#This Row],[Entregas]]-Tabela32[[#This Row],[Realizadas]]</f>
        <v>0</v>
      </c>
      <c r="U345" s="18">
        <f>Tabela32[[#This Row],[Realizadas]]/Tabela32[[#This Row],[Entregas]]</f>
        <v>1</v>
      </c>
      <c r="V345" s="19" t="str">
        <f>IF(Tabela32[[#This Row],[% Entrega]]&gt;=96%,"Atendeu a Meta","Não Atendeu a Meta")</f>
        <v>Atendeu a Meta</v>
      </c>
      <c r="W345" s="4" t="s">
        <v>63</v>
      </c>
      <c r="X345" s="4">
        <v>0</v>
      </c>
      <c r="Y345" s="5">
        <v>0</v>
      </c>
    </row>
    <row r="346" spans="1:25" x14ac:dyDescent="0.25">
      <c r="A346" s="8">
        <v>46283</v>
      </c>
      <c r="B346" s="16">
        <f>YEAR(Tabela32[[#This Row],[Data]])</f>
        <v>2026</v>
      </c>
      <c r="C346" s="16">
        <f>MONTH(Tabela32[[#This Row],[Data]])</f>
        <v>9</v>
      </c>
      <c r="D346" s="4" t="s">
        <v>28</v>
      </c>
      <c r="E346" s="4">
        <v>11</v>
      </c>
      <c r="F346" s="4" t="str">
        <f>IFERROR(VLOOKUP(Tabela32[[#This Row],[Placa]],Planilha2!$A$1:$B$12,2,0),"")</f>
        <v>Edilson</v>
      </c>
      <c r="G346" s="10">
        <v>13968.57</v>
      </c>
      <c r="H346" s="10">
        <v>268279.21999999997</v>
      </c>
      <c r="I346" s="4">
        <v>2757</v>
      </c>
      <c r="J346" s="17">
        <f>IFERROR(Tabela32[[#This Row],[Valor Frete]]/Tabela32[[#This Row],[Valor Mercadoria]],"")</f>
        <v>5.2067282736247708E-2</v>
      </c>
      <c r="K346" s="11">
        <v>0.27083333333333331</v>
      </c>
      <c r="L346" s="15">
        <v>0.77777777777777779</v>
      </c>
      <c r="M346" s="15">
        <f>Tabela32[[#This Row],[Hr Chegada]]-Tabela32[[#This Row],[Hr Saida]]</f>
        <v>0.50694444444444442</v>
      </c>
      <c r="N346" s="4">
        <v>105750</v>
      </c>
      <c r="O346" s="4">
        <v>105897</v>
      </c>
      <c r="P346" s="4">
        <f>Tabela32[[#This Row],[Km Chegada]]-Tabela32[[#This Row],[Km Saída]]</f>
        <v>147</v>
      </c>
      <c r="Q346" s="4">
        <v>317</v>
      </c>
      <c r="R346" s="4">
        <v>32</v>
      </c>
      <c r="S346" s="4">
        <v>32</v>
      </c>
      <c r="T346" s="12">
        <f>Tabela32[[#This Row],[Entregas]]-Tabela32[[#This Row],[Realizadas]]</f>
        <v>0</v>
      </c>
      <c r="U346" s="18">
        <f>Tabela32[[#This Row],[Realizadas]]/Tabela32[[#This Row],[Entregas]]</f>
        <v>1</v>
      </c>
      <c r="V346" s="19" t="str">
        <f>IF(Tabela32[[#This Row],[% Entrega]]&gt;=96%,"Atendeu a Meta","Não Atendeu a Meta")</f>
        <v>Atendeu a Meta</v>
      </c>
      <c r="W346" s="4" t="s">
        <v>41</v>
      </c>
      <c r="X346" s="4">
        <v>0</v>
      </c>
      <c r="Y346" s="5">
        <v>0</v>
      </c>
    </row>
    <row r="347" spans="1:25" x14ac:dyDescent="0.25">
      <c r="A347" s="8">
        <v>46283</v>
      </c>
      <c r="B347" s="16">
        <f>YEAR(Tabela32[[#This Row],[Data]])</f>
        <v>2026</v>
      </c>
      <c r="C347" s="16">
        <f>MONTH(Tabela32[[#This Row],[Data]])</f>
        <v>9</v>
      </c>
      <c r="D347" s="4" t="s">
        <v>29</v>
      </c>
      <c r="E347" s="4">
        <v>1</v>
      </c>
      <c r="F347" s="4" t="str">
        <f>IFERROR(VLOOKUP(Tabela32[[#This Row],[Placa]],Planilha2!$A$1:$B$12,2,0),"")</f>
        <v>Sandro</v>
      </c>
      <c r="G347" s="10">
        <v>752.68</v>
      </c>
      <c r="H347" s="10">
        <v>12536.17</v>
      </c>
      <c r="I347" s="4">
        <v>62</v>
      </c>
      <c r="J347" s="17">
        <f>IFERROR(Tabela32[[#This Row],[Valor Frete]]/Tabela32[[#This Row],[Valor Mercadoria]],"")</f>
        <v>6.0040666327913543E-2</v>
      </c>
      <c r="K347" s="11">
        <v>0.29166666666666669</v>
      </c>
      <c r="L347" s="15">
        <v>0.49444444444444446</v>
      </c>
      <c r="M347" s="15">
        <f>Tabela32[[#This Row],[Hr Chegada]]-Tabela32[[#This Row],[Hr Saida]]</f>
        <v>0.20277777777777778</v>
      </c>
      <c r="N347" s="4">
        <v>275910</v>
      </c>
      <c r="O347" s="4">
        <v>275974</v>
      </c>
      <c r="P347" s="4">
        <f>Tabela32[[#This Row],[Km Chegada]]-Tabela32[[#This Row],[Km Saída]]</f>
        <v>64</v>
      </c>
      <c r="Q347" s="4">
        <v>38</v>
      </c>
      <c r="R347" s="4">
        <v>1</v>
      </c>
      <c r="S347" s="4">
        <v>1</v>
      </c>
      <c r="T347" s="12">
        <f>Tabela32[[#This Row],[Entregas]]-Tabela32[[#This Row],[Realizadas]]</f>
        <v>0</v>
      </c>
      <c r="U347" s="18">
        <f>Tabela32[[#This Row],[Realizadas]]/Tabela32[[#This Row],[Entregas]]</f>
        <v>1</v>
      </c>
      <c r="V347" s="19" t="str">
        <f>IF(Tabela32[[#This Row],[% Entrega]]&gt;=96%,"Atendeu a Meta","Não Atendeu a Meta")</f>
        <v>Atendeu a Meta</v>
      </c>
      <c r="W347" s="4" t="s">
        <v>40</v>
      </c>
      <c r="X347" s="4">
        <v>0</v>
      </c>
      <c r="Y347" s="5">
        <v>0</v>
      </c>
    </row>
    <row r="348" spans="1:25" x14ac:dyDescent="0.25">
      <c r="A348" s="8">
        <v>46283</v>
      </c>
      <c r="B348" s="16">
        <f>YEAR(Tabela32[[#This Row],[Data]])</f>
        <v>2026</v>
      </c>
      <c r="C348" s="16">
        <f>MONTH(Tabela32[[#This Row],[Data]])</f>
        <v>9</v>
      </c>
      <c r="D348" s="4" t="s">
        <v>27</v>
      </c>
      <c r="E348" s="4">
        <v>5</v>
      </c>
      <c r="F348" s="4" t="str">
        <f>IFERROR(VLOOKUP(Tabela32[[#This Row],[Placa]],Planilha2!$A$1:$B$12,2,0),"")</f>
        <v>Rosinaldo</v>
      </c>
      <c r="G348" s="10">
        <v>6548.52</v>
      </c>
      <c r="H348" s="10">
        <v>109020.64</v>
      </c>
      <c r="I348" s="4">
        <v>1746</v>
      </c>
      <c r="J348" s="17">
        <f>IFERROR(Tabela32[[#This Row],[Valor Frete]]/Tabela32[[#This Row],[Valor Mercadoria]],"")</f>
        <v>6.0066791022323852E-2</v>
      </c>
      <c r="K348" s="11">
        <v>0.29166666666666669</v>
      </c>
      <c r="L348" s="15">
        <v>0.75694444444444442</v>
      </c>
      <c r="M348" s="15">
        <f>Tabela32[[#This Row],[Hr Chegada]]-Tabela32[[#This Row],[Hr Saida]]</f>
        <v>0.46527777777777773</v>
      </c>
      <c r="N348" s="4">
        <v>291510</v>
      </c>
      <c r="O348" s="4">
        <v>291597</v>
      </c>
      <c r="P348" s="4">
        <f>Tabela32[[#This Row],[Km Chegada]]-Tabela32[[#This Row],[Km Saída]]</f>
        <v>87</v>
      </c>
      <c r="Q348" s="4">
        <v>215</v>
      </c>
      <c r="R348" s="4">
        <v>18</v>
      </c>
      <c r="S348" s="4">
        <v>17</v>
      </c>
      <c r="T348" s="12">
        <f>Tabela32[[#This Row],[Entregas]]-Tabela32[[#This Row],[Realizadas]]</f>
        <v>1</v>
      </c>
      <c r="U348" s="18">
        <f>Tabela32[[#This Row],[Realizadas]]/Tabela32[[#This Row],[Entregas]]</f>
        <v>0.94444444444444442</v>
      </c>
      <c r="V348" s="19" t="str">
        <f>IF(Tabela32[[#This Row],[% Entrega]]&gt;=96%,"Atendeu a Meta","Não Atendeu a Meta")</f>
        <v>Não Atendeu a Meta</v>
      </c>
      <c r="W348" s="4" t="s">
        <v>39</v>
      </c>
      <c r="X348" s="4">
        <v>1</v>
      </c>
      <c r="Y348" s="5">
        <v>13</v>
      </c>
    </row>
    <row r="349" spans="1:25" x14ac:dyDescent="0.25">
      <c r="A349" s="8">
        <v>46283</v>
      </c>
      <c r="B349" s="16">
        <f>YEAR(Tabela32[[#This Row],[Data]])</f>
        <v>2026</v>
      </c>
      <c r="C349" s="16">
        <f>MONTH(Tabela32[[#This Row],[Data]])</f>
        <v>9</v>
      </c>
      <c r="D349" s="4" t="s">
        <v>35</v>
      </c>
      <c r="E349" s="4">
        <v>3</v>
      </c>
      <c r="F349" s="4" t="str">
        <f>IFERROR(VLOOKUP(Tabela32[[#This Row],[Placa]],Planilha2!$A$1:$B$12,2,0),"")</f>
        <v>Osvaldo</v>
      </c>
      <c r="G349" s="10">
        <v>10577.38</v>
      </c>
      <c r="H349" s="10">
        <v>209246.11</v>
      </c>
      <c r="I349" s="4">
        <v>2665</v>
      </c>
      <c r="J349" s="17">
        <f>IFERROR(Tabela32[[#This Row],[Valor Frete]]/Tabela32[[#This Row],[Valor Mercadoria]],"")</f>
        <v>5.0549948097004048E-2</v>
      </c>
      <c r="K349" s="11">
        <v>0.30555555555555558</v>
      </c>
      <c r="L349" s="15">
        <v>0.69861111111111107</v>
      </c>
      <c r="M349" s="15">
        <f>Tabela32[[#This Row],[Hr Chegada]]-Tabela32[[#This Row],[Hr Saida]]</f>
        <v>0.39305555555555549</v>
      </c>
      <c r="N349" s="4">
        <v>143392</v>
      </c>
      <c r="O349" s="4">
        <v>143445</v>
      </c>
      <c r="P349" s="4">
        <f>Tabela32[[#This Row],[Km Chegada]]-Tabela32[[#This Row],[Km Saída]]</f>
        <v>53</v>
      </c>
      <c r="Q349" s="4">
        <v>269</v>
      </c>
      <c r="R349" s="4">
        <v>20</v>
      </c>
      <c r="S349" s="4">
        <v>20</v>
      </c>
      <c r="T349" s="12">
        <f>Tabela32[[#This Row],[Entregas]]-Tabela32[[#This Row],[Realizadas]]</f>
        <v>0</v>
      </c>
      <c r="U349" s="18">
        <f>Tabela32[[#This Row],[Realizadas]]/Tabela32[[#This Row],[Entregas]]</f>
        <v>1</v>
      </c>
      <c r="V349" s="19" t="str">
        <f>IF(Tabela32[[#This Row],[% Entrega]]&gt;=96%,"Atendeu a Meta","Não Atendeu a Meta")</f>
        <v>Atendeu a Meta</v>
      </c>
      <c r="W349" s="4" t="s">
        <v>39</v>
      </c>
      <c r="X349" s="4">
        <v>0</v>
      </c>
      <c r="Y349" s="5">
        <v>0</v>
      </c>
    </row>
    <row r="350" spans="1:25" x14ac:dyDescent="0.25">
      <c r="A350" s="8">
        <v>46283</v>
      </c>
      <c r="B350" s="16">
        <f>YEAR(Tabela32[[#This Row],[Data]])</f>
        <v>2026</v>
      </c>
      <c r="C350" s="16">
        <f>MONTH(Tabela32[[#This Row],[Data]])</f>
        <v>9</v>
      </c>
      <c r="D350" s="4" t="s">
        <v>53</v>
      </c>
      <c r="E350" s="4">
        <v>4</v>
      </c>
      <c r="F350" s="4" t="str">
        <f>IFERROR(VLOOKUP(Tabela32[[#This Row],[Placa]],Planilha2!$A$1:$B$12,2,0),"")</f>
        <v>Arnaldo</v>
      </c>
      <c r="G350" s="10">
        <v>8358.3700000000008</v>
      </c>
      <c r="H350" s="10">
        <v>204550.14</v>
      </c>
      <c r="I350" s="4">
        <v>2464</v>
      </c>
      <c r="J350" s="17">
        <f>IFERROR(Tabela32[[#This Row],[Valor Frete]]/Tabela32[[#This Row],[Valor Mercadoria]],"")</f>
        <v>4.0862206205285412E-2</v>
      </c>
      <c r="K350" s="11">
        <v>0.29166666666666669</v>
      </c>
      <c r="L350" s="15">
        <v>0.79166666666666663</v>
      </c>
      <c r="M350" s="15">
        <f>Tabela32[[#This Row],[Hr Chegada]]-Tabela32[[#This Row],[Hr Saida]]</f>
        <v>0.49999999999999994</v>
      </c>
      <c r="N350" s="4">
        <v>13855</v>
      </c>
      <c r="O350" s="4">
        <v>13918</v>
      </c>
      <c r="P350" s="4">
        <f>Tabela32[[#This Row],[Km Chegada]]-Tabela32[[#This Row],[Km Saída]]</f>
        <v>63</v>
      </c>
      <c r="Q350" s="4">
        <v>535</v>
      </c>
      <c r="R350" s="4">
        <v>19</v>
      </c>
      <c r="S350" s="4">
        <v>19</v>
      </c>
      <c r="T350" s="12">
        <f>Tabela32[[#This Row],[Entregas]]-Tabela32[[#This Row],[Realizadas]]</f>
        <v>0</v>
      </c>
      <c r="U350" s="18">
        <f>Tabela32[[#This Row],[Realizadas]]/Tabela32[[#This Row],[Entregas]]</f>
        <v>1</v>
      </c>
      <c r="V350" s="19" t="str">
        <f>IF(Tabela32[[#This Row],[% Entrega]]&gt;=96%,"Atendeu a Meta","Não Atendeu a Meta")</f>
        <v>Atendeu a Meta</v>
      </c>
      <c r="W350" s="4" t="s">
        <v>39</v>
      </c>
      <c r="X350" s="4">
        <v>0</v>
      </c>
      <c r="Y350" s="5">
        <v>0</v>
      </c>
    </row>
    <row r="351" spans="1:25" x14ac:dyDescent="0.25">
      <c r="A351" s="8">
        <v>46283</v>
      </c>
      <c r="B351" s="16">
        <f>YEAR(Tabela32[[#This Row],[Data]])</f>
        <v>2026</v>
      </c>
      <c r="C351" s="16">
        <f>MONTH(Tabela32[[#This Row],[Data]])</f>
        <v>9</v>
      </c>
      <c r="D351" s="4" t="s">
        <v>36</v>
      </c>
      <c r="E351" s="4">
        <v>5</v>
      </c>
      <c r="F351" s="4" t="str">
        <f>IFERROR(VLOOKUP(Tabela32[[#This Row],[Placa]],Planilha2!$A$1:$B$12,2,0),"")</f>
        <v>Heremilton</v>
      </c>
      <c r="G351" s="10">
        <v>53283.21</v>
      </c>
      <c r="H351" s="10">
        <v>1088532.82</v>
      </c>
      <c r="I351" s="4">
        <v>9913</v>
      </c>
      <c r="J351" s="17">
        <f>IFERROR(Tabela32[[#This Row],[Valor Frete]]/Tabela32[[#This Row],[Valor Mercadoria]],"")</f>
        <v>4.8949566812326338E-2</v>
      </c>
      <c r="K351" s="11">
        <v>0.27777777777777779</v>
      </c>
      <c r="L351" s="15">
        <v>0.82361111111111107</v>
      </c>
      <c r="M351" s="15">
        <f>Tabela32[[#This Row],[Hr Chegada]]-Tabela32[[#This Row],[Hr Saida]]</f>
        <v>0.54583333333333328</v>
      </c>
      <c r="N351" s="4">
        <v>366162</v>
      </c>
      <c r="O351" s="4">
        <v>366198</v>
      </c>
      <c r="P351" s="4">
        <f>Tabela32[[#This Row],[Km Chegada]]-Tabela32[[#This Row],[Km Saída]]</f>
        <v>36</v>
      </c>
      <c r="Q351" s="4">
        <v>2043</v>
      </c>
      <c r="R351" s="4">
        <v>24</v>
      </c>
      <c r="S351" s="4">
        <v>24</v>
      </c>
      <c r="T351" s="12">
        <f>Tabela32[[#This Row],[Entregas]]-Tabela32[[#This Row],[Realizadas]]</f>
        <v>0</v>
      </c>
      <c r="U351" s="18">
        <f>Tabela32[[#This Row],[Realizadas]]/Tabela32[[#This Row],[Entregas]]</f>
        <v>1</v>
      </c>
      <c r="V351" s="19" t="str">
        <f>IF(Tabela32[[#This Row],[% Entrega]]&gt;=96%,"Atendeu a Meta","Não Atendeu a Meta")</f>
        <v>Atendeu a Meta</v>
      </c>
      <c r="W351" s="4" t="s">
        <v>39</v>
      </c>
      <c r="X351" s="4">
        <v>0</v>
      </c>
      <c r="Y351" s="5">
        <v>0</v>
      </c>
    </row>
    <row r="352" spans="1:25" x14ac:dyDescent="0.25">
      <c r="A352" s="8">
        <v>46283</v>
      </c>
      <c r="B352" s="16">
        <f>YEAR(Tabela32[[#This Row],[Data]])</f>
        <v>2026</v>
      </c>
      <c r="C352" s="16">
        <f>MONTH(Tabela32[[#This Row],[Data]])</f>
        <v>9</v>
      </c>
      <c r="D352" s="4" t="s">
        <v>23</v>
      </c>
      <c r="E352" s="4">
        <v>1</v>
      </c>
      <c r="F352" s="4" t="str">
        <f>IFERROR(VLOOKUP(Tabela32[[#This Row],[Placa]],Planilha2!$A$1:$B$12,2,0),"")</f>
        <v>William</v>
      </c>
      <c r="G352" s="10">
        <v>5252.08</v>
      </c>
      <c r="H352" s="10">
        <v>96048.94</v>
      </c>
      <c r="I352" s="4">
        <v>1159</v>
      </c>
      <c r="J352" s="17">
        <f>IFERROR(Tabela32[[#This Row],[Valor Frete]]/Tabela32[[#This Row],[Valor Mercadoria]],"")</f>
        <v>5.4681290600396004E-2</v>
      </c>
      <c r="K352" s="11">
        <v>0.29166666666666669</v>
      </c>
      <c r="L352" s="15">
        <v>0.72916666666666663</v>
      </c>
      <c r="M352" s="15">
        <f>Tabela32[[#This Row],[Hr Chegada]]-Tabela32[[#This Row],[Hr Saida]]</f>
        <v>0.43749999999999994</v>
      </c>
      <c r="N352" s="4">
        <v>125509</v>
      </c>
      <c r="O352" s="4">
        <v>125582</v>
      </c>
      <c r="P352" s="4">
        <f>Tabela32[[#This Row],[Km Chegada]]-Tabela32[[#This Row],[Km Saída]]</f>
        <v>73</v>
      </c>
      <c r="Q352" s="4">
        <v>168</v>
      </c>
      <c r="R352" s="4">
        <v>13</v>
      </c>
      <c r="S352" s="4">
        <v>13</v>
      </c>
      <c r="T352" s="12">
        <f>Tabela32[[#This Row],[Entregas]]-Tabela32[[#This Row],[Realizadas]]</f>
        <v>0</v>
      </c>
      <c r="U352" s="18">
        <f>Tabela32[[#This Row],[Realizadas]]/Tabela32[[#This Row],[Entregas]]</f>
        <v>1</v>
      </c>
      <c r="V352" s="19" t="str">
        <f>IF(Tabela32[[#This Row],[% Entrega]]&gt;=96%,"Atendeu a Meta","Não Atendeu a Meta")</f>
        <v>Atendeu a Meta</v>
      </c>
      <c r="W352" s="4" t="s">
        <v>40</v>
      </c>
      <c r="X352" s="4">
        <v>0</v>
      </c>
      <c r="Y352" s="5">
        <v>0</v>
      </c>
    </row>
    <row r="353" spans="1:25" x14ac:dyDescent="0.25">
      <c r="A353" s="8">
        <v>46283</v>
      </c>
      <c r="B353" s="16">
        <f>YEAR(Tabela32[[#This Row],[Data]])</f>
        <v>2026</v>
      </c>
      <c r="C353" s="16">
        <f>MONTH(Tabela32[[#This Row],[Data]])</f>
        <v>9</v>
      </c>
      <c r="D353" s="4" t="s">
        <v>22</v>
      </c>
      <c r="E353" s="4">
        <v>2</v>
      </c>
      <c r="F353" s="4" t="str">
        <f>IFERROR(VLOOKUP(Tabela32[[#This Row],[Placa]],Planilha2!$A$1:$B$12,2,0),"")</f>
        <v>Juscelino</v>
      </c>
      <c r="G353" s="10">
        <v>11713.19</v>
      </c>
      <c r="H353" s="10">
        <v>212269.7</v>
      </c>
      <c r="I353" s="4">
        <v>598</v>
      </c>
      <c r="J353" s="17">
        <f>IFERROR(Tabela32[[#This Row],[Valor Frete]]/Tabela32[[#This Row],[Valor Mercadoria]],"")</f>
        <v>5.5180697009511954E-2</v>
      </c>
      <c r="K353" s="11">
        <v>0.27291666666666664</v>
      </c>
      <c r="L353" s="15">
        <v>0.81597222222222221</v>
      </c>
      <c r="M353" s="15">
        <f>Tabela32[[#This Row],[Hr Chegada]]-Tabela32[[#This Row],[Hr Saida]]</f>
        <v>0.54305555555555562</v>
      </c>
      <c r="N353" s="4">
        <v>305081</v>
      </c>
      <c r="O353" s="4">
        <v>305140</v>
      </c>
      <c r="P353" s="4">
        <f>Tabela32[[#This Row],[Km Chegada]]-Tabela32[[#This Row],[Km Saída]]</f>
        <v>59</v>
      </c>
      <c r="Q353" s="4">
        <v>317</v>
      </c>
      <c r="R353" s="4">
        <v>16</v>
      </c>
      <c r="S353" s="4">
        <v>16</v>
      </c>
      <c r="T353" s="12">
        <f>Tabela32[[#This Row],[Entregas]]-Tabela32[[#This Row],[Realizadas]]</f>
        <v>0</v>
      </c>
      <c r="U353" s="18">
        <f>Tabela32[[#This Row],[Realizadas]]/Tabela32[[#This Row],[Entregas]]</f>
        <v>1</v>
      </c>
      <c r="V353" s="19" t="str">
        <f>IF(Tabela32[[#This Row],[% Entrega]]&gt;=96%,"Atendeu a Meta","Não Atendeu a Meta")</f>
        <v>Atendeu a Meta</v>
      </c>
      <c r="W353" s="4" t="s">
        <v>39</v>
      </c>
      <c r="X353" s="4">
        <v>0</v>
      </c>
      <c r="Y353" s="5">
        <v>0</v>
      </c>
    </row>
    <row r="354" spans="1:25" x14ac:dyDescent="0.25">
      <c r="A354" s="8">
        <v>46283</v>
      </c>
      <c r="B354" s="16">
        <f>YEAR(Tabela32[[#This Row],[Data]])</f>
        <v>2026</v>
      </c>
      <c r="C354" s="16">
        <f>MONTH(Tabela32[[#This Row],[Data]])</f>
        <v>9</v>
      </c>
      <c r="D354" s="4" t="s">
        <v>31</v>
      </c>
      <c r="E354" s="4">
        <v>1</v>
      </c>
      <c r="F354" s="4" t="str">
        <f>IFERROR(VLOOKUP(Tabela32[[#This Row],[Placa]],Planilha2!$A$1:$B$12,2,0),"")</f>
        <v>Jerson</v>
      </c>
      <c r="G354" s="10">
        <v>7384.41</v>
      </c>
      <c r="H354" s="10">
        <v>185284.08</v>
      </c>
      <c r="I354" s="4">
        <v>1375</v>
      </c>
      <c r="J354" s="17">
        <f>IFERROR(Tabela32[[#This Row],[Valor Frete]]/Tabela32[[#This Row],[Valor Mercadoria]],"")</f>
        <v>3.9854530405418538E-2</v>
      </c>
      <c r="K354" s="11">
        <v>0.2951388888888889</v>
      </c>
      <c r="L354" s="15">
        <v>0.74305555555555558</v>
      </c>
      <c r="M354" s="15">
        <f>Tabela32[[#This Row],[Hr Chegada]]-Tabela32[[#This Row],[Hr Saida]]</f>
        <v>0.44791666666666669</v>
      </c>
      <c r="N354" s="4">
        <v>280667</v>
      </c>
      <c r="O354" s="4">
        <v>280716</v>
      </c>
      <c r="P354" s="4">
        <f>Tabela32[[#This Row],[Km Chegada]]-Tabela32[[#This Row],[Km Saída]]</f>
        <v>49</v>
      </c>
      <c r="Q354" s="4">
        <v>195</v>
      </c>
      <c r="R354" s="4">
        <v>30</v>
      </c>
      <c r="S354" s="4">
        <v>28</v>
      </c>
      <c r="T354" s="12">
        <f>Tabela32[[#This Row],[Entregas]]-Tabela32[[#This Row],[Realizadas]]</f>
        <v>2</v>
      </c>
      <c r="U354" s="18">
        <f>Tabela32[[#This Row],[Realizadas]]/Tabela32[[#This Row],[Entregas]]</f>
        <v>0.93333333333333335</v>
      </c>
      <c r="V354" s="19" t="str">
        <f>IF(Tabela32[[#This Row],[% Entrega]]&gt;=96%,"Atendeu a Meta","Não Atendeu a Meta")</f>
        <v>Não Atendeu a Meta</v>
      </c>
      <c r="W354" s="4" t="s">
        <v>43</v>
      </c>
      <c r="X354" s="4">
        <v>2</v>
      </c>
      <c r="Y354" s="5" t="s">
        <v>82</v>
      </c>
    </row>
    <row r="355" spans="1:25" x14ac:dyDescent="0.25">
      <c r="A355" s="8">
        <v>46286</v>
      </c>
      <c r="B355" s="16">
        <f>YEAR(Tabela32[[#This Row],[Data]])</f>
        <v>2026</v>
      </c>
      <c r="C355" s="16">
        <f>MONTH(Tabela32[[#This Row],[Data]])</f>
        <v>9</v>
      </c>
      <c r="D355" s="4" t="s">
        <v>53</v>
      </c>
      <c r="E355" s="4">
        <v>3</v>
      </c>
      <c r="F355" s="4" t="str">
        <f>IFERROR(VLOOKUP(Tabela32[[#This Row],[Placa]],Planilha2!$A$1:$B$12,2,0),"")</f>
        <v>Arnaldo</v>
      </c>
      <c r="G355" s="10">
        <v>7669.01</v>
      </c>
      <c r="H355" s="10">
        <v>109425.94</v>
      </c>
      <c r="I355" s="4">
        <v>2407</v>
      </c>
      <c r="J355" s="17">
        <f>IFERROR(Tabela32[[#This Row],[Valor Frete]]/Tabela32[[#This Row],[Valor Mercadoria]],"")</f>
        <v>7.008402212491846E-2</v>
      </c>
      <c r="K355" s="11">
        <v>0.29166666666666669</v>
      </c>
      <c r="L355" s="15">
        <v>0.75694444444444442</v>
      </c>
      <c r="M355" s="15">
        <f>Tabela32[[#This Row],[Hr Chegada]]-Tabela32[[#This Row],[Hr Saida]]</f>
        <v>0.46527777777777773</v>
      </c>
      <c r="N355" s="4">
        <v>13919</v>
      </c>
      <c r="O355" s="4">
        <v>13972</v>
      </c>
      <c r="P355" s="4">
        <f>Tabela32[[#This Row],[Km Chegada]]-Tabela32[[#This Row],[Km Saída]]</f>
        <v>53</v>
      </c>
      <c r="Q355" s="4">
        <v>240</v>
      </c>
      <c r="R355" s="4">
        <v>13</v>
      </c>
      <c r="S355" s="4">
        <v>13</v>
      </c>
      <c r="T355" s="12">
        <f>Tabela32[[#This Row],[Entregas]]-Tabela32[[#This Row],[Realizadas]]</f>
        <v>0</v>
      </c>
      <c r="U355" s="18">
        <f>Tabela32[[#This Row],[Realizadas]]/Tabela32[[#This Row],[Entregas]]</f>
        <v>1</v>
      </c>
      <c r="V355" s="19" t="str">
        <f>IF(Tabela32[[#This Row],[% Entrega]]&gt;=96%,"Atendeu a Meta","Não Atendeu a Meta")</f>
        <v>Atendeu a Meta</v>
      </c>
      <c r="W355" s="4" t="s">
        <v>39</v>
      </c>
      <c r="X355" s="4">
        <v>1</v>
      </c>
      <c r="Y355" s="5">
        <v>9</v>
      </c>
    </row>
    <row r="356" spans="1:25" x14ac:dyDescent="0.25">
      <c r="A356" s="8">
        <v>46286</v>
      </c>
      <c r="B356" s="16">
        <f>YEAR(Tabela32[[#This Row],[Data]])</f>
        <v>2026</v>
      </c>
      <c r="C356" s="16">
        <f>MONTH(Tabela32[[#This Row],[Data]])</f>
        <v>9</v>
      </c>
      <c r="D356" s="4" t="s">
        <v>35</v>
      </c>
      <c r="E356" s="4">
        <v>5</v>
      </c>
      <c r="F356" s="4" t="str">
        <f>IFERROR(VLOOKUP(Tabela32[[#This Row],[Placa]],Planilha2!$A$1:$B$12,2,0),"")</f>
        <v>Osvaldo</v>
      </c>
      <c r="G356" s="10">
        <v>5167.83</v>
      </c>
      <c r="H356" s="10">
        <v>46740.68</v>
      </c>
      <c r="I356" s="4">
        <v>567</v>
      </c>
      <c r="J356" s="17">
        <f>IFERROR(Tabela32[[#This Row],[Valor Frete]]/Tabela32[[#This Row],[Valor Mercadoria]],"")</f>
        <v>0.11056386000374833</v>
      </c>
      <c r="K356" s="11">
        <v>0.3125</v>
      </c>
      <c r="L356" s="15">
        <v>0.67152777777777772</v>
      </c>
      <c r="M356" s="15">
        <f>Tabela32[[#This Row],[Hr Chegada]]-Tabela32[[#This Row],[Hr Saida]]</f>
        <v>0.35902777777777772</v>
      </c>
      <c r="N356" s="4">
        <v>143494</v>
      </c>
      <c r="O356" s="4">
        <v>143560</v>
      </c>
      <c r="P356" s="4">
        <f>Tabela32[[#This Row],[Km Chegada]]-Tabela32[[#This Row],[Km Saída]]</f>
        <v>66</v>
      </c>
      <c r="Q356" s="4">
        <v>73</v>
      </c>
      <c r="R356" s="4">
        <v>7</v>
      </c>
      <c r="S356" s="4">
        <v>7</v>
      </c>
      <c r="T356" s="12">
        <f>Tabela32[[#This Row],[Entregas]]-Tabela32[[#This Row],[Realizadas]]</f>
        <v>0</v>
      </c>
      <c r="U356" s="18">
        <f>Tabela32[[#This Row],[Realizadas]]/Tabela32[[#This Row],[Entregas]]</f>
        <v>1</v>
      </c>
      <c r="V356" s="19" t="str">
        <f>IF(Tabela32[[#This Row],[% Entrega]]&gt;=96%,"Atendeu a Meta","Não Atendeu a Meta")</f>
        <v>Atendeu a Meta</v>
      </c>
      <c r="W356" s="4" t="s">
        <v>39</v>
      </c>
      <c r="X356" s="4">
        <v>0</v>
      </c>
      <c r="Y356" s="5">
        <v>0</v>
      </c>
    </row>
    <row r="357" spans="1:25" x14ac:dyDescent="0.25">
      <c r="A357" s="8">
        <v>46286</v>
      </c>
      <c r="B357" s="16">
        <f>YEAR(Tabela32[[#This Row],[Data]])</f>
        <v>2026</v>
      </c>
      <c r="C357" s="16">
        <f>MONTH(Tabela32[[#This Row],[Data]])</f>
        <v>9</v>
      </c>
      <c r="D357" s="4" t="s">
        <v>23</v>
      </c>
      <c r="E357" s="4">
        <v>11</v>
      </c>
      <c r="F357" s="4" t="str">
        <f>IFERROR(VLOOKUP(Tabela32[[#This Row],[Placa]],Planilha2!$A$1:$B$12,2,0),"")</f>
        <v>William</v>
      </c>
      <c r="G357" s="10">
        <v>11465.64</v>
      </c>
      <c r="H357" s="10">
        <v>273006.78999999998</v>
      </c>
      <c r="I357" s="4">
        <v>1599</v>
      </c>
      <c r="J357" s="17">
        <f>IFERROR(Tabela32[[#This Row],[Valor Frete]]/Tabela32[[#This Row],[Valor Mercadoria]],"")</f>
        <v>4.1997636762074672E-2</v>
      </c>
      <c r="K357" s="11">
        <v>0.27083333333333331</v>
      </c>
      <c r="L357" s="15">
        <v>0.8125</v>
      </c>
      <c r="M357" s="15">
        <f>Tabela32[[#This Row],[Hr Chegada]]-Tabela32[[#This Row],[Hr Saida]]</f>
        <v>0.54166666666666674</v>
      </c>
      <c r="N357" s="4">
        <v>125582</v>
      </c>
      <c r="O357" s="4">
        <v>125748</v>
      </c>
      <c r="P357" s="4">
        <f>Tabela32[[#This Row],[Km Chegada]]-Tabela32[[#This Row],[Km Saída]]</f>
        <v>166</v>
      </c>
      <c r="Q357" s="4">
        <v>313</v>
      </c>
      <c r="R357" s="4">
        <v>28</v>
      </c>
      <c r="S357" s="4">
        <v>28</v>
      </c>
      <c r="T357" s="12">
        <f>Tabela32[[#This Row],[Entregas]]-Tabela32[[#This Row],[Realizadas]]</f>
        <v>0</v>
      </c>
      <c r="U357" s="18">
        <f>Tabela32[[#This Row],[Realizadas]]/Tabela32[[#This Row],[Entregas]]</f>
        <v>1</v>
      </c>
      <c r="V357" s="19" t="str">
        <f>IF(Tabela32[[#This Row],[% Entrega]]&gt;=96%,"Atendeu a Meta","Não Atendeu a Meta")</f>
        <v>Atendeu a Meta</v>
      </c>
      <c r="W357" s="4" t="s">
        <v>41</v>
      </c>
      <c r="X357" s="4">
        <v>3</v>
      </c>
      <c r="Y357" s="5" t="s">
        <v>83</v>
      </c>
    </row>
    <row r="358" spans="1:25" x14ac:dyDescent="0.25">
      <c r="A358" s="8">
        <v>46286</v>
      </c>
      <c r="B358" s="16">
        <f>YEAR(Tabela32[[#This Row],[Data]])</f>
        <v>2026</v>
      </c>
      <c r="C358" s="16">
        <f>MONTH(Tabela32[[#This Row],[Data]])</f>
        <v>9</v>
      </c>
      <c r="D358" s="4" t="s">
        <v>22</v>
      </c>
      <c r="E358" s="4">
        <v>2</v>
      </c>
      <c r="F358" s="4" t="str">
        <f>IFERROR(VLOOKUP(Tabela32[[#This Row],[Placa]],Planilha2!$A$1:$B$12,2,0),"")</f>
        <v>Juscelino</v>
      </c>
      <c r="G358" s="10">
        <v>7236.81</v>
      </c>
      <c r="H358" s="10">
        <v>173289.63</v>
      </c>
      <c r="I358" s="4">
        <v>1096</v>
      </c>
      <c r="J358" s="17">
        <f>IFERROR(Tabela32[[#This Row],[Valor Frete]]/Tabela32[[#This Row],[Valor Mercadoria]],"")</f>
        <v>4.1761356406612445E-2</v>
      </c>
      <c r="K358" s="11">
        <v>0.27083333333333331</v>
      </c>
      <c r="L358" s="15">
        <v>0.66319444444444442</v>
      </c>
      <c r="M358" s="15">
        <f>Tabela32[[#This Row],[Hr Chegada]]-Tabela32[[#This Row],[Hr Saida]]</f>
        <v>0.3923611111111111</v>
      </c>
      <c r="N358" s="4">
        <v>305258</v>
      </c>
      <c r="O358" s="4">
        <v>305309</v>
      </c>
      <c r="P358" s="4">
        <f>Tabela32[[#This Row],[Km Chegada]]-Tabela32[[#This Row],[Km Saída]]</f>
        <v>51</v>
      </c>
      <c r="Q358" s="4">
        <v>183</v>
      </c>
      <c r="R358" s="4">
        <v>26</v>
      </c>
      <c r="S358" s="4">
        <v>26</v>
      </c>
      <c r="T358" s="12">
        <f>Tabela32[[#This Row],[Entregas]]-Tabela32[[#This Row],[Realizadas]]</f>
        <v>0</v>
      </c>
      <c r="U358" s="18">
        <f>Tabela32[[#This Row],[Realizadas]]/Tabela32[[#This Row],[Entregas]]</f>
        <v>1</v>
      </c>
      <c r="V358" s="19" t="str">
        <f>IF(Tabela32[[#This Row],[% Entrega]]&gt;=96%,"Atendeu a Meta","Não Atendeu a Meta")</f>
        <v>Atendeu a Meta</v>
      </c>
      <c r="W358" s="4" t="s">
        <v>39</v>
      </c>
      <c r="X358" s="4">
        <v>0</v>
      </c>
      <c r="Y358" s="5">
        <v>0</v>
      </c>
    </row>
    <row r="359" spans="1:25" x14ac:dyDescent="0.25">
      <c r="A359" s="8">
        <v>46286</v>
      </c>
      <c r="B359" s="16">
        <f>YEAR(Tabela32[[#This Row],[Data]])</f>
        <v>2026</v>
      </c>
      <c r="C359" s="16">
        <f>MONTH(Tabela32[[#This Row],[Data]])</f>
        <v>9</v>
      </c>
      <c r="D359" s="4" t="s">
        <v>33</v>
      </c>
      <c r="E359" s="4">
        <v>1</v>
      </c>
      <c r="F359" s="4" t="str">
        <f>IFERROR(VLOOKUP(Tabela32[[#This Row],[Placa]],Planilha2!$A$1:$B$12,2,0),"")</f>
        <v>Paulo</v>
      </c>
      <c r="G359" s="10">
        <v>2929.13</v>
      </c>
      <c r="H359" s="10">
        <v>35646.160000000003</v>
      </c>
      <c r="I359" s="4">
        <v>226</v>
      </c>
      <c r="J359" s="17">
        <f>IFERROR(Tabela32[[#This Row],[Valor Frete]]/Tabela32[[#This Row],[Valor Mercadoria]],"")</f>
        <v>8.2172385468729306E-2</v>
      </c>
      <c r="K359" s="11">
        <v>0.29166666666666669</v>
      </c>
      <c r="L359" s="15">
        <v>0.70416666666666672</v>
      </c>
      <c r="M359" s="15">
        <f>Tabela32[[#This Row],[Hr Chegada]]-Tabela32[[#This Row],[Hr Saida]]</f>
        <v>0.41250000000000003</v>
      </c>
      <c r="N359" s="4">
        <v>155786</v>
      </c>
      <c r="O359" s="4">
        <v>155935</v>
      </c>
      <c r="P359" s="4">
        <f>Tabela32[[#This Row],[Km Chegada]]-Tabela32[[#This Row],[Km Saída]]</f>
        <v>149</v>
      </c>
      <c r="Q359" s="4">
        <v>42</v>
      </c>
      <c r="R359" s="4">
        <v>14</v>
      </c>
      <c r="S359" s="4">
        <v>14</v>
      </c>
      <c r="T359" s="12">
        <f>Tabela32[[#This Row],[Entregas]]-Tabela32[[#This Row],[Realizadas]]</f>
        <v>0</v>
      </c>
      <c r="U359" s="18">
        <f>Tabela32[[#This Row],[Realizadas]]/Tabela32[[#This Row],[Entregas]]</f>
        <v>1</v>
      </c>
      <c r="V359" s="19" t="str">
        <f>IF(Tabela32[[#This Row],[% Entrega]]&gt;=96%,"Atendeu a Meta","Não Atendeu a Meta")</f>
        <v>Atendeu a Meta</v>
      </c>
      <c r="W359" s="4" t="s">
        <v>40</v>
      </c>
      <c r="X359" s="4">
        <v>0</v>
      </c>
      <c r="Y359" s="5">
        <v>0</v>
      </c>
    </row>
    <row r="360" spans="1:25" x14ac:dyDescent="0.25">
      <c r="A360" s="8">
        <v>46286</v>
      </c>
      <c r="B360" s="16">
        <f>YEAR(Tabela32[[#This Row],[Data]])</f>
        <v>2026</v>
      </c>
      <c r="C360" s="16">
        <f>MONTH(Tabela32[[#This Row],[Data]])</f>
        <v>9</v>
      </c>
      <c r="D360" s="4" t="s">
        <v>37</v>
      </c>
      <c r="E360" s="4">
        <v>3</v>
      </c>
      <c r="F360" s="4" t="str">
        <f>IFERROR(VLOOKUP(Tabela32[[#This Row],[Placa]],Planilha2!$A$1:$B$12,2,0),"")</f>
        <v/>
      </c>
      <c r="G360" s="10">
        <v>795.97</v>
      </c>
      <c r="H360" s="10">
        <v>15740.97</v>
      </c>
      <c r="I360" s="4">
        <v>13</v>
      </c>
      <c r="J360" s="17">
        <f>IFERROR(Tabela32[[#This Row],[Valor Frete]]/Tabela32[[#This Row],[Valor Mercadoria]],"")</f>
        <v>5.056676939222933E-2</v>
      </c>
      <c r="K360" s="11">
        <v>0.58333333333333337</v>
      </c>
      <c r="L360" s="15">
        <v>0.70833333333333337</v>
      </c>
      <c r="M360" s="15">
        <f>Tabela32[[#This Row],[Hr Chegada]]-Tabela32[[#This Row],[Hr Saida]]</f>
        <v>0.125</v>
      </c>
      <c r="N360" s="4">
        <v>12395</v>
      </c>
      <c r="O360" s="4">
        <v>12437</v>
      </c>
      <c r="P360" s="4">
        <f>Tabela32[[#This Row],[Km Chegada]]-Tabela32[[#This Row],[Km Saída]]</f>
        <v>42</v>
      </c>
      <c r="Q360" s="4">
        <v>13</v>
      </c>
      <c r="R360" s="4">
        <v>2</v>
      </c>
      <c r="S360" s="4">
        <v>2</v>
      </c>
      <c r="T360" s="12">
        <f>Tabela32[[#This Row],[Entregas]]-Tabela32[[#This Row],[Realizadas]]</f>
        <v>0</v>
      </c>
      <c r="U360" s="18">
        <f>Tabela32[[#This Row],[Realizadas]]/Tabela32[[#This Row],[Entregas]]</f>
        <v>1</v>
      </c>
      <c r="V360" s="19" t="str">
        <f>IF(Tabela32[[#This Row],[% Entrega]]&gt;=96%,"Atendeu a Meta","Não Atendeu a Meta")</f>
        <v>Atendeu a Meta</v>
      </c>
      <c r="W360" s="4" t="s">
        <v>39</v>
      </c>
      <c r="X360" s="4">
        <v>0</v>
      </c>
      <c r="Y360" s="5">
        <v>0</v>
      </c>
    </row>
    <row r="361" spans="1:25" x14ac:dyDescent="0.25">
      <c r="A361" s="8">
        <v>46286</v>
      </c>
      <c r="B361" s="16">
        <f>YEAR(Tabela32[[#This Row],[Data]])</f>
        <v>2026</v>
      </c>
      <c r="C361" s="16">
        <f>MONTH(Tabela32[[#This Row],[Data]])</f>
        <v>9</v>
      </c>
      <c r="D361" s="4" t="s">
        <v>25</v>
      </c>
      <c r="E361" s="4">
        <v>1</v>
      </c>
      <c r="F361" s="4" t="str">
        <f>IFERROR(VLOOKUP(Tabela32[[#This Row],[Placa]],Planilha2!$A$1:$B$12,2,0),"")</f>
        <v>Gilberto</v>
      </c>
      <c r="G361" s="10">
        <v>7949.91</v>
      </c>
      <c r="H361" s="10">
        <v>124108.67</v>
      </c>
      <c r="I361" s="4">
        <v>1127</v>
      </c>
      <c r="J361" s="17">
        <f>IFERROR(Tabela32[[#This Row],[Valor Frete]]/Tabela32[[#This Row],[Valor Mercadoria]],"")</f>
        <v>6.405604056509509E-2</v>
      </c>
      <c r="K361" s="11">
        <v>0.3125</v>
      </c>
      <c r="L361" s="15">
        <v>0.70833333333333337</v>
      </c>
      <c r="M361" s="15">
        <f>Tabela32[[#This Row],[Hr Chegada]]-Tabela32[[#This Row],[Hr Saida]]</f>
        <v>0.39583333333333337</v>
      </c>
      <c r="N361" s="4">
        <v>120142</v>
      </c>
      <c r="O361" s="4">
        <v>120182</v>
      </c>
      <c r="P361" s="4">
        <f>Tabela32[[#This Row],[Km Chegada]]-Tabela32[[#This Row],[Km Saída]]</f>
        <v>40</v>
      </c>
      <c r="Q361" s="4">
        <v>155</v>
      </c>
      <c r="R361" s="4">
        <v>26</v>
      </c>
      <c r="S361" s="4">
        <v>23</v>
      </c>
      <c r="T361" s="12">
        <f>Tabela32[[#This Row],[Entregas]]-Tabela32[[#This Row],[Realizadas]]</f>
        <v>3</v>
      </c>
      <c r="U361" s="18">
        <f>Tabela32[[#This Row],[Realizadas]]/Tabela32[[#This Row],[Entregas]]</f>
        <v>0.88461538461538458</v>
      </c>
      <c r="V361" s="19" t="str">
        <f>IF(Tabela32[[#This Row],[% Entrega]]&gt;=96%,"Atendeu a Meta","Não Atendeu a Meta")</f>
        <v>Não Atendeu a Meta</v>
      </c>
      <c r="W361" s="4" t="s">
        <v>43</v>
      </c>
      <c r="X361" s="4">
        <v>4</v>
      </c>
      <c r="Y361" s="5" t="s">
        <v>84</v>
      </c>
    </row>
    <row r="362" spans="1:25" x14ac:dyDescent="0.25">
      <c r="A362" s="8">
        <v>46286</v>
      </c>
      <c r="B362" s="16">
        <f>YEAR(Tabela32[[#This Row],[Data]])</f>
        <v>2026</v>
      </c>
      <c r="C362" s="16">
        <f>MONTH(Tabela32[[#This Row],[Data]])</f>
        <v>9</v>
      </c>
      <c r="D362" s="4" t="s">
        <v>31</v>
      </c>
      <c r="E362" s="4">
        <v>5</v>
      </c>
      <c r="F362" s="4" t="str">
        <f>IFERROR(VLOOKUP(Tabela32[[#This Row],[Placa]],Planilha2!$A$1:$B$12,2,0),"")</f>
        <v>Jerson</v>
      </c>
      <c r="G362" s="10">
        <v>5549.43</v>
      </c>
      <c r="H362" s="10">
        <v>94435.31</v>
      </c>
      <c r="I362" s="4">
        <v>541</v>
      </c>
      <c r="J362" s="17">
        <f>IFERROR(Tabela32[[#This Row],[Valor Frete]]/Tabela32[[#This Row],[Valor Mercadoria]],"")</f>
        <v>5.8764354138298489E-2</v>
      </c>
      <c r="K362" s="11">
        <v>0.33333333333333331</v>
      </c>
      <c r="L362" s="15">
        <v>0.71666666666666667</v>
      </c>
      <c r="M362" s="15">
        <f>Tabela32[[#This Row],[Hr Chegada]]-Tabela32[[#This Row],[Hr Saida]]</f>
        <v>0.38333333333333336</v>
      </c>
      <c r="N362" s="4">
        <v>280717</v>
      </c>
      <c r="O362" s="4">
        <v>280801</v>
      </c>
      <c r="P362" s="4">
        <f>Tabela32[[#This Row],[Km Chegada]]-Tabela32[[#This Row],[Km Saída]]</f>
        <v>84</v>
      </c>
      <c r="Q362" s="4">
        <v>108</v>
      </c>
      <c r="R362" s="4">
        <v>31</v>
      </c>
      <c r="S362" s="4">
        <v>31</v>
      </c>
      <c r="T362" s="12">
        <f>Tabela32[[#This Row],[Entregas]]-Tabela32[[#This Row],[Realizadas]]</f>
        <v>0</v>
      </c>
      <c r="U362" s="18">
        <f>Tabela32[[#This Row],[Realizadas]]/Tabela32[[#This Row],[Entregas]]</f>
        <v>1</v>
      </c>
      <c r="V362" s="19" t="str">
        <f>IF(Tabela32[[#This Row],[% Entrega]]&gt;=96%,"Atendeu a Meta","Não Atendeu a Meta")</f>
        <v>Atendeu a Meta</v>
      </c>
      <c r="W362" s="4" t="s">
        <v>39</v>
      </c>
      <c r="X362" s="4">
        <v>1</v>
      </c>
      <c r="Y362" s="5">
        <v>9</v>
      </c>
    </row>
    <row r="363" spans="1:25" x14ac:dyDescent="0.25">
      <c r="A363" s="8">
        <v>46286</v>
      </c>
      <c r="B363" s="16">
        <f>YEAR(Tabela32[[#This Row],[Data]])</f>
        <v>2026</v>
      </c>
      <c r="C363" s="16">
        <f>MONTH(Tabela32[[#This Row],[Data]])</f>
        <v>9</v>
      </c>
      <c r="D363" s="4" t="s">
        <v>28</v>
      </c>
      <c r="E363" s="4">
        <v>1</v>
      </c>
      <c r="F363" s="4" t="str">
        <f>IFERROR(VLOOKUP(Tabela32[[#This Row],[Placa]],Planilha2!$A$1:$B$12,2,0),"")</f>
        <v>Edilson</v>
      </c>
      <c r="G363" s="10">
        <v>29994.17</v>
      </c>
      <c r="H363" s="10">
        <v>232856.46</v>
      </c>
      <c r="I363" s="4">
        <v>3895</v>
      </c>
      <c r="J363" s="17">
        <f>IFERROR(Tabela32[[#This Row],[Valor Frete]]/Tabela32[[#This Row],[Valor Mercadoria]],"")</f>
        <v>0.12880969675481624</v>
      </c>
      <c r="K363" s="11">
        <v>0.29166666666666669</v>
      </c>
      <c r="L363" s="15">
        <v>0.75</v>
      </c>
      <c r="M363" s="15">
        <f>Tabela32[[#This Row],[Hr Chegada]]-Tabela32[[#This Row],[Hr Saida]]</f>
        <v>0.45833333333333331</v>
      </c>
      <c r="N363" s="4">
        <v>105897</v>
      </c>
      <c r="O363" s="4">
        <v>105931</v>
      </c>
      <c r="P363" s="4">
        <f>Tabela32[[#This Row],[Km Chegada]]-Tabela32[[#This Row],[Km Saída]]</f>
        <v>34</v>
      </c>
      <c r="Q363" s="4">
        <v>1187</v>
      </c>
      <c r="R363" s="4">
        <v>1</v>
      </c>
      <c r="S363" s="4">
        <v>1</v>
      </c>
      <c r="T363" s="12">
        <f>Tabela32[[#This Row],[Entregas]]-Tabela32[[#This Row],[Realizadas]]</f>
        <v>0</v>
      </c>
      <c r="U363" s="18">
        <f>Tabela32[[#This Row],[Realizadas]]/Tabela32[[#This Row],[Entregas]]</f>
        <v>1</v>
      </c>
      <c r="V363" s="19" t="str">
        <f>IF(Tabela32[[#This Row],[% Entrega]]&gt;=96%,"Atendeu a Meta","Não Atendeu a Meta")</f>
        <v>Atendeu a Meta</v>
      </c>
      <c r="W363" s="4" t="s">
        <v>40</v>
      </c>
      <c r="X363" s="4">
        <v>0</v>
      </c>
      <c r="Y363" s="5">
        <v>0</v>
      </c>
    </row>
    <row r="364" spans="1:25" x14ac:dyDescent="0.25">
      <c r="A364" s="8">
        <v>46286</v>
      </c>
      <c r="B364" s="16">
        <f>YEAR(Tabela32[[#This Row],[Data]])</f>
        <v>2026</v>
      </c>
      <c r="C364" s="16">
        <f>MONTH(Tabela32[[#This Row],[Data]])</f>
        <v>9</v>
      </c>
      <c r="D364" s="4" t="s">
        <v>27</v>
      </c>
      <c r="E364" s="4">
        <v>4</v>
      </c>
      <c r="F364" s="4" t="str">
        <f>IFERROR(VLOOKUP(Tabela32[[#This Row],[Placa]],Planilha2!$A$1:$B$12,2,0),"")</f>
        <v>Rosinaldo</v>
      </c>
      <c r="G364" s="10">
        <v>8805.2099999999991</v>
      </c>
      <c r="H364" s="10">
        <v>200874.32</v>
      </c>
      <c r="I364" s="4">
        <v>1306</v>
      </c>
      <c r="J364" s="17">
        <f>IFERROR(Tabela32[[#This Row],[Valor Frete]]/Tabela32[[#This Row],[Valor Mercadoria]],"")</f>
        <v>4.3834423434513672E-2</v>
      </c>
      <c r="K364" s="11">
        <v>0.29166666666666669</v>
      </c>
      <c r="L364" s="15">
        <v>0.75208333333333333</v>
      </c>
      <c r="M364" s="15">
        <f>Tabela32[[#This Row],[Hr Chegada]]-Tabela32[[#This Row],[Hr Saida]]</f>
        <v>0.46041666666666664</v>
      </c>
      <c r="N364" s="4">
        <v>291597</v>
      </c>
      <c r="O364" s="4">
        <v>291668</v>
      </c>
      <c r="P364" s="4">
        <f>Tabela32[[#This Row],[Km Chegada]]-Tabela32[[#This Row],[Km Saída]]</f>
        <v>71</v>
      </c>
      <c r="Q364" s="4">
        <v>185</v>
      </c>
      <c r="R364" s="4">
        <v>30</v>
      </c>
      <c r="S364" s="4">
        <v>30</v>
      </c>
      <c r="T364" s="12">
        <f>Tabela32[[#This Row],[Entregas]]-Tabela32[[#This Row],[Realizadas]]</f>
        <v>0</v>
      </c>
      <c r="U364" s="18">
        <f>Tabela32[[#This Row],[Realizadas]]/Tabela32[[#This Row],[Entregas]]</f>
        <v>1</v>
      </c>
      <c r="V364" s="19" t="str">
        <f>IF(Tabela32[[#This Row],[% Entrega]]&gt;=96%,"Atendeu a Meta","Não Atendeu a Meta")</f>
        <v>Atendeu a Meta</v>
      </c>
      <c r="W364" s="4" t="s">
        <v>39</v>
      </c>
      <c r="X364" s="4">
        <v>0</v>
      </c>
      <c r="Y364" s="5">
        <v>0</v>
      </c>
    </row>
    <row r="365" spans="1:25" x14ac:dyDescent="0.25">
      <c r="A365" s="8">
        <v>46286</v>
      </c>
      <c r="B365" s="16">
        <f>YEAR(Tabela32[[#This Row],[Data]])</f>
        <v>2026</v>
      </c>
      <c r="C365" s="16">
        <f>MONTH(Tabela32[[#This Row],[Data]])</f>
        <v>9</v>
      </c>
      <c r="D365" s="4" t="s">
        <v>29</v>
      </c>
      <c r="E365" s="4">
        <v>1</v>
      </c>
      <c r="F365" s="4" t="str">
        <f>IFERROR(VLOOKUP(Tabela32[[#This Row],[Placa]],Planilha2!$A$1:$B$12,2,0),"")</f>
        <v>Sandro</v>
      </c>
      <c r="G365" s="10">
        <v>3409.79</v>
      </c>
      <c r="H365" s="10">
        <v>67607.839999999997</v>
      </c>
      <c r="I365" s="4">
        <v>478</v>
      </c>
      <c r="J365" s="17">
        <f>IFERROR(Tabela32[[#This Row],[Valor Frete]]/Tabela32[[#This Row],[Valor Mercadoria]],"")</f>
        <v>5.0434831226674304E-2</v>
      </c>
      <c r="K365" s="11">
        <v>0.29166666666666669</v>
      </c>
      <c r="L365" s="15">
        <v>0.76041666666666663</v>
      </c>
      <c r="M365" s="15">
        <f>Tabela32[[#This Row],[Hr Chegada]]-Tabela32[[#This Row],[Hr Saida]]</f>
        <v>0.46874999999999994</v>
      </c>
      <c r="N365" s="4">
        <v>275923</v>
      </c>
      <c r="O365" s="4">
        <v>276025</v>
      </c>
      <c r="P365" s="4">
        <f>Tabela32[[#This Row],[Km Chegada]]-Tabela32[[#This Row],[Km Saída]]</f>
        <v>102</v>
      </c>
      <c r="Q365" s="4">
        <v>103</v>
      </c>
      <c r="R365" s="4">
        <v>10</v>
      </c>
      <c r="S365" s="4">
        <v>10</v>
      </c>
      <c r="T365" s="12">
        <f>Tabela32[[#This Row],[Entregas]]-Tabela32[[#This Row],[Realizadas]]</f>
        <v>0</v>
      </c>
      <c r="U365" s="18">
        <f>Tabela32[[#This Row],[Realizadas]]/Tabela32[[#This Row],[Entregas]]</f>
        <v>1</v>
      </c>
      <c r="V365" s="19" t="str">
        <f>IF(Tabela32[[#This Row],[% Entrega]]&gt;=96%,"Atendeu a Meta","Não Atendeu a Meta")</f>
        <v>Atendeu a Meta</v>
      </c>
      <c r="W365" s="4" t="s">
        <v>43</v>
      </c>
      <c r="X365" s="4">
        <v>0</v>
      </c>
      <c r="Y365" s="5">
        <v>0</v>
      </c>
    </row>
    <row r="366" spans="1:25" x14ac:dyDescent="0.25">
      <c r="A366" s="8">
        <v>46284</v>
      </c>
      <c r="B366" s="16">
        <f>YEAR(Tabela32[[#This Row],[Data]])</f>
        <v>2026</v>
      </c>
      <c r="C366" s="16">
        <f>MONTH(Tabela32[[#This Row],[Data]])</f>
        <v>9</v>
      </c>
      <c r="D366" s="4" t="s">
        <v>22</v>
      </c>
      <c r="E366" s="4">
        <v>11</v>
      </c>
      <c r="F366" s="4" t="str">
        <f>IFERROR(VLOOKUP(Tabela32[[#This Row],[Placa]],Planilha2!$A$1:$B$12,2,0),"")</f>
        <v>Juscelino</v>
      </c>
      <c r="G366" s="10">
        <v>9000.1200000000008</v>
      </c>
      <c r="H366" s="10">
        <v>133683.42000000001</v>
      </c>
      <c r="I366" s="4">
        <v>1122</v>
      </c>
      <c r="J366" s="17">
        <f>IFERROR(Tabela32[[#This Row],[Valor Frete]]/Tabela32[[#This Row],[Valor Mercadoria]],"")</f>
        <v>6.7324130397023049E-2</v>
      </c>
      <c r="K366" s="11">
        <v>0.27083333333333331</v>
      </c>
      <c r="L366" s="15">
        <v>0.48333333333333334</v>
      </c>
      <c r="M366" s="15">
        <f>Tabela32[[#This Row],[Hr Chegada]]-Tabela32[[#This Row],[Hr Saida]]</f>
        <v>0.21250000000000002</v>
      </c>
      <c r="N366" s="4">
        <v>305140</v>
      </c>
      <c r="O366" s="4">
        <v>305258</v>
      </c>
      <c r="P366" s="4">
        <f>Tabela32[[#This Row],[Km Chegada]]-Tabela32[[#This Row],[Km Saída]]</f>
        <v>118</v>
      </c>
      <c r="Q366" s="4">
        <v>164</v>
      </c>
      <c r="R366" s="4">
        <v>37</v>
      </c>
      <c r="S366" s="4">
        <v>37</v>
      </c>
      <c r="T366" s="12">
        <f>Tabela32[[#This Row],[Entregas]]-Tabela32[[#This Row],[Realizadas]]</f>
        <v>0</v>
      </c>
      <c r="U366" s="18">
        <f>Tabela32[[#This Row],[Realizadas]]/Tabela32[[#This Row],[Entregas]]</f>
        <v>1</v>
      </c>
      <c r="V366" s="19" t="str">
        <f>IF(Tabela32[[#This Row],[% Entrega]]&gt;=96%,"Atendeu a Meta","Não Atendeu a Meta")</f>
        <v>Atendeu a Meta</v>
      </c>
      <c r="W366" s="4" t="s">
        <v>41</v>
      </c>
      <c r="X366" s="4">
        <v>0</v>
      </c>
      <c r="Y366" s="5">
        <v>0</v>
      </c>
    </row>
    <row r="367" spans="1:25" x14ac:dyDescent="0.25">
      <c r="A367" s="8">
        <v>46284</v>
      </c>
      <c r="B367" s="16">
        <f>YEAR(Tabela32[[#This Row],[Data]])</f>
        <v>2026</v>
      </c>
      <c r="C367" s="16">
        <f>MONTH(Tabela32[[#This Row],[Data]])</f>
        <v>9</v>
      </c>
      <c r="D367" s="4" t="s">
        <v>35</v>
      </c>
      <c r="E367" s="4">
        <v>3</v>
      </c>
      <c r="F367" s="4" t="str">
        <f>IFERROR(VLOOKUP(Tabela32[[#This Row],[Placa]],Planilha2!$A$1:$B$12,2,0),"")</f>
        <v>Osvaldo</v>
      </c>
      <c r="G367" s="10">
        <v>4098.82</v>
      </c>
      <c r="H367" s="10">
        <v>104510.87</v>
      </c>
      <c r="I367" s="4">
        <v>726</v>
      </c>
      <c r="J367" s="17">
        <f>IFERROR(Tabela32[[#This Row],[Valor Frete]]/Tabela32[[#This Row],[Valor Mercadoria]],"")</f>
        <v>3.9219078359983034E-2</v>
      </c>
      <c r="K367" s="11">
        <v>0.3125</v>
      </c>
      <c r="L367" s="15">
        <v>0.50416666666666665</v>
      </c>
      <c r="M367" s="15">
        <f>Tabela32[[#This Row],[Hr Chegada]]-Tabela32[[#This Row],[Hr Saida]]</f>
        <v>0.19166666666666665</v>
      </c>
      <c r="N367" s="4">
        <v>143445</v>
      </c>
      <c r="O367" s="4">
        <v>143494</v>
      </c>
      <c r="P367" s="4">
        <f>Tabela32[[#This Row],[Km Chegada]]-Tabela32[[#This Row],[Km Saída]]</f>
        <v>49</v>
      </c>
      <c r="Q367" s="4">
        <v>137</v>
      </c>
      <c r="R367" s="4">
        <v>7</v>
      </c>
      <c r="S367" s="4">
        <v>7</v>
      </c>
      <c r="T367" s="12">
        <f>Tabela32[[#This Row],[Entregas]]-Tabela32[[#This Row],[Realizadas]]</f>
        <v>0</v>
      </c>
      <c r="U367" s="18">
        <f>Tabela32[[#This Row],[Realizadas]]/Tabela32[[#This Row],[Entregas]]</f>
        <v>1</v>
      </c>
      <c r="V367" s="19" t="str">
        <f>IF(Tabela32[[#This Row],[% Entrega]]&gt;=96%,"Atendeu a Meta","Não Atendeu a Meta")</f>
        <v>Atendeu a Meta</v>
      </c>
      <c r="W367" s="4" t="s">
        <v>39</v>
      </c>
      <c r="X367" s="4">
        <v>0</v>
      </c>
      <c r="Y367" s="5">
        <v>0</v>
      </c>
    </row>
    <row r="368" spans="1:25" x14ac:dyDescent="0.25">
      <c r="A368" s="8">
        <v>46284</v>
      </c>
      <c r="B368" s="16">
        <f>YEAR(Tabela32[[#This Row],[Data]])</f>
        <v>2026</v>
      </c>
      <c r="C368" s="16">
        <f>MONTH(Tabela32[[#This Row],[Data]])</f>
        <v>9</v>
      </c>
      <c r="D368" s="4" t="s">
        <v>33</v>
      </c>
      <c r="E368" s="4">
        <v>1</v>
      </c>
      <c r="F368" s="4" t="str">
        <f>IFERROR(VLOOKUP(Tabela32[[#This Row],[Placa]],Planilha2!$A$1:$B$12,2,0),"")</f>
        <v>Paulo</v>
      </c>
      <c r="G368" s="10">
        <v>512.66999999999996</v>
      </c>
      <c r="H368" s="10">
        <v>31213</v>
      </c>
      <c r="I368" s="4">
        <v>62</v>
      </c>
      <c r="J368" s="17">
        <f>IFERROR(Tabela32[[#This Row],[Valor Frete]]/Tabela32[[#This Row],[Valor Mercadoria]],"")</f>
        <v>1.6424887066286482E-2</v>
      </c>
      <c r="K368" s="11">
        <v>0.33333333333333331</v>
      </c>
      <c r="L368" s="15">
        <v>0.45833333333333331</v>
      </c>
      <c r="M368" s="15">
        <f>Tabela32[[#This Row],[Hr Chegada]]-Tabela32[[#This Row],[Hr Saida]]</f>
        <v>0.125</v>
      </c>
      <c r="N368" s="4">
        <v>155756</v>
      </c>
      <c r="O368" s="4">
        <v>155786</v>
      </c>
      <c r="P368" s="4">
        <f>Tabela32[[#This Row],[Km Chegada]]-Tabela32[[#This Row],[Km Saída]]</f>
        <v>30</v>
      </c>
      <c r="Q368" s="4">
        <v>20</v>
      </c>
      <c r="R368" s="4">
        <v>1</v>
      </c>
      <c r="S368" s="4">
        <v>1</v>
      </c>
      <c r="T368" s="12">
        <f>Tabela32[[#This Row],[Entregas]]-Tabela32[[#This Row],[Realizadas]]</f>
        <v>0</v>
      </c>
      <c r="U368" s="18">
        <f>Tabela32[[#This Row],[Realizadas]]/Tabela32[[#This Row],[Entregas]]</f>
        <v>1</v>
      </c>
      <c r="V368" s="19" t="str">
        <f>IF(Tabela32[[#This Row],[% Entrega]]&gt;=96%,"Atendeu a Meta","Não Atendeu a Meta")</f>
        <v>Atendeu a Meta</v>
      </c>
      <c r="W368" s="4" t="s">
        <v>40</v>
      </c>
      <c r="X368" s="4">
        <v>0</v>
      </c>
      <c r="Y368" s="5">
        <v>0</v>
      </c>
    </row>
    <row r="369" spans="1:25" x14ac:dyDescent="0.25">
      <c r="A369" s="8">
        <v>46287</v>
      </c>
      <c r="B369" s="16">
        <f>YEAR(Tabela32[[#This Row],[Data]])</f>
        <v>2026</v>
      </c>
      <c r="C369" s="16">
        <f>MONTH(Tabela32[[#This Row],[Data]])</f>
        <v>9</v>
      </c>
      <c r="D369" s="4" t="s">
        <v>31</v>
      </c>
      <c r="E369" s="4">
        <v>5</v>
      </c>
      <c r="F369" s="4" t="str">
        <f>IFERROR(VLOOKUP(Tabela32[[#This Row],[Placa]],Planilha2!$A$1:$B$12,2,0),"")</f>
        <v>Jerson</v>
      </c>
      <c r="G369" s="10">
        <v>4644.68</v>
      </c>
      <c r="H369" s="10">
        <v>94224.9</v>
      </c>
      <c r="I369" s="4">
        <v>913</v>
      </c>
      <c r="J369" s="17">
        <f>IFERROR(Tabela32[[#This Row],[Valor Frete]]/Tabela32[[#This Row],[Valor Mercadoria]],"")</f>
        <v>4.929355191674388E-2</v>
      </c>
      <c r="K369" s="11">
        <v>0.30208333333333331</v>
      </c>
      <c r="L369" s="15">
        <v>0.75</v>
      </c>
      <c r="M369" s="15">
        <f>Tabela32[[#This Row],[Hr Chegada]]-Tabela32[[#This Row],[Hr Saida]]</f>
        <v>0.44791666666666669</v>
      </c>
      <c r="N369" s="4">
        <v>280801</v>
      </c>
      <c r="O369" s="4">
        <v>280890</v>
      </c>
      <c r="P369" s="4">
        <f>Tabela32[[#This Row],[Km Chegada]]-Tabela32[[#This Row],[Km Saída]]</f>
        <v>89</v>
      </c>
      <c r="Q369" s="4">
        <v>201</v>
      </c>
      <c r="R369" s="4">
        <v>13</v>
      </c>
      <c r="S369" s="4">
        <v>13</v>
      </c>
      <c r="T369" s="12">
        <f>Tabela32[[#This Row],[Entregas]]-Tabela32[[#This Row],[Realizadas]]</f>
        <v>0</v>
      </c>
      <c r="U369" s="18">
        <f>Tabela32[[#This Row],[Realizadas]]/Tabela32[[#This Row],[Entregas]]</f>
        <v>1</v>
      </c>
      <c r="V369" s="19" t="str">
        <f>IF(Tabela32[[#This Row],[% Entrega]]&gt;=96%,"Atendeu a Meta","Não Atendeu a Meta")</f>
        <v>Atendeu a Meta</v>
      </c>
      <c r="W369" s="4" t="s">
        <v>39</v>
      </c>
      <c r="X369" s="4">
        <v>0</v>
      </c>
      <c r="Y369" s="5">
        <v>0</v>
      </c>
    </row>
    <row r="370" spans="1:25" x14ac:dyDescent="0.25">
      <c r="A370" s="8">
        <v>46287</v>
      </c>
      <c r="B370" s="16">
        <f>YEAR(Tabela32[[#This Row],[Data]])</f>
        <v>2026</v>
      </c>
      <c r="C370" s="16">
        <f>MONTH(Tabela32[[#This Row],[Data]])</f>
        <v>9</v>
      </c>
      <c r="D370" s="4" t="s">
        <v>29</v>
      </c>
      <c r="E370" s="4">
        <v>3</v>
      </c>
      <c r="F370" s="4" t="str">
        <f>IFERROR(VLOOKUP(Tabela32[[#This Row],[Placa]],Planilha2!$A$1:$B$12,2,0),"")</f>
        <v>Sandro</v>
      </c>
      <c r="G370" s="10">
        <v>7506.49</v>
      </c>
      <c r="H370" s="10">
        <v>202005.7</v>
      </c>
      <c r="I370" s="4">
        <v>1611</v>
      </c>
      <c r="J370" s="17">
        <f>IFERROR(Tabela32[[#This Row],[Valor Frete]]/Tabela32[[#This Row],[Valor Mercadoria]],"")</f>
        <v>3.7159793015741634E-2</v>
      </c>
      <c r="K370" s="11">
        <v>0.29166666666666669</v>
      </c>
      <c r="L370" s="15">
        <v>0.80902777777777779</v>
      </c>
      <c r="M370" s="15">
        <f>Tabela32[[#This Row],[Hr Chegada]]-Tabela32[[#This Row],[Hr Saida]]</f>
        <v>0.51736111111111116</v>
      </c>
      <c r="N370" s="4">
        <v>276025</v>
      </c>
      <c r="O370" s="4">
        <v>276067</v>
      </c>
      <c r="P370" s="4">
        <f>Tabela32[[#This Row],[Km Chegada]]-Tabela32[[#This Row],[Km Saída]]</f>
        <v>42</v>
      </c>
      <c r="Q370" s="4">
        <v>3</v>
      </c>
      <c r="R370" s="4">
        <v>1</v>
      </c>
      <c r="S370" s="4">
        <v>1</v>
      </c>
      <c r="T370" s="12">
        <f>Tabela32[[#This Row],[Entregas]]-Tabela32[[#This Row],[Realizadas]]</f>
        <v>0</v>
      </c>
      <c r="U370" s="18">
        <f>Tabela32[[#This Row],[Realizadas]]/Tabela32[[#This Row],[Entregas]]</f>
        <v>1</v>
      </c>
      <c r="V370" s="19" t="str">
        <f>IF(Tabela32[[#This Row],[% Entrega]]&gt;=96%,"Atendeu a Meta","Não Atendeu a Meta")</f>
        <v>Atendeu a Meta</v>
      </c>
      <c r="W370" s="4" t="s">
        <v>40</v>
      </c>
      <c r="X370" s="4">
        <v>0</v>
      </c>
      <c r="Y370" s="5">
        <v>0</v>
      </c>
    </row>
    <row r="371" spans="1:25" x14ac:dyDescent="0.25">
      <c r="A371" s="8">
        <v>46287</v>
      </c>
      <c r="B371" s="16">
        <f>YEAR(Tabela32[[#This Row],[Data]])</f>
        <v>2026</v>
      </c>
      <c r="C371" s="16">
        <f>MONTH(Tabela32[[#This Row],[Data]])</f>
        <v>9</v>
      </c>
      <c r="D371" s="4" t="s">
        <v>27</v>
      </c>
      <c r="E371" s="4">
        <v>1</v>
      </c>
      <c r="F371" s="4" t="str">
        <f>IFERROR(VLOOKUP(Tabela32[[#This Row],[Placa]],Planilha2!$A$1:$B$12,2,0),"")</f>
        <v>Rosinaldo</v>
      </c>
      <c r="G371" s="10">
        <v>4164.1000000000004</v>
      </c>
      <c r="H371" s="10">
        <v>43167.4</v>
      </c>
      <c r="I371" s="4">
        <v>778</v>
      </c>
      <c r="J371" s="17">
        <f>IFERROR(Tabela32[[#This Row],[Valor Frete]]/Tabela32[[#This Row],[Valor Mercadoria]],"")</f>
        <v>9.6463998295009665E-2</v>
      </c>
      <c r="K371" s="11">
        <v>0.29166666666666669</v>
      </c>
      <c r="L371" s="15">
        <v>0.66388888888888886</v>
      </c>
      <c r="M371" s="15">
        <f>Tabela32[[#This Row],[Hr Chegada]]-Tabela32[[#This Row],[Hr Saida]]</f>
        <v>0.37222222222222218</v>
      </c>
      <c r="N371" s="4">
        <v>291668</v>
      </c>
      <c r="O371" s="4">
        <v>291707</v>
      </c>
      <c r="P371" s="4">
        <f>Tabela32[[#This Row],[Km Chegada]]-Tabela32[[#This Row],[Km Saída]]</f>
        <v>39</v>
      </c>
      <c r="Q371" s="4">
        <v>155</v>
      </c>
      <c r="R371" s="4">
        <v>6</v>
      </c>
      <c r="S371" s="4">
        <v>6</v>
      </c>
      <c r="T371" s="12">
        <f>Tabela32[[#This Row],[Entregas]]-Tabela32[[#This Row],[Realizadas]]</f>
        <v>0</v>
      </c>
      <c r="U371" s="18">
        <f>Tabela32[[#This Row],[Realizadas]]/Tabela32[[#This Row],[Entregas]]</f>
        <v>1</v>
      </c>
      <c r="V371" s="19" t="str">
        <f>IF(Tabela32[[#This Row],[% Entrega]]&gt;=96%,"Atendeu a Meta","Não Atendeu a Meta")</f>
        <v>Atendeu a Meta</v>
      </c>
      <c r="W371" s="4" t="s">
        <v>43</v>
      </c>
      <c r="X371" s="4">
        <v>0</v>
      </c>
      <c r="Y371" s="5">
        <v>0</v>
      </c>
    </row>
    <row r="372" spans="1:25" x14ac:dyDescent="0.25">
      <c r="A372" s="8">
        <v>46287</v>
      </c>
      <c r="B372" s="16">
        <f>YEAR(Tabela32[[#This Row],[Data]])</f>
        <v>2026</v>
      </c>
      <c r="C372" s="16">
        <f>MONTH(Tabela32[[#This Row],[Data]])</f>
        <v>9</v>
      </c>
      <c r="D372" s="4" t="s">
        <v>35</v>
      </c>
      <c r="E372" s="4">
        <v>1</v>
      </c>
      <c r="F372" s="4" t="str">
        <f>IFERROR(VLOOKUP(Tabela32[[#This Row],[Placa]],Planilha2!$A$1:$B$12,2,0),"")</f>
        <v>Osvaldo</v>
      </c>
      <c r="G372" s="10">
        <v>6513.12</v>
      </c>
      <c r="H372" s="10">
        <v>54219.19</v>
      </c>
      <c r="I372" s="4">
        <v>229</v>
      </c>
      <c r="J372" s="17">
        <f>IFERROR(Tabela32[[#This Row],[Valor Frete]]/Tabela32[[#This Row],[Valor Mercadoria]],"")</f>
        <v>0.12012573408049806</v>
      </c>
      <c r="K372" s="11">
        <v>0.29166666666666669</v>
      </c>
      <c r="L372" s="15">
        <v>0.71666666666666667</v>
      </c>
      <c r="M372" s="15">
        <f>Tabela32[[#This Row],[Hr Chegada]]-Tabela32[[#This Row],[Hr Saida]]</f>
        <v>0.42499999999999999</v>
      </c>
      <c r="N372" s="4">
        <v>143560</v>
      </c>
      <c r="O372" s="4">
        <v>143701</v>
      </c>
      <c r="P372" s="4">
        <f>Tabela32[[#This Row],[Km Chegada]]-Tabela32[[#This Row],[Km Saída]]</f>
        <v>141</v>
      </c>
      <c r="Q372" s="4">
        <v>229</v>
      </c>
      <c r="R372" s="4">
        <v>10</v>
      </c>
      <c r="S372" s="4">
        <v>10</v>
      </c>
      <c r="T372" s="12">
        <f>Tabela32[[#This Row],[Entregas]]-Tabela32[[#This Row],[Realizadas]]</f>
        <v>0</v>
      </c>
      <c r="U372" s="18">
        <f>Tabela32[[#This Row],[Realizadas]]/Tabela32[[#This Row],[Entregas]]</f>
        <v>1</v>
      </c>
      <c r="V372" s="19" t="str">
        <f>IF(Tabela32[[#This Row],[% Entrega]]&gt;=96%,"Atendeu a Meta","Não Atendeu a Meta")</f>
        <v>Atendeu a Meta</v>
      </c>
      <c r="W372" s="4" t="s">
        <v>40</v>
      </c>
      <c r="X372" s="4">
        <v>4</v>
      </c>
      <c r="Y372" s="5" t="s">
        <v>85</v>
      </c>
    </row>
    <row r="373" spans="1:25" x14ac:dyDescent="0.25">
      <c r="A373" s="8">
        <v>46287</v>
      </c>
      <c r="B373" s="16">
        <f>YEAR(Tabela32[[#This Row],[Data]])</f>
        <v>2026</v>
      </c>
      <c r="C373" s="16">
        <f>MONTH(Tabela32[[#This Row],[Data]])</f>
        <v>9</v>
      </c>
      <c r="D373" s="4" t="s">
        <v>25</v>
      </c>
      <c r="E373" s="4">
        <v>3</v>
      </c>
      <c r="F373" s="4" t="str">
        <f>IFERROR(VLOOKUP(Tabela32[[#This Row],[Placa]],Planilha2!$A$1:$B$12,2,0),"")</f>
        <v>Gilberto</v>
      </c>
      <c r="G373" s="10">
        <v>503.65</v>
      </c>
      <c r="H373" s="10">
        <v>7881.12</v>
      </c>
      <c r="I373" s="4">
        <v>28</v>
      </c>
      <c r="J373" s="17">
        <f>IFERROR(Tabela32[[#This Row],[Valor Frete]]/Tabela32[[#This Row],[Valor Mercadoria]],"")</f>
        <v>6.3905891548409366E-2</v>
      </c>
      <c r="K373" s="11">
        <v>0.41666666666666669</v>
      </c>
      <c r="L373" s="15">
        <v>0.53125</v>
      </c>
      <c r="M373" s="15">
        <f>Tabela32[[#This Row],[Hr Chegada]]-Tabela32[[#This Row],[Hr Saida]]</f>
        <v>0.11458333333333331</v>
      </c>
      <c r="N373" s="4">
        <v>120182</v>
      </c>
      <c r="O373" s="4">
        <v>120198</v>
      </c>
      <c r="P373" s="4">
        <f>Tabela32[[#This Row],[Km Chegada]]-Tabela32[[#This Row],[Km Saída]]</f>
        <v>16</v>
      </c>
      <c r="Q373" s="4">
        <v>4</v>
      </c>
      <c r="R373" s="4">
        <v>2</v>
      </c>
      <c r="S373" s="4">
        <v>2</v>
      </c>
      <c r="T373" s="12">
        <f>Tabela32[[#This Row],[Entregas]]-Tabela32[[#This Row],[Realizadas]]</f>
        <v>0</v>
      </c>
      <c r="U373" s="18">
        <f>Tabela32[[#This Row],[Realizadas]]/Tabela32[[#This Row],[Entregas]]</f>
        <v>1</v>
      </c>
      <c r="V373" s="19" t="str">
        <f>IF(Tabela32[[#This Row],[% Entrega]]&gt;=96%,"Atendeu a Meta","Não Atendeu a Meta")</f>
        <v>Atendeu a Meta</v>
      </c>
      <c r="W373" s="4" t="s">
        <v>39</v>
      </c>
      <c r="X373" s="4">
        <v>0</v>
      </c>
      <c r="Y373" s="5">
        <v>0</v>
      </c>
    </row>
    <row r="374" spans="1:25" x14ac:dyDescent="0.25">
      <c r="A374" s="8">
        <v>46287</v>
      </c>
      <c r="B374" s="16">
        <f>YEAR(Tabela32[[#This Row],[Data]])</f>
        <v>2026</v>
      </c>
      <c r="C374" s="16">
        <f>MONTH(Tabela32[[#This Row],[Data]])</f>
        <v>9</v>
      </c>
      <c r="D374" s="4" t="s">
        <v>36</v>
      </c>
      <c r="E374" s="4">
        <v>5</v>
      </c>
      <c r="F374" s="4" t="str">
        <f>IFERROR(VLOOKUP(Tabela32[[#This Row],[Placa]],Planilha2!$A$1:$B$12,2,0),"")</f>
        <v>Heremilton</v>
      </c>
      <c r="G374" s="10">
        <v>34255.589999999997</v>
      </c>
      <c r="H374" s="10">
        <v>676663.59</v>
      </c>
      <c r="I374" s="4">
        <v>8307</v>
      </c>
      <c r="J374" s="17">
        <f>IFERROR(Tabela32[[#This Row],[Valor Frete]]/Tabela32[[#This Row],[Valor Mercadoria]],"")</f>
        <v>5.0624254808803879E-2</v>
      </c>
      <c r="K374" s="11">
        <v>0.27569444444444446</v>
      </c>
      <c r="L374" s="15">
        <v>0.64583333333333337</v>
      </c>
      <c r="M374" s="15">
        <f>Tabela32[[#This Row],[Hr Chegada]]-Tabela32[[#This Row],[Hr Saida]]</f>
        <v>0.37013888888888891</v>
      </c>
      <c r="N374" s="4">
        <v>366295</v>
      </c>
      <c r="O374" s="4">
        <v>366330</v>
      </c>
      <c r="P374" s="4">
        <f>Tabela32[[#This Row],[Km Chegada]]-Tabela32[[#This Row],[Km Saída]]</f>
        <v>35</v>
      </c>
      <c r="Q374" s="4">
        <v>1640</v>
      </c>
      <c r="R374" s="4">
        <v>10</v>
      </c>
      <c r="S374" s="4">
        <v>10</v>
      </c>
      <c r="T374" s="12">
        <f>Tabela32[[#This Row],[Entregas]]-Tabela32[[#This Row],[Realizadas]]</f>
        <v>0</v>
      </c>
      <c r="U374" s="18">
        <f>Tabela32[[#This Row],[Realizadas]]/Tabela32[[#This Row],[Entregas]]</f>
        <v>1</v>
      </c>
      <c r="V374" s="19" t="str">
        <f>IF(Tabela32[[#This Row],[% Entrega]]&gt;=96%,"Atendeu a Meta","Não Atendeu a Meta")</f>
        <v>Atendeu a Meta</v>
      </c>
      <c r="W374" s="4" t="s">
        <v>39</v>
      </c>
      <c r="X374" s="4">
        <v>0</v>
      </c>
      <c r="Y374" s="5">
        <v>0</v>
      </c>
    </row>
    <row r="375" spans="1:25" x14ac:dyDescent="0.25">
      <c r="A375" s="8">
        <v>46287</v>
      </c>
      <c r="B375" s="16">
        <f>YEAR(Tabela32[[#This Row],[Data]])</f>
        <v>2026</v>
      </c>
      <c r="C375" s="16">
        <f>MONTH(Tabela32[[#This Row],[Data]])</f>
        <v>9</v>
      </c>
      <c r="D375" s="4" t="s">
        <v>23</v>
      </c>
      <c r="E375" s="4">
        <v>1</v>
      </c>
      <c r="F375" s="4" t="str">
        <f>IFERROR(VLOOKUP(Tabela32[[#This Row],[Placa]],Planilha2!$A$1:$B$12,2,0),"")</f>
        <v>William</v>
      </c>
      <c r="G375" s="10">
        <v>6596.24</v>
      </c>
      <c r="H375" s="10">
        <v>24651.56</v>
      </c>
      <c r="I375" s="4">
        <v>743</v>
      </c>
      <c r="J375" s="17">
        <f>IFERROR(Tabela32[[#This Row],[Valor Frete]]/Tabela32[[#This Row],[Valor Mercadoria]],"")</f>
        <v>0.2675790091986065</v>
      </c>
      <c r="K375" s="11">
        <v>0.3125</v>
      </c>
      <c r="L375" s="15">
        <v>0.72916666666666663</v>
      </c>
      <c r="M375" s="15">
        <f>Tabela32[[#This Row],[Hr Chegada]]-Tabela32[[#This Row],[Hr Saida]]</f>
        <v>0.41666666666666663</v>
      </c>
      <c r="N375" s="4">
        <v>125748</v>
      </c>
      <c r="O375" s="4">
        <v>125778</v>
      </c>
      <c r="P375" s="4">
        <f>Tabela32[[#This Row],[Km Chegada]]-Tabela32[[#This Row],[Km Saída]]</f>
        <v>30</v>
      </c>
      <c r="Q375" s="4">
        <v>366</v>
      </c>
      <c r="R375" s="4">
        <v>1</v>
      </c>
      <c r="S375" s="4">
        <v>1</v>
      </c>
      <c r="T375" s="12">
        <f>Tabela32[[#This Row],[Entregas]]-Tabela32[[#This Row],[Realizadas]]</f>
        <v>0</v>
      </c>
      <c r="U375" s="18">
        <f>Tabela32[[#This Row],[Realizadas]]/Tabela32[[#This Row],[Entregas]]</f>
        <v>1</v>
      </c>
      <c r="V375" s="19" t="str">
        <f>IF(Tabela32[[#This Row],[% Entrega]]&gt;=96%,"Atendeu a Meta","Não Atendeu a Meta")</f>
        <v>Atendeu a Meta</v>
      </c>
      <c r="W375" s="4" t="s">
        <v>40</v>
      </c>
      <c r="X375" s="4">
        <v>0</v>
      </c>
      <c r="Y375" s="5">
        <v>0</v>
      </c>
    </row>
    <row r="376" spans="1:25" x14ac:dyDescent="0.25">
      <c r="A376" s="8">
        <v>46287</v>
      </c>
      <c r="B376" s="16">
        <f>YEAR(Tabela32[[#This Row],[Data]])</f>
        <v>2026</v>
      </c>
      <c r="C376" s="16">
        <f>MONTH(Tabela32[[#This Row],[Data]])</f>
        <v>9</v>
      </c>
      <c r="D376" s="4" t="s">
        <v>33</v>
      </c>
      <c r="E376" s="4">
        <v>1</v>
      </c>
      <c r="F376" s="4" t="str">
        <f>IFERROR(VLOOKUP(Tabela32[[#This Row],[Placa]],Planilha2!$A$1:$B$12,2,0),"")</f>
        <v>Paulo</v>
      </c>
      <c r="G376" s="10">
        <v>1974.29</v>
      </c>
      <c r="H376" s="10">
        <v>76472.990000000005</v>
      </c>
      <c r="I376" s="4">
        <v>195</v>
      </c>
      <c r="J376" s="17">
        <f>IFERROR(Tabela32[[#This Row],[Valor Frete]]/Tabela32[[#This Row],[Valor Mercadoria]],"")</f>
        <v>2.5816827614560379E-2</v>
      </c>
      <c r="K376" s="11">
        <v>0.29583333333333334</v>
      </c>
      <c r="L376" s="15">
        <v>0.5625</v>
      </c>
      <c r="M376" s="15">
        <f>Tabela32[[#This Row],[Hr Chegada]]-Tabela32[[#This Row],[Hr Saida]]</f>
        <v>0.26666666666666666</v>
      </c>
      <c r="N376" s="4">
        <v>155978</v>
      </c>
      <c r="O376" s="4">
        <v>156013</v>
      </c>
      <c r="P376" s="4">
        <f>Tabela32[[#This Row],[Km Chegada]]-Tabela32[[#This Row],[Km Saída]]</f>
        <v>35</v>
      </c>
      <c r="Q376" s="4">
        <v>63</v>
      </c>
      <c r="R376" s="4">
        <v>3</v>
      </c>
      <c r="S376" s="4">
        <v>3</v>
      </c>
      <c r="T376" s="12">
        <f>Tabela32[[#This Row],[Entregas]]-Tabela32[[#This Row],[Realizadas]]</f>
        <v>0</v>
      </c>
      <c r="U376" s="18">
        <f>Tabela32[[#This Row],[Realizadas]]/Tabela32[[#This Row],[Entregas]]</f>
        <v>1</v>
      </c>
      <c r="V376" s="19" t="str">
        <f>IF(Tabela32[[#This Row],[% Entrega]]&gt;=96%,"Atendeu a Meta","Não Atendeu a Meta")</f>
        <v>Atendeu a Meta</v>
      </c>
      <c r="W376" s="4" t="s">
        <v>40</v>
      </c>
      <c r="X376" s="4">
        <v>0</v>
      </c>
      <c r="Y376" s="5">
        <v>0</v>
      </c>
    </row>
    <row r="377" spans="1:25" x14ac:dyDescent="0.25">
      <c r="A377" s="8">
        <v>46287</v>
      </c>
      <c r="B377" s="16">
        <f>YEAR(Tabela32[[#This Row],[Data]])</f>
        <v>2026</v>
      </c>
      <c r="C377" s="16">
        <f>MONTH(Tabela32[[#This Row],[Data]])</f>
        <v>9</v>
      </c>
      <c r="D377" s="4" t="s">
        <v>53</v>
      </c>
      <c r="E377" s="4">
        <v>3</v>
      </c>
      <c r="F377" s="4" t="str">
        <f>IFERROR(VLOOKUP(Tabela32[[#This Row],[Placa]],Planilha2!$A$1:$B$12,2,0),"")</f>
        <v>Arnaldo</v>
      </c>
      <c r="G377" s="10">
        <v>7055.93</v>
      </c>
      <c r="H377" s="10">
        <v>114579.97</v>
      </c>
      <c r="I377" s="4">
        <v>1549</v>
      </c>
      <c r="J377" s="17">
        <f>IFERROR(Tabela32[[#This Row],[Valor Frete]]/Tabela32[[#This Row],[Valor Mercadoria]],"")</f>
        <v>6.158083301994232E-2</v>
      </c>
      <c r="K377" s="11">
        <v>0.2986111111111111</v>
      </c>
      <c r="L377" s="15">
        <v>0.81805555555555554</v>
      </c>
      <c r="M377" s="15">
        <f>Tabela32[[#This Row],[Hr Chegada]]-Tabela32[[#This Row],[Hr Saida]]</f>
        <v>0.51944444444444438</v>
      </c>
      <c r="N377" s="4">
        <v>13972</v>
      </c>
      <c r="O377" s="4">
        <v>14008</v>
      </c>
      <c r="P377" s="4">
        <f>Tabela32[[#This Row],[Km Chegada]]-Tabela32[[#This Row],[Km Saída]]</f>
        <v>36</v>
      </c>
      <c r="Q377" s="4">
        <v>301</v>
      </c>
      <c r="R377" s="4">
        <v>22</v>
      </c>
      <c r="S377" s="4">
        <v>18</v>
      </c>
      <c r="T377" s="12">
        <f>Tabela32[[#This Row],[Entregas]]-Tabela32[[#This Row],[Realizadas]]</f>
        <v>4</v>
      </c>
      <c r="U377" s="18">
        <f>Tabela32[[#This Row],[Realizadas]]/Tabela32[[#This Row],[Entregas]]</f>
        <v>0.81818181818181823</v>
      </c>
      <c r="V377" s="19" t="str">
        <f>IF(Tabela32[[#This Row],[% Entrega]]&gt;=96%,"Atendeu a Meta","Não Atendeu a Meta")</f>
        <v>Não Atendeu a Meta</v>
      </c>
      <c r="W377" s="4" t="s">
        <v>39</v>
      </c>
      <c r="X377" s="4">
        <v>5</v>
      </c>
      <c r="Y377" s="5" t="s">
        <v>86</v>
      </c>
    </row>
    <row r="378" spans="1:25" x14ac:dyDescent="0.25">
      <c r="A378" s="8">
        <v>46287</v>
      </c>
      <c r="B378" s="16">
        <f>YEAR(Tabela32[[#This Row],[Data]])</f>
        <v>2026</v>
      </c>
      <c r="C378" s="16">
        <f>MONTH(Tabela32[[#This Row],[Data]])</f>
        <v>9</v>
      </c>
      <c r="D378" s="4" t="s">
        <v>28</v>
      </c>
      <c r="E378" s="4">
        <v>11</v>
      </c>
      <c r="F378" s="4" t="str">
        <f>IFERROR(VLOOKUP(Tabela32[[#This Row],[Placa]],Planilha2!$A$1:$B$12,2,0),"")</f>
        <v>Edilson</v>
      </c>
      <c r="G378" s="10">
        <v>30371.46</v>
      </c>
      <c r="H378" s="10">
        <v>407002.73</v>
      </c>
      <c r="I378" s="4">
        <v>6712</v>
      </c>
      <c r="J378" s="17">
        <f>IFERROR(Tabela32[[#This Row],[Valor Frete]]/Tabela32[[#This Row],[Valor Mercadoria]],"")</f>
        <v>7.4622251305292223E-2</v>
      </c>
      <c r="K378" s="11">
        <v>0.27083333333333331</v>
      </c>
      <c r="L378" s="15">
        <v>0.82430555555555551</v>
      </c>
      <c r="M378" s="15">
        <f>Tabela32[[#This Row],[Hr Chegada]]-Tabela32[[#This Row],[Hr Saida]]</f>
        <v>0.55347222222222214</v>
      </c>
      <c r="N378" s="4">
        <v>105897</v>
      </c>
      <c r="O378" s="4">
        <v>106073</v>
      </c>
      <c r="P378" s="4">
        <f>Tabela32[[#This Row],[Km Chegada]]-Tabela32[[#This Row],[Km Saída]]</f>
        <v>176</v>
      </c>
      <c r="Q378" s="4">
        <v>951</v>
      </c>
      <c r="R378" s="4">
        <v>23</v>
      </c>
      <c r="S378" s="4">
        <v>23</v>
      </c>
      <c r="T378" s="12">
        <f>Tabela32[[#This Row],[Entregas]]-Tabela32[[#This Row],[Realizadas]]</f>
        <v>0</v>
      </c>
      <c r="U378" s="18">
        <f>Tabela32[[#This Row],[Realizadas]]/Tabela32[[#This Row],[Entregas]]</f>
        <v>1</v>
      </c>
      <c r="V378" s="19" t="str">
        <f>IF(Tabela32[[#This Row],[% Entrega]]&gt;=96%,"Atendeu a Meta","Não Atendeu a Meta")</f>
        <v>Atendeu a Meta</v>
      </c>
      <c r="W378" s="4" t="s">
        <v>41</v>
      </c>
      <c r="X378" s="4">
        <v>0</v>
      </c>
      <c r="Y378" s="5">
        <v>0</v>
      </c>
    </row>
    <row r="379" spans="1:25" x14ac:dyDescent="0.25">
      <c r="A379" s="8">
        <v>46287</v>
      </c>
      <c r="B379" s="16">
        <f>YEAR(Tabela32[[#This Row],[Data]])</f>
        <v>2026</v>
      </c>
      <c r="C379" s="16">
        <f>MONTH(Tabela32[[#This Row],[Data]])</f>
        <v>9</v>
      </c>
      <c r="D379" s="4" t="s">
        <v>33</v>
      </c>
      <c r="E379" s="4">
        <v>1</v>
      </c>
      <c r="F379" s="4" t="str">
        <f>IFERROR(VLOOKUP(Tabela32[[#This Row],[Placa]],Planilha2!$A$1:$B$12,2,0),"")</f>
        <v>Paulo</v>
      </c>
      <c r="G379" s="10">
        <v>1536.76</v>
      </c>
      <c r="H379" s="10">
        <v>27858.75</v>
      </c>
      <c r="I379" s="4">
        <v>286</v>
      </c>
      <c r="J379" s="17">
        <f>IFERROR(Tabela32[[#This Row],[Valor Frete]]/Tabela32[[#This Row],[Valor Mercadoria]],"")</f>
        <v>5.5162561134293533E-2</v>
      </c>
      <c r="K379" s="11">
        <v>0.59375</v>
      </c>
      <c r="L379" s="15">
        <v>0.72569444444444442</v>
      </c>
      <c r="M379" s="15">
        <f>Tabela32[[#This Row],[Hr Chegada]]-Tabela32[[#This Row],[Hr Saida]]</f>
        <v>0.13194444444444442</v>
      </c>
      <c r="N379" s="4">
        <v>156013</v>
      </c>
      <c r="O379" s="4">
        <v>156044</v>
      </c>
      <c r="P379" s="4">
        <f>Tabela32[[#This Row],[Km Chegada]]-Tabela32[[#This Row],[Km Saída]]</f>
        <v>31</v>
      </c>
      <c r="Q379" s="4">
        <v>32</v>
      </c>
      <c r="R379" s="4">
        <v>6</v>
      </c>
      <c r="S379" s="4">
        <v>6</v>
      </c>
      <c r="T379" s="12">
        <f>Tabela32[[#This Row],[Entregas]]-Tabela32[[#This Row],[Realizadas]]</f>
        <v>0</v>
      </c>
      <c r="U379" s="18">
        <f>Tabela32[[#This Row],[Realizadas]]/Tabela32[[#This Row],[Entregas]]</f>
        <v>1</v>
      </c>
      <c r="V379" s="19" t="str">
        <f>IF(Tabela32[[#This Row],[% Entrega]]&gt;=96%,"Atendeu a Meta","Não Atendeu a Meta")</f>
        <v>Atendeu a Meta</v>
      </c>
      <c r="W379" s="4" t="s">
        <v>43</v>
      </c>
      <c r="X379" s="4">
        <v>0</v>
      </c>
      <c r="Y379" s="5">
        <v>0</v>
      </c>
    </row>
    <row r="380" spans="1:25" x14ac:dyDescent="0.25">
      <c r="A380" s="8">
        <v>46287</v>
      </c>
      <c r="B380" s="16">
        <f>YEAR(Tabela32[[#This Row],[Data]])</f>
        <v>2026</v>
      </c>
      <c r="C380" s="16">
        <f>MONTH(Tabela32[[#This Row],[Data]])</f>
        <v>9</v>
      </c>
      <c r="D380" s="4" t="s">
        <v>22</v>
      </c>
      <c r="E380" s="4">
        <v>2</v>
      </c>
      <c r="F380" s="4" t="str">
        <f>IFERROR(VLOOKUP(Tabela32[[#This Row],[Placa]],Planilha2!$A$1:$B$12,2,0),"")</f>
        <v>Juscelino</v>
      </c>
      <c r="G380" s="10">
        <v>8171.1</v>
      </c>
      <c r="H380" s="10">
        <v>181524.78</v>
      </c>
      <c r="I380" s="4">
        <v>1715</v>
      </c>
      <c r="J380" s="17">
        <f>IFERROR(Tabela32[[#This Row],[Valor Frete]]/Tabela32[[#This Row],[Valor Mercadoria]],"")</f>
        <v>4.5013689040140969E-2</v>
      </c>
      <c r="K380" s="11">
        <v>0.27083333333333331</v>
      </c>
      <c r="L380" s="15">
        <v>0.70833333333333337</v>
      </c>
      <c r="M380" s="15">
        <f>Tabela32[[#This Row],[Hr Chegada]]-Tabela32[[#This Row],[Hr Saida]]</f>
        <v>0.43750000000000006</v>
      </c>
      <c r="N380" s="4">
        <v>305309</v>
      </c>
      <c r="O380" s="4">
        <v>305368</v>
      </c>
      <c r="P380" s="4">
        <f>Tabela32[[#This Row],[Km Chegada]]-Tabela32[[#This Row],[Km Saída]]</f>
        <v>59</v>
      </c>
      <c r="Q380" s="4">
        <v>299</v>
      </c>
      <c r="R380" s="4">
        <v>27</v>
      </c>
      <c r="S380" s="4">
        <v>27</v>
      </c>
      <c r="T380" s="12">
        <f>Tabela32[[#This Row],[Entregas]]-Tabela32[[#This Row],[Realizadas]]</f>
        <v>0</v>
      </c>
      <c r="U380" s="18">
        <f>Tabela32[[#This Row],[Realizadas]]/Tabela32[[#This Row],[Entregas]]</f>
        <v>1</v>
      </c>
      <c r="V380" s="19" t="str">
        <f>IF(Tabela32[[#This Row],[% Entrega]]&gt;=96%,"Atendeu a Meta","Não Atendeu a Meta")</f>
        <v>Atendeu a Meta</v>
      </c>
      <c r="W380" s="4" t="s">
        <v>39</v>
      </c>
      <c r="X380" s="4">
        <v>0</v>
      </c>
      <c r="Y380" s="5">
        <v>0</v>
      </c>
    </row>
    <row r="381" spans="1:25" x14ac:dyDescent="0.25">
      <c r="A381" s="8">
        <v>46288</v>
      </c>
      <c r="B381" s="16">
        <f>YEAR(Tabela32[[#This Row],[Data]])</f>
        <v>2026</v>
      </c>
      <c r="C381" s="16">
        <f>MONTH(Tabela32[[#This Row],[Data]])</f>
        <v>9</v>
      </c>
      <c r="D381" s="4" t="s">
        <v>27</v>
      </c>
      <c r="E381" s="4">
        <v>1</v>
      </c>
      <c r="F381" s="4" t="str">
        <f>IFERROR(VLOOKUP(Tabela32[[#This Row],[Placa]],Planilha2!$A$1:$B$12,2,0),"")</f>
        <v>Rosinaldo</v>
      </c>
      <c r="G381" s="10">
        <v>11813.92</v>
      </c>
      <c r="H381" s="10">
        <v>564102.5</v>
      </c>
      <c r="I381" s="4">
        <v>1127</v>
      </c>
      <c r="J381" s="17">
        <f>IFERROR(Tabela32[[#This Row],[Valor Frete]]/Tabela32[[#This Row],[Valor Mercadoria]],"")</f>
        <v>2.09428605616887E-2</v>
      </c>
      <c r="K381" s="11">
        <v>0.29166666666666669</v>
      </c>
      <c r="L381" s="15">
        <v>0.73611111111111116</v>
      </c>
      <c r="M381" s="15">
        <f>Tabela32[[#This Row],[Hr Chegada]]-Tabela32[[#This Row],[Hr Saida]]</f>
        <v>0.44444444444444448</v>
      </c>
      <c r="N381" s="4">
        <v>291707</v>
      </c>
      <c r="O381" s="4">
        <v>291751</v>
      </c>
      <c r="P381" s="4">
        <f>Tabela32[[#This Row],[Km Chegada]]-Tabela32[[#This Row],[Km Saída]]</f>
        <v>44</v>
      </c>
      <c r="Q381" s="4">
        <v>5</v>
      </c>
      <c r="R381" s="4">
        <v>1</v>
      </c>
      <c r="S381" s="4">
        <v>1</v>
      </c>
      <c r="T381" s="12">
        <f>Tabela32[[#This Row],[Entregas]]-Tabela32[[#This Row],[Realizadas]]</f>
        <v>0</v>
      </c>
      <c r="U381" s="18">
        <f>Tabela32[[#This Row],[Realizadas]]/Tabela32[[#This Row],[Entregas]]</f>
        <v>1</v>
      </c>
      <c r="V381" s="19" t="str">
        <f>IF(Tabela32[[#This Row],[% Entrega]]&gt;=96%,"Atendeu a Meta","Não Atendeu a Meta")</f>
        <v>Atendeu a Meta</v>
      </c>
      <c r="W381" s="4" t="s">
        <v>40</v>
      </c>
      <c r="X381" s="4">
        <v>0</v>
      </c>
      <c r="Y381" s="5">
        <v>0</v>
      </c>
    </row>
    <row r="382" spans="1:25" x14ac:dyDescent="0.25">
      <c r="A382" s="8">
        <v>46288</v>
      </c>
      <c r="B382" s="16">
        <f>YEAR(Tabela32[[#This Row],[Data]])</f>
        <v>2026</v>
      </c>
      <c r="C382" s="16">
        <f>MONTH(Tabela32[[#This Row],[Data]])</f>
        <v>9</v>
      </c>
      <c r="D382" s="4" t="s">
        <v>35</v>
      </c>
      <c r="E382" s="4">
        <v>1</v>
      </c>
      <c r="F382" s="4" t="str">
        <f>IFERROR(VLOOKUP(Tabela32[[#This Row],[Placa]],Planilha2!$A$1:$B$12,2,0),"")</f>
        <v>Osvaldo</v>
      </c>
      <c r="G382" s="10">
        <v>2738.5</v>
      </c>
      <c r="H382" s="10">
        <v>132086.92000000001</v>
      </c>
      <c r="I382" s="4">
        <v>411</v>
      </c>
      <c r="J382" s="17">
        <f>IFERROR(Tabela32[[#This Row],[Valor Frete]]/Tabela32[[#This Row],[Valor Mercadoria]],"")</f>
        <v>2.073256004455248E-2</v>
      </c>
      <c r="K382" s="11">
        <v>0.29166666666666669</v>
      </c>
      <c r="L382" s="15">
        <v>0.46736111111111112</v>
      </c>
      <c r="M382" s="15">
        <f>Tabela32[[#This Row],[Hr Chegada]]-Tabela32[[#This Row],[Hr Saida]]</f>
        <v>0.17569444444444443</v>
      </c>
      <c r="N382" s="4">
        <v>143702</v>
      </c>
      <c r="O382" s="4">
        <v>143739</v>
      </c>
      <c r="P382" s="4">
        <f>Tabela32[[#This Row],[Km Chegada]]-Tabela32[[#This Row],[Km Saída]]</f>
        <v>37</v>
      </c>
      <c r="Q382" s="4">
        <v>136</v>
      </c>
      <c r="R382" s="4">
        <v>3</v>
      </c>
      <c r="S382" s="4">
        <v>3</v>
      </c>
      <c r="T382" s="12">
        <f>Tabela32[[#This Row],[Entregas]]-Tabela32[[#This Row],[Realizadas]]</f>
        <v>0</v>
      </c>
      <c r="U382" s="18">
        <f>Tabela32[[#This Row],[Realizadas]]/Tabela32[[#This Row],[Entregas]]</f>
        <v>1</v>
      </c>
      <c r="V382" s="19" t="str">
        <f>IF(Tabela32[[#This Row],[% Entrega]]&gt;=96%,"Atendeu a Meta","Não Atendeu a Meta")</f>
        <v>Atendeu a Meta</v>
      </c>
      <c r="W382" s="4" t="s">
        <v>40</v>
      </c>
      <c r="X382" s="4">
        <v>0</v>
      </c>
      <c r="Y382" s="5">
        <v>0</v>
      </c>
    </row>
    <row r="383" spans="1:25" x14ac:dyDescent="0.25">
      <c r="A383" s="8">
        <v>46288</v>
      </c>
      <c r="B383" s="16">
        <f>YEAR(Tabela32[[#This Row],[Data]])</f>
        <v>2026</v>
      </c>
      <c r="C383" s="16">
        <f>MONTH(Tabela32[[#This Row],[Data]])</f>
        <v>9</v>
      </c>
      <c r="D383" s="4" t="s">
        <v>29</v>
      </c>
      <c r="E383" s="4">
        <v>1</v>
      </c>
      <c r="F383" s="4" t="str">
        <f>IFERROR(VLOOKUP(Tabela32[[#This Row],[Placa]],Planilha2!$A$1:$B$12,2,0),"")</f>
        <v>Sandro</v>
      </c>
      <c r="G383" s="10">
        <v>2511.91</v>
      </c>
      <c r="H383" s="10">
        <v>27293.42</v>
      </c>
      <c r="I383" s="4">
        <v>344</v>
      </c>
      <c r="J383" s="17">
        <f>IFERROR(Tabela32[[#This Row],[Valor Frete]]/Tabela32[[#This Row],[Valor Mercadoria]],"")</f>
        <v>9.203353775378828E-2</v>
      </c>
      <c r="K383" s="11">
        <v>0.29166666666666669</v>
      </c>
      <c r="L383" s="15">
        <v>0.61111111111111116</v>
      </c>
      <c r="M383" s="15">
        <f>Tabela32[[#This Row],[Hr Chegada]]-Tabela32[[#This Row],[Hr Saida]]</f>
        <v>0.31944444444444448</v>
      </c>
      <c r="N383" s="4">
        <v>276067</v>
      </c>
      <c r="O383" s="4">
        <v>276205</v>
      </c>
      <c r="P383" s="4">
        <f>Tabela32[[#This Row],[Km Chegada]]-Tabela32[[#This Row],[Km Saída]]</f>
        <v>138</v>
      </c>
      <c r="Q383" s="4">
        <v>71</v>
      </c>
      <c r="R383" s="4">
        <v>5</v>
      </c>
      <c r="S383" s="4">
        <v>5</v>
      </c>
      <c r="T383" s="12">
        <f>Tabela32[[#This Row],[Entregas]]-Tabela32[[#This Row],[Realizadas]]</f>
        <v>0</v>
      </c>
      <c r="U383" s="18">
        <f>Tabela32[[#This Row],[Realizadas]]/Tabela32[[#This Row],[Entregas]]</f>
        <v>1</v>
      </c>
      <c r="V383" s="19" t="str">
        <f>IF(Tabela32[[#This Row],[% Entrega]]&gt;=96%,"Atendeu a Meta","Não Atendeu a Meta")</f>
        <v>Atendeu a Meta</v>
      </c>
      <c r="W383" s="4" t="s">
        <v>40</v>
      </c>
      <c r="X383" s="4">
        <v>0</v>
      </c>
      <c r="Y383" s="5">
        <v>0</v>
      </c>
    </row>
    <row r="384" spans="1:25" x14ac:dyDescent="0.25">
      <c r="A384" s="8">
        <v>46288</v>
      </c>
      <c r="B384" s="16">
        <f>YEAR(Tabela32[[#This Row],[Data]])</f>
        <v>2026</v>
      </c>
      <c r="C384" s="16">
        <f>MONTH(Tabela32[[#This Row],[Data]])</f>
        <v>9</v>
      </c>
      <c r="D384" s="4" t="s">
        <v>23</v>
      </c>
      <c r="E384" s="4">
        <v>11</v>
      </c>
      <c r="F384" s="4" t="str">
        <f>IFERROR(VLOOKUP(Tabela32[[#This Row],[Placa]],Planilha2!$A$1:$B$12,2,0),"")</f>
        <v>William</v>
      </c>
      <c r="G384" s="10">
        <v>9796.26</v>
      </c>
      <c r="H384" s="10">
        <v>171667.59</v>
      </c>
      <c r="I384" s="4">
        <v>1400</v>
      </c>
      <c r="J384" s="17">
        <f>IFERROR(Tabela32[[#This Row],[Valor Frete]]/Tabela32[[#This Row],[Valor Mercadoria]],"")</f>
        <v>5.7065285299339269E-2</v>
      </c>
      <c r="K384" s="11">
        <v>0.29166666666666669</v>
      </c>
      <c r="L384" s="15">
        <v>0.76388888888888884</v>
      </c>
      <c r="M384" s="15">
        <f>Tabela32[[#This Row],[Hr Chegada]]-Tabela32[[#This Row],[Hr Saida]]</f>
        <v>0.47222222222222215</v>
      </c>
      <c r="N384" s="4">
        <v>125779</v>
      </c>
      <c r="O384" s="4">
        <v>125926</v>
      </c>
      <c r="P384" s="4">
        <f>Tabela32[[#This Row],[Km Chegada]]-Tabela32[[#This Row],[Km Saída]]</f>
        <v>147</v>
      </c>
      <c r="Q384" s="4">
        <v>217</v>
      </c>
      <c r="R384" s="4">
        <v>26</v>
      </c>
      <c r="S384" s="4">
        <v>26</v>
      </c>
      <c r="T384" s="12">
        <f>Tabela32[[#This Row],[Entregas]]-Tabela32[[#This Row],[Realizadas]]</f>
        <v>0</v>
      </c>
      <c r="U384" s="18">
        <f>Tabela32[[#This Row],[Realizadas]]/Tabela32[[#This Row],[Entregas]]</f>
        <v>1</v>
      </c>
      <c r="V384" s="19" t="str">
        <f>IF(Tabela32[[#This Row],[% Entrega]]&gt;=96%,"Atendeu a Meta","Não Atendeu a Meta")</f>
        <v>Atendeu a Meta</v>
      </c>
      <c r="W384" s="4" t="s">
        <v>41</v>
      </c>
      <c r="X384" s="4">
        <v>1</v>
      </c>
      <c r="Y384" s="5">
        <v>42</v>
      </c>
    </row>
    <row r="385" spans="1:25" x14ac:dyDescent="0.25">
      <c r="A385" s="8">
        <v>46288</v>
      </c>
      <c r="B385" s="16">
        <f>YEAR(Tabela32[[#This Row],[Data]])</f>
        <v>2026</v>
      </c>
      <c r="C385" s="16">
        <f>MONTH(Tabela32[[#This Row],[Data]])</f>
        <v>9</v>
      </c>
      <c r="D385" s="4" t="s">
        <v>35</v>
      </c>
      <c r="E385" s="4">
        <v>1</v>
      </c>
      <c r="F385" s="4" t="str">
        <f>IFERROR(VLOOKUP(Tabela32[[#This Row],[Placa]],Planilha2!$A$1:$B$12,2,0),"")</f>
        <v>Osvaldo</v>
      </c>
      <c r="G385" s="10">
        <v>849.66</v>
      </c>
      <c r="H385" s="10">
        <v>16194.12</v>
      </c>
      <c r="I385" s="4">
        <v>510</v>
      </c>
      <c r="J385" s="17">
        <f>IFERROR(Tabela32[[#This Row],[Valor Frete]]/Tabela32[[#This Row],[Valor Mercadoria]],"")</f>
        <v>5.2467191795540602E-2</v>
      </c>
      <c r="K385" s="11">
        <v>0.47638888888888886</v>
      </c>
      <c r="L385" s="15">
        <v>0.72291666666666665</v>
      </c>
      <c r="M385" s="15">
        <f>Tabela32[[#This Row],[Hr Chegada]]-Tabela32[[#This Row],[Hr Saida]]</f>
        <v>0.24652777777777779</v>
      </c>
      <c r="N385" s="4">
        <v>143739</v>
      </c>
      <c r="O385" s="4">
        <v>143759</v>
      </c>
      <c r="P385" s="4">
        <f>Tabela32[[#This Row],[Km Chegada]]-Tabela32[[#This Row],[Km Saída]]</f>
        <v>20</v>
      </c>
      <c r="Q385" s="4">
        <v>109</v>
      </c>
      <c r="R385" s="4">
        <v>4</v>
      </c>
      <c r="S385" s="4">
        <v>4</v>
      </c>
      <c r="T385" s="12">
        <f>Tabela32[[#This Row],[Entregas]]-Tabela32[[#This Row],[Realizadas]]</f>
        <v>0</v>
      </c>
      <c r="U385" s="18">
        <f>Tabela32[[#This Row],[Realizadas]]/Tabela32[[#This Row],[Entregas]]</f>
        <v>1</v>
      </c>
      <c r="V385" s="19" t="str">
        <f>IF(Tabela32[[#This Row],[% Entrega]]&gt;=96%,"Atendeu a Meta","Não Atendeu a Meta")</f>
        <v>Atendeu a Meta</v>
      </c>
      <c r="W385" s="4" t="s">
        <v>39</v>
      </c>
      <c r="X385" s="4">
        <v>4</v>
      </c>
      <c r="Y385" s="5" t="s">
        <v>87</v>
      </c>
    </row>
    <row r="386" spans="1:25" x14ac:dyDescent="0.25">
      <c r="A386" s="8">
        <v>46288</v>
      </c>
      <c r="B386" s="16">
        <f>YEAR(Tabela32[[#This Row],[Data]])</f>
        <v>2026</v>
      </c>
      <c r="C386" s="16">
        <f>MONTH(Tabela32[[#This Row],[Data]])</f>
        <v>9</v>
      </c>
      <c r="D386" s="4" t="s">
        <v>31</v>
      </c>
      <c r="E386" s="4">
        <v>1</v>
      </c>
      <c r="F386" s="4" t="str">
        <f>IFERROR(VLOOKUP(Tabela32[[#This Row],[Placa]],Planilha2!$A$1:$B$12,2,0),"")</f>
        <v>Jerson</v>
      </c>
      <c r="G386" s="10">
        <v>4931.01</v>
      </c>
      <c r="H386" s="10">
        <v>78148.53</v>
      </c>
      <c r="I386" s="4">
        <v>1048</v>
      </c>
      <c r="J386" s="17">
        <f>IFERROR(Tabela32[[#This Row],[Valor Frete]]/Tabela32[[#This Row],[Valor Mercadoria]],"")</f>
        <v>6.3097923914883627E-2</v>
      </c>
      <c r="K386" s="11">
        <v>0.30902777777777779</v>
      </c>
      <c r="L386" s="15">
        <v>0.77916666666666667</v>
      </c>
      <c r="M386" s="15">
        <f>Tabela32[[#This Row],[Hr Chegada]]-Tabela32[[#This Row],[Hr Saida]]</f>
        <v>0.47013888888888888</v>
      </c>
      <c r="N386" s="4">
        <v>280891</v>
      </c>
      <c r="O386" s="4">
        <v>280977</v>
      </c>
      <c r="P386" s="4">
        <f>Tabela32[[#This Row],[Km Chegada]]-Tabela32[[#This Row],[Km Saída]]</f>
        <v>86</v>
      </c>
      <c r="Q386" s="4">
        <v>94</v>
      </c>
      <c r="R386" s="4">
        <v>18</v>
      </c>
      <c r="S386" s="4">
        <v>18</v>
      </c>
      <c r="T386" s="12">
        <f>Tabela32[[#This Row],[Entregas]]-Tabela32[[#This Row],[Realizadas]]</f>
        <v>0</v>
      </c>
      <c r="U386" s="18">
        <f>Tabela32[[#This Row],[Realizadas]]/Tabela32[[#This Row],[Entregas]]</f>
        <v>1</v>
      </c>
      <c r="V386" s="19" t="str">
        <f>IF(Tabela32[[#This Row],[% Entrega]]&gt;=96%,"Atendeu a Meta","Não Atendeu a Meta")</f>
        <v>Atendeu a Meta</v>
      </c>
      <c r="W386" s="4" t="s">
        <v>39</v>
      </c>
      <c r="X386" s="4">
        <v>0</v>
      </c>
      <c r="Y386" s="5">
        <v>0</v>
      </c>
    </row>
    <row r="387" spans="1:25" x14ac:dyDescent="0.25">
      <c r="A387" s="8">
        <v>46288</v>
      </c>
      <c r="B387" s="16">
        <f>YEAR(Tabela32[[#This Row],[Data]])</f>
        <v>2026</v>
      </c>
      <c r="C387" s="16">
        <f>MONTH(Tabela32[[#This Row],[Data]])</f>
        <v>9</v>
      </c>
      <c r="D387" s="4" t="s">
        <v>53</v>
      </c>
      <c r="E387" s="4">
        <v>3</v>
      </c>
      <c r="F387" s="4" t="str">
        <f>IFERROR(VLOOKUP(Tabela32[[#This Row],[Placa]],Planilha2!$A$1:$B$12,2,0),"")</f>
        <v>Arnaldo</v>
      </c>
      <c r="G387" s="10">
        <v>14040.59</v>
      </c>
      <c r="H387" s="10">
        <v>84411.99</v>
      </c>
      <c r="I387" s="4">
        <v>5971</v>
      </c>
      <c r="J387" s="17">
        <f>IFERROR(Tabela32[[#This Row],[Valor Frete]]/Tabela32[[#This Row],[Valor Mercadoria]],"")</f>
        <v>0.16633407173554371</v>
      </c>
      <c r="K387" s="11">
        <v>0.2986111111111111</v>
      </c>
      <c r="L387" s="15">
        <v>0.77916666666666667</v>
      </c>
      <c r="M387" s="15">
        <f>Tabela32[[#This Row],[Hr Chegada]]-Tabela32[[#This Row],[Hr Saida]]</f>
        <v>0.48055555555555557</v>
      </c>
      <c r="N387" s="4">
        <v>14020</v>
      </c>
      <c r="O387" s="4">
        <v>14057</v>
      </c>
      <c r="P387" s="4">
        <f>Tabela32[[#This Row],[Km Chegada]]-Tabela32[[#This Row],[Km Saída]]</f>
        <v>37</v>
      </c>
      <c r="Q387" s="4">
        <v>400</v>
      </c>
      <c r="R387" s="4">
        <v>6</v>
      </c>
      <c r="S387" s="4">
        <v>6</v>
      </c>
      <c r="T387" s="12">
        <f>Tabela32[[#This Row],[Entregas]]-Tabela32[[#This Row],[Realizadas]]</f>
        <v>0</v>
      </c>
      <c r="U387" s="18">
        <f>Tabela32[[#This Row],[Realizadas]]/Tabela32[[#This Row],[Entregas]]</f>
        <v>1</v>
      </c>
      <c r="V387" s="19" t="str">
        <f>IF(Tabela32[[#This Row],[% Entrega]]&gt;=96%,"Atendeu a Meta","Não Atendeu a Meta")</f>
        <v>Atendeu a Meta</v>
      </c>
      <c r="W387" s="4" t="s">
        <v>39</v>
      </c>
      <c r="X387" s="4">
        <v>0</v>
      </c>
      <c r="Y387" s="5">
        <v>0</v>
      </c>
    </row>
    <row r="388" spans="1:25" x14ac:dyDescent="0.25">
      <c r="A388" s="8">
        <v>46288</v>
      </c>
      <c r="B388" s="16">
        <f>YEAR(Tabela32[[#This Row],[Data]])</f>
        <v>2026</v>
      </c>
      <c r="C388" s="16">
        <f>MONTH(Tabela32[[#This Row],[Data]])</f>
        <v>9</v>
      </c>
      <c r="D388" s="4" t="s">
        <v>33</v>
      </c>
      <c r="E388" s="4">
        <v>1</v>
      </c>
      <c r="F388" s="4" t="str">
        <f>IFERROR(VLOOKUP(Tabela32[[#This Row],[Placa]],Planilha2!$A$1:$B$12,2,0),"")</f>
        <v>Paulo</v>
      </c>
      <c r="G388" s="10">
        <v>1754.16</v>
      </c>
      <c r="H388" s="10">
        <v>22404.55</v>
      </c>
      <c r="I388" s="4">
        <v>652</v>
      </c>
      <c r="J388" s="17">
        <f>IFERROR(Tabela32[[#This Row],[Valor Frete]]/Tabela32[[#This Row],[Valor Mercadoria]],"")</f>
        <v>7.8294810652300539E-2</v>
      </c>
      <c r="K388" s="11">
        <v>0.29166666666666669</v>
      </c>
      <c r="L388" s="15">
        <v>0.69097222222222221</v>
      </c>
      <c r="M388" s="15">
        <f>Tabela32[[#This Row],[Hr Chegada]]-Tabela32[[#This Row],[Hr Saida]]</f>
        <v>0.39930555555555552</v>
      </c>
      <c r="N388" s="4">
        <v>156044</v>
      </c>
      <c r="O388" s="4">
        <v>156095</v>
      </c>
      <c r="P388" s="4">
        <f>Tabela32[[#This Row],[Km Chegada]]-Tabela32[[#This Row],[Km Saída]]</f>
        <v>51</v>
      </c>
      <c r="Q388" s="4">
        <v>90</v>
      </c>
      <c r="R388" s="4">
        <v>5</v>
      </c>
      <c r="S388" s="4">
        <v>5</v>
      </c>
      <c r="T388" s="12">
        <f>Tabela32[[#This Row],[Entregas]]-Tabela32[[#This Row],[Realizadas]]</f>
        <v>0</v>
      </c>
      <c r="U388" s="18">
        <f>Tabela32[[#This Row],[Realizadas]]/Tabela32[[#This Row],[Entregas]]</f>
        <v>1</v>
      </c>
      <c r="V388" s="19" t="str">
        <f>IF(Tabela32[[#This Row],[% Entrega]]&gt;=96%,"Atendeu a Meta","Não Atendeu a Meta")</f>
        <v>Atendeu a Meta</v>
      </c>
      <c r="W388" s="4" t="s">
        <v>62</v>
      </c>
      <c r="X388" s="4">
        <v>0</v>
      </c>
      <c r="Y388" s="5">
        <v>0</v>
      </c>
    </row>
    <row r="389" spans="1:25" x14ac:dyDescent="0.25">
      <c r="A389" s="8">
        <v>46288</v>
      </c>
      <c r="B389" s="16">
        <f>YEAR(Tabela32[[#This Row],[Data]])</f>
        <v>2026</v>
      </c>
      <c r="C389" s="16">
        <f>MONTH(Tabela32[[#This Row],[Data]])</f>
        <v>9</v>
      </c>
      <c r="D389" s="4" t="s">
        <v>22</v>
      </c>
      <c r="E389" s="4">
        <v>4</v>
      </c>
      <c r="F389" s="4" t="str">
        <f>IFERROR(VLOOKUP(Tabela32[[#This Row],[Placa]],Planilha2!$A$1:$B$12,2,0),"")</f>
        <v>Juscelino</v>
      </c>
      <c r="G389" s="10">
        <v>12520.8</v>
      </c>
      <c r="H389" s="10">
        <v>192147.28</v>
      </c>
      <c r="I389" s="4">
        <v>3036</v>
      </c>
      <c r="J389" s="17">
        <f>IFERROR(Tabela32[[#This Row],[Valor Frete]]/Tabela32[[#This Row],[Valor Mercadoria]],"")</f>
        <v>6.5162514920846126E-2</v>
      </c>
      <c r="K389" s="11">
        <v>0.27083333333333331</v>
      </c>
      <c r="L389" s="15">
        <v>0.84652777777777777</v>
      </c>
      <c r="M389" s="15">
        <f>Tabela32[[#This Row],[Hr Chegada]]-Tabela32[[#This Row],[Hr Saida]]</f>
        <v>0.57569444444444451</v>
      </c>
      <c r="N389" s="4">
        <v>305368</v>
      </c>
      <c r="O389" s="4">
        <v>305441</v>
      </c>
      <c r="P389" s="4">
        <f>Tabela32[[#This Row],[Km Chegada]]-Tabela32[[#This Row],[Km Saída]]</f>
        <v>73</v>
      </c>
      <c r="Q389" s="4">
        <v>487</v>
      </c>
      <c r="R389" s="4">
        <v>31</v>
      </c>
      <c r="S389" s="4">
        <v>31</v>
      </c>
      <c r="T389" s="12">
        <f>Tabela32[[#This Row],[Entregas]]-Tabela32[[#This Row],[Realizadas]]</f>
        <v>0</v>
      </c>
      <c r="U389" s="18">
        <f>Tabela32[[#This Row],[Realizadas]]/Tabela32[[#This Row],[Entregas]]</f>
        <v>1</v>
      </c>
      <c r="V389" s="19" t="str">
        <f>IF(Tabela32[[#This Row],[% Entrega]]&gt;=96%,"Atendeu a Meta","Não Atendeu a Meta")</f>
        <v>Atendeu a Meta</v>
      </c>
      <c r="W389" s="4" t="s">
        <v>39</v>
      </c>
      <c r="X389" s="4">
        <v>0</v>
      </c>
      <c r="Y389" s="5">
        <v>0</v>
      </c>
    </row>
    <row r="390" spans="1:25" x14ac:dyDescent="0.25">
      <c r="A390" s="8">
        <v>46288</v>
      </c>
      <c r="B390" s="16">
        <f>YEAR(Tabela32[[#This Row],[Data]])</f>
        <v>2026</v>
      </c>
      <c r="C390" s="16">
        <f>MONTH(Tabela32[[#This Row],[Data]])</f>
        <v>9</v>
      </c>
      <c r="D390" s="4" t="s">
        <v>25</v>
      </c>
      <c r="E390" s="4">
        <v>1</v>
      </c>
      <c r="F390" s="4" t="str">
        <f>IFERROR(VLOOKUP(Tabela32[[#This Row],[Placa]],Planilha2!$A$1:$B$12,2,0),"")</f>
        <v>Gilberto</v>
      </c>
      <c r="G390" s="10">
        <v>8679.9500000000007</v>
      </c>
      <c r="H390" s="10">
        <v>126902.55</v>
      </c>
      <c r="I390" s="4">
        <v>1112</v>
      </c>
      <c r="J390" s="17">
        <f>IFERROR(Tabela32[[#This Row],[Valor Frete]]/Tabela32[[#This Row],[Valor Mercadoria]],"")</f>
        <v>6.8398546758910675E-2</v>
      </c>
      <c r="K390" s="11">
        <v>0.3125</v>
      </c>
      <c r="L390" s="15">
        <v>0.71250000000000002</v>
      </c>
      <c r="M390" s="15">
        <f>Tabela32[[#This Row],[Hr Chegada]]-Tabela32[[#This Row],[Hr Saida]]</f>
        <v>0.4</v>
      </c>
      <c r="N390" s="4">
        <v>120223</v>
      </c>
      <c r="O390" s="4">
        <v>120289</v>
      </c>
      <c r="P390" s="4">
        <f>Tabela32[[#This Row],[Km Chegada]]-Tabela32[[#This Row],[Km Saída]]</f>
        <v>66</v>
      </c>
      <c r="Q390" s="4">
        <v>210</v>
      </c>
      <c r="R390" s="4">
        <v>21</v>
      </c>
      <c r="S390" s="4">
        <v>21</v>
      </c>
      <c r="T390" s="12">
        <f>Tabela32[[#This Row],[Entregas]]-Tabela32[[#This Row],[Realizadas]]</f>
        <v>0</v>
      </c>
      <c r="U390" s="18">
        <f>Tabela32[[#This Row],[Realizadas]]/Tabela32[[#This Row],[Entregas]]</f>
        <v>1</v>
      </c>
      <c r="V390" s="19" t="str">
        <f>IF(Tabela32[[#This Row],[% Entrega]]&gt;=96%,"Atendeu a Meta","Não Atendeu a Meta")</f>
        <v>Atendeu a Meta</v>
      </c>
      <c r="W390" s="4" t="s">
        <v>43</v>
      </c>
      <c r="X390" s="4">
        <v>0</v>
      </c>
      <c r="Y390" s="5">
        <v>0</v>
      </c>
    </row>
    <row r="391" spans="1:25" x14ac:dyDescent="0.25">
      <c r="A391" s="8">
        <v>46288</v>
      </c>
      <c r="B391" s="16">
        <f>YEAR(Tabela32[[#This Row],[Data]])</f>
        <v>2026</v>
      </c>
      <c r="C391" s="16">
        <f>MONTH(Tabela32[[#This Row],[Data]])</f>
        <v>9</v>
      </c>
      <c r="D391" s="4" t="s">
        <v>28</v>
      </c>
      <c r="E391" s="4">
        <v>5</v>
      </c>
      <c r="F391" s="4" t="str">
        <f>IFERROR(VLOOKUP(Tabela32[[#This Row],[Placa]],Planilha2!$A$1:$B$12,2,0),"")</f>
        <v>Edilson</v>
      </c>
      <c r="G391" s="10">
        <v>29666.37</v>
      </c>
      <c r="H391" s="10">
        <v>541276.69999999995</v>
      </c>
      <c r="I391" s="4">
        <v>4074</v>
      </c>
      <c r="J391" s="17">
        <f>IFERROR(Tabela32[[#This Row],[Valor Frete]]/Tabela32[[#This Row],[Valor Mercadoria]],"")</f>
        <v>5.4808141566041919E-2</v>
      </c>
      <c r="K391" s="11">
        <v>0.27777777777777779</v>
      </c>
      <c r="L391" s="15">
        <v>0.66666666666666663</v>
      </c>
      <c r="M391" s="15">
        <f>Tabela32[[#This Row],[Hr Chegada]]-Tabela32[[#This Row],[Hr Saida]]</f>
        <v>0.38888888888888884</v>
      </c>
      <c r="N391" s="4">
        <v>106073</v>
      </c>
      <c r="O391" s="4">
        <v>106119</v>
      </c>
      <c r="P391" s="4">
        <f>Tabela32[[#This Row],[Km Chegada]]-Tabela32[[#This Row],[Km Saída]]</f>
        <v>46</v>
      </c>
      <c r="Q391" s="4">
        <v>327</v>
      </c>
      <c r="R391" s="4">
        <v>5</v>
      </c>
      <c r="S391" s="4">
        <v>5</v>
      </c>
      <c r="T391" s="12">
        <f>Tabela32[[#This Row],[Entregas]]-Tabela32[[#This Row],[Realizadas]]</f>
        <v>0</v>
      </c>
      <c r="U391" s="18">
        <f>Tabela32[[#This Row],[Realizadas]]/Tabela32[[#This Row],[Entregas]]</f>
        <v>1</v>
      </c>
      <c r="V391" s="19" t="str">
        <f>IF(Tabela32[[#This Row],[% Entrega]]&gt;=96%,"Atendeu a Meta","Não Atendeu a Meta")</f>
        <v>Atendeu a Meta</v>
      </c>
      <c r="W391" s="4" t="s">
        <v>39</v>
      </c>
      <c r="X391" s="4">
        <v>0</v>
      </c>
      <c r="Y391" s="5">
        <v>0</v>
      </c>
    </row>
    <row r="392" spans="1:25" x14ac:dyDescent="0.25">
      <c r="A392" s="8">
        <v>46289</v>
      </c>
      <c r="B392" s="16">
        <f>YEAR(Tabela32[[#This Row],[Data]])</f>
        <v>2026</v>
      </c>
      <c r="C392" s="16">
        <f>MONTH(Tabela32[[#This Row],[Data]])</f>
        <v>9</v>
      </c>
      <c r="D392" s="4" t="s">
        <v>35</v>
      </c>
      <c r="E392" s="4">
        <v>5</v>
      </c>
      <c r="F392" s="4" t="str">
        <f>IFERROR(VLOOKUP(Tabela32[[#This Row],[Placa]],Planilha2!$A$1:$B$12,2,0),"")</f>
        <v>Osvaldo</v>
      </c>
      <c r="G392" s="10">
        <v>849.66</v>
      </c>
      <c r="H392" s="10">
        <v>16194.12</v>
      </c>
      <c r="I392" s="4">
        <v>510</v>
      </c>
      <c r="J392" s="17">
        <f>IFERROR(Tabela32[[#This Row],[Valor Frete]]/Tabela32[[#This Row],[Valor Mercadoria]],"")</f>
        <v>5.2467191795540602E-2</v>
      </c>
      <c r="K392" s="11">
        <v>0.3125</v>
      </c>
      <c r="L392" s="15">
        <v>0.72638888888888886</v>
      </c>
      <c r="M392" s="15">
        <f>Tabela32[[#This Row],[Hr Chegada]]-Tabela32[[#This Row],[Hr Saida]]</f>
        <v>0.41388888888888886</v>
      </c>
      <c r="N392" s="4">
        <v>143759</v>
      </c>
      <c r="O392" s="4">
        <v>143780</v>
      </c>
      <c r="P392" s="4">
        <f>Tabela32[[#This Row],[Km Chegada]]-Tabela32[[#This Row],[Km Saída]]</f>
        <v>21</v>
      </c>
      <c r="Q392" s="4">
        <v>109</v>
      </c>
      <c r="R392" s="4">
        <v>4</v>
      </c>
      <c r="S392" s="4">
        <v>4</v>
      </c>
      <c r="T392" s="12">
        <f>Tabela32[[#This Row],[Entregas]]-Tabela32[[#This Row],[Realizadas]]</f>
        <v>0</v>
      </c>
      <c r="U392" s="18">
        <f>Tabela32[[#This Row],[Realizadas]]/Tabela32[[#This Row],[Entregas]]</f>
        <v>1</v>
      </c>
      <c r="V392" s="19" t="str">
        <f>IF(Tabela32[[#This Row],[% Entrega]]&gt;=96%,"Atendeu a Meta","Não Atendeu a Meta")</f>
        <v>Atendeu a Meta</v>
      </c>
      <c r="W392" s="4" t="s">
        <v>39</v>
      </c>
      <c r="X392" s="4">
        <v>0</v>
      </c>
      <c r="Y392" s="5">
        <v>0</v>
      </c>
    </row>
    <row r="393" spans="1:25" x14ac:dyDescent="0.25">
      <c r="A393" s="8">
        <v>46289</v>
      </c>
      <c r="B393" s="16">
        <f>YEAR(Tabela32[[#This Row],[Data]])</f>
        <v>2026</v>
      </c>
      <c r="C393" s="16">
        <f>MONTH(Tabela32[[#This Row],[Data]])</f>
        <v>9</v>
      </c>
      <c r="D393" s="4" t="s">
        <v>22</v>
      </c>
      <c r="E393" s="4">
        <v>2</v>
      </c>
      <c r="F393" s="4" t="str">
        <f>IFERROR(VLOOKUP(Tabela32[[#This Row],[Placa]],Planilha2!$A$1:$B$12,2,0),"")</f>
        <v>Juscelino</v>
      </c>
      <c r="G393" s="10">
        <v>9266.7900000000009</v>
      </c>
      <c r="H393" s="10">
        <v>143510.03</v>
      </c>
      <c r="I393" s="4">
        <v>1967</v>
      </c>
      <c r="J393" s="17">
        <f>IFERROR(Tabela32[[#This Row],[Valor Frete]]/Tabela32[[#This Row],[Valor Mercadoria]],"")</f>
        <v>6.4572420478206299E-2</v>
      </c>
      <c r="K393" s="11">
        <v>0.27083333333333331</v>
      </c>
      <c r="L393" s="15">
        <v>0.75277777777777777</v>
      </c>
      <c r="M393" s="15">
        <f>Tabela32[[#This Row],[Hr Chegada]]-Tabela32[[#This Row],[Hr Saida]]</f>
        <v>0.48194444444444445</v>
      </c>
      <c r="N393" s="4">
        <v>305448</v>
      </c>
      <c r="O393" s="4">
        <v>305511</v>
      </c>
      <c r="P393" s="4">
        <f>Tabela32[[#This Row],[Km Chegada]]-Tabela32[[#This Row],[Km Saída]]</f>
        <v>63</v>
      </c>
      <c r="Q393" s="4">
        <v>326</v>
      </c>
      <c r="R393" s="4">
        <v>36</v>
      </c>
      <c r="S393" s="4">
        <v>36</v>
      </c>
      <c r="T393" s="12">
        <f>Tabela32[[#This Row],[Entregas]]-Tabela32[[#This Row],[Realizadas]]</f>
        <v>0</v>
      </c>
      <c r="U393" s="18">
        <f>Tabela32[[#This Row],[Realizadas]]/Tabela32[[#This Row],[Entregas]]</f>
        <v>1</v>
      </c>
      <c r="V393" s="19" t="str">
        <f>IF(Tabela32[[#This Row],[% Entrega]]&gt;=96%,"Atendeu a Meta","Não Atendeu a Meta")</f>
        <v>Atendeu a Meta</v>
      </c>
      <c r="W393" s="4" t="s">
        <v>39</v>
      </c>
      <c r="X393" s="4">
        <v>0</v>
      </c>
      <c r="Y393" s="5">
        <v>0</v>
      </c>
    </row>
    <row r="394" spans="1:25" x14ac:dyDescent="0.25">
      <c r="A394" s="8">
        <v>46289</v>
      </c>
      <c r="B394" s="16">
        <f>YEAR(Tabela32[[#This Row],[Data]])</f>
        <v>2026</v>
      </c>
      <c r="C394" s="16">
        <f>MONTH(Tabela32[[#This Row],[Data]])</f>
        <v>9</v>
      </c>
      <c r="D394" s="4" t="s">
        <v>27</v>
      </c>
      <c r="E394" s="4">
        <v>1</v>
      </c>
      <c r="F394" s="4" t="str">
        <f>IFERROR(VLOOKUP(Tabela32[[#This Row],[Placa]],Planilha2!$A$1:$B$12,2,0),"")</f>
        <v>Rosinaldo</v>
      </c>
      <c r="G394" s="10">
        <v>3913.35</v>
      </c>
      <c r="H394" s="10">
        <v>79617.289999999994</v>
      </c>
      <c r="I394" s="4">
        <v>568</v>
      </c>
      <c r="J394" s="17">
        <f>IFERROR(Tabela32[[#This Row],[Valor Frete]]/Tabela32[[#This Row],[Valor Mercadoria]],"")</f>
        <v>4.9152012081797813E-2</v>
      </c>
      <c r="K394" s="11">
        <v>0.29166666666666669</v>
      </c>
      <c r="L394" s="15">
        <v>0.63888888888888884</v>
      </c>
      <c r="M394" s="15">
        <f>Tabela32[[#This Row],[Hr Chegada]]-Tabela32[[#This Row],[Hr Saida]]</f>
        <v>0.34722222222222215</v>
      </c>
      <c r="N394" s="4">
        <v>291751</v>
      </c>
      <c r="O394" s="4">
        <v>291803</v>
      </c>
      <c r="P394" s="4">
        <f>Tabela32[[#This Row],[Km Chegada]]-Tabela32[[#This Row],[Km Saída]]</f>
        <v>52</v>
      </c>
      <c r="Q394" s="4">
        <v>568</v>
      </c>
      <c r="R394" s="4">
        <v>3</v>
      </c>
      <c r="S394" s="4">
        <v>3</v>
      </c>
      <c r="T394" s="12">
        <f>Tabela32[[#This Row],[Entregas]]-Tabela32[[#This Row],[Realizadas]]</f>
        <v>0</v>
      </c>
      <c r="U394" s="18">
        <f>Tabela32[[#This Row],[Realizadas]]/Tabela32[[#This Row],[Entregas]]</f>
        <v>1</v>
      </c>
      <c r="V394" s="19" t="str">
        <f>IF(Tabela32[[#This Row],[% Entrega]]&gt;=96%,"Atendeu a Meta","Não Atendeu a Meta")</f>
        <v>Atendeu a Meta</v>
      </c>
      <c r="W394" s="4" t="s">
        <v>40</v>
      </c>
      <c r="X394" s="4">
        <v>0</v>
      </c>
      <c r="Y394" s="5">
        <v>0</v>
      </c>
    </row>
    <row r="395" spans="1:25" x14ac:dyDescent="0.25">
      <c r="A395" s="8">
        <v>46289</v>
      </c>
      <c r="B395" s="16">
        <f>YEAR(Tabela32[[#This Row],[Data]])</f>
        <v>2026</v>
      </c>
      <c r="C395" s="16">
        <f>MONTH(Tabela32[[#This Row],[Data]])</f>
        <v>9</v>
      </c>
      <c r="D395" s="4" t="s">
        <v>33</v>
      </c>
      <c r="E395" s="4">
        <v>1</v>
      </c>
      <c r="F395" s="4" t="str">
        <f>IFERROR(VLOOKUP(Tabela32[[#This Row],[Placa]],Planilha2!$A$1:$B$12,2,0),"")</f>
        <v>Paulo</v>
      </c>
      <c r="G395" s="10">
        <v>1138.6099999999999</v>
      </c>
      <c r="H395" s="10">
        <v>12566.7</v>
      </c>
      <c r="I395" s="4">
        <v>131</v>
      </c>
      <c r="J395" s="17">
        <f>IFERROR(Tabela32[[#This Row],[Valor Frete]]/Tabela32[[#This Row],[Valor Mercadoria]],"")</f>
        <v>9.0605329959336969E-2</v>
      </c>
      <c r="K395" s="11">
        <v>0.29166666666666669</v>
      </c>
      <c r="L395" s="15">
        <v>0.48958333333333331</v>
      </c>
      <c r="M395" s="15">
        <f>Tabela32[[#This Row],[Hr Chegada]]-Tabela32[[#This Row],[Hr Saida]]</f>
        <v>0.19791666666666663</v>
      </c>
      <c r="N395" s="4">
        <v>156095</v>
      </c>
      <c r="O395" s="4">
        <v>156124</v>
      </c>
      <c r="P395" s="4">
        <f>Tabela32[[#This Row],[Km Chegada]]-Tabela32[[#This Row],[Km Saída]]</f>
        <v>29</v>
      </c>
      <c r="Q395" s="4">
        <v>73</v>
      </c>
      <c r="R395" s="4">
        <v>1</v>
      </c>
      <c r="S395" s="4">
        <v>1</v>
      </c>
      <c r="T395" s="12">
        <f>Tabela32[[#This Row],[Entregas]]-Tabela32[[#This Row],[Realizadas]]</f>
        <v>0</v>
      </c>
      <c r="U395" s="18">
        <f>Tabela32[[#This Row],[Realizadas]]/Tabela32[[#This Row],[Entregas]]</f>
        <v>1</v>
      </c>
      <c r="V395" s="19" t="str">
        <f>IF(Tabela32[[#This Row],[% Entrega]]&gt;=96%,"Atendeu a Meta","Não Atendeu a Meta")</f>
        <v>Atendeu a Meta</v>
      </c>
      <c r="W395" s="4" t="s">
        <v>40</v>
      </c>
      <c r="X395" s="4">
        <v>0</v>
      </c>
      <c r="Y395" s="5">
        <v>0</v>
      </c>
    </row>
    <row r="396" spans="1:25" x14ac:dyDescent="0.25">
      <c r="A396" s="8">
        <v>46289</v>
      </c>
      <c r="B396" s="16">
        <f>YEAR(Tabela32[[#This Row],[Data]])</f>
        <v>2026</v>
      </c>
      <c r="C396" s="16">
        <f>MONTH(Tabela32[[#This Row],[Data]])</f>
        <v>9</v>
      </c>
      <c r="D396" s="4" t="s">
        <v>28</v>
      </c>
      <c r="E396" s="4">
        <v>11</v>
      </c>
      <c r="F396" s="4" t="str">
        <f>IFERROR(VLOOKUP(Tabela32[[#This Row],[Placa]],Planilha2!$A$1:$B$12,2,0),"")</f>
        <v>Edilson</v>
      </c>
      <c r="G396" s="10">
        <v>13182.61</v>
      </c>
      <c r="H396" s="10">
        <v>220347.32</v>
      </c>
      <c r="I396" s="4">
        <v>2205</v>
      </c>
      <c r="J396" s="17">
        <f>IFERROR(Tabela32[[#This Row],[Valor Frete]]/Tabela32[[#This Row],[Valor Mercadoria]],"")</f>
        <v>5.9826504810677979E-2</v>
      </c>
      <c r="K396" s="11">
        <v>0.27777777777777779</v>
      </c>
      <c r="L396" s="15">
        <v>0.77430555555555558</v>
      </c>
      <c r="M396" s="15">
        <f>Tabela32[[#This Row],[Hr Chegada]]-Tabela32[[#This Row],[Hr Saida]]</f>
        <v>0.49652777777777779</v>
      </c>
      <c r="N396" s="4">
        <v>106119</v>
      </c>
      <c r="O396" s="4">
        <v>106267</v>
      </c>
      <c r="P396" s="4">
        <f>Tabela32[[#This Row],[Km Chegada]]-Tabela32[[#This Row],[Km Saída]]</f>
        <v>148</v>
      </c>
      <c r="Q396" s="4">
        <v>383</v>
      </c>
      <c r="R396" s="4">
        <v>42</v>
      </c>
      <c r="S396" s="4">
        <v>42</v>
      </c>
      <c r="T396" s="12">
        <f>Tabela32[[#This Row],[Entregas]]-Tabela32[[#This Row],[Realizadas]]</f>
        <v>0</v>
      </c>
      <c r="U396" s="18">
        <f>Tabela32[[#This Row],[Realizadas]]/Tabela32[[#This Row],[Entregas]]</f>
        <v>1</v>
      </c>
      <c r="V396" s="19" t="str">
        <f>IF(Tabela32[[#This Row],[% Entrega]]&gt;=96%,"Atendeu a Meta","Não Atendeu a Meta")</f>
        <v>Atendeu a Meta</v>
      </c>
      <c r="W396" s="4" t="s">
        <v>41</v>
      </c>
      <c r="X396" s="4">
        <v>1</v>
      </c>
      <c r="Y396" s="5">
        <v>42</v>
      </c>
    </row>
    <row r="397" spans="1:25" x14ac:dyDescent="0.25">
      <c r="A397" s="8">
        <v>46289</v>
      </c>
      <c r="B397" s="16">
        <f>YEAR(Tabela32[[#This Row],[Data]])</f>
        <v>2026</v>
      </c>
      <c r="C397" s="16">
        <f>MONTH(Tabela32[[#This Row],[Data]])</f>
        <v>9</v>
      </c>
      <c r="D397" s="4" t="s">
        <v>53</v>
      </c>
      <c r="E397" s="4">
        <v>3</v>
      </c>
      <c r="F397" s="4" t="str">
        <f>IFERROR(VLOOKUP(Tabela32[[#This Row],[Placa]],Planilha2!$A$1:$B$12,2,0),"")</f>
        <v>Arnaldo</v>
      </c>
      <c r="G397" s="10">
        <v>10875.33</v>
      </c>
      <c r="H397" s="10">
        <v>98740.479999999996</v>
      </c>
      <c r="I397" s="4">
        <v>1510</v>
      </c>
      <c r="J397" s="17">
        <f>IFERROR(Tabela32[[#This Row],[Valor Frete]]/Tabela32[[#This Row],[Valor Mercadoria]],"")</f>
        <v>0.11014054215657045</v>
      </c>
      <c r="K397" s="11">
        <v>0.3125</v>
      </c>
      <c r="L397" s="15">
        <v>0.75694444444444442</v>
      </c>
      <c r="M397" s="15">
        <f>Tabela32[[#This Row],[Hr Chegada]]-Tabela32[[#This Row],[Hr Saida]]</f>
        <v>0.44444444444444442</v>
      </c>
      <c r="N397" s="4">
        <v>14057</v>
      </c>
      <c r="O397" s="4">
        <v>14111</v>
      </c>
      <c r="P397" s="4">
        <f>Tabela32[[#This Row],[Km Chegada]]-Tabela32[[#This Row],[Km Saída]]</f>
        <v>54</v>
      </c>
      <c r="Q397" s="4">
        <v>276</v>
      </c>
      <c r="R397" s="4">
        <v>18</v>
      </c>
      <c r="S397" s="4">
        <v>18</v>
      </c>
      <c r="T397" s="12">
        <f>Tabela32[[#This Row],[Entregas]]-Tabela32[[#This Row],[Realizadas]]</f>
        <v>0</v>
      </c>
      <c r="U397" s="18">
        <f>Tabela32[[#This Row],[Realizadas]]/Tabela32[[#This Row],[Entregas]]</f>
        <v>1</v>
      </c>
      <c r="V397" s="19" t="str">
        <f>IF(Tabela32[[#This Row],[% Entrega]]&gt;=96%,"Atendeu a Meta","Não Atendeu a Meta")</f>
        <v>Atendeu a Meta</v>
      </c>
      <c r="W397" s="4" t="s">
        <v>39</v>
      </c>
      <c r="X397" s="4">
        <v>0</v>
      </c>
      <c r="Y397" s="5" t="s">
        <v>81</v>
      </c>
    </row>
    <row r="398" spans="1:25" x14ac:dyDescent="0.25">
      <c r="A398" s="8">
        <v>46289</v>
      </c>
      <c r="B398" s="16">
        <f>YEAR(Tabela32[[#This Row],[Data]])</f>
        <v>2026</v>
      </c>
      <c r="C398" s="16">
        <f>MONTH(Tabela32[[#This Row],[Data]])</f>
        <v>9</v>
      </c>
      <c r="D398" s="4" t="s">
        <v>25</v>
      </c>
      <c r="E398" s="4">
        <v>1</v>
      </c>
      <c r="F398" s="4" t="str">
        <f>IFERROR(VLOOKUP(Tabela32[[#This Row],[Placa]],Planilha2!$A$1:$B$12,2,0),"")</f>
        <v>Gilberto</v>
      </c>
      <c r="G398" s="10">
        <v>8404.52</v>
      </c>
      <c r="H398" s="10">
        <v>128824.18</v>
      </c>
      <c r="I398" s="4">
        <v>1771</v>
      </c>
      <c r="J398" s="17">
        <f>IFERROR(Tabela32[[#This Row],[Valor Frete]]/Tabela32[[#This Row],[Valor Mercadoria]],"")</f>
        <v>6.5240236731955142E-2</v>
      </c>
      <c r="K398" s="11">
        <v>0.3125</v>
      </c>
      <c r="L398" s="15">
        <v>0.71527777777777779</v>
      </c>
      <c r="M398" s="15">
        <f>Tabela32[[#This Row],[Hr Chegada]]-Tabela32[[#This Row],[Hr Saida]]</f>
        <v>0.40277777777777779</v>
      </c>
      <c r="N398" s="4">
        <v>120289</v>
      </c>
      <c r="O398" s="4">
        <v>120351</v>
      </c>
      <c r="P398" s="4">
        <f>Tabela32[[#This Row],[Km Chegada]]-Tabela32[[#This Row],[Km Saída]]</f>
        <v>62</v>
      </c>
      <c r="Q398" s="4">
        <v>238</v>
      </c>
      <c r="R398" s="4">
        <v>21</v>
      </c>
      <c r="S398" s="4">
        <v>21</v>
      </c>
      <c r="T398" s="12">
        <f>Tabela32[[#This Row],[Entregas]]-Tabela32[[#This Row],[Realizadas]]</f>
        <v>0</v>
      </c>
      <c r="U398" s="18">
        <f>Tabela32[[#This Row],[Realizadas]]/Tabela32[[#This Row],[Entregas]]</f>
        <v>1</v>
      </c>
      <c r="V398" s="19" t="str">
        <f>IF(Tabela32[[#This Row],[% Entrega]]&gt;=96%,"Atendeu a Meta","Não Atendeu a Meta")</f>
        <v>Atendeu a Meta</v>
      </c>
      <c r="W398" s="4" t="s">
        <v>43</v>
      </c>
      <c r="X398" s="4">
        <v>0</v>
      </c>
      <c r="Y398" s="5">
        <v>0</v>
      </c>
    </row>
    <row r="399" spans="1:25" x14ac:dyDescent="0.25">
      <c r="A399" s="8">
        <v>46289</v>
      </c>
      <c r="B399" s="16">
        <f>YEAR(Tabela32[[#This Row],[Data]])</f>
        <v>2026</v>
      </c>
      <c r="C399" s="16">
        <f>MONTH(Tabela32[[#This Row],[Data]])</f>
        <v>9</v>
      </c>
      <c r="D399" s="4" t="s">
        <v>23</v>
      </c>
      <c r="E399" s="4">
        <v>11</v>
      </c>
      <c r="F399" s="4" t="str">
        <f>IFERROR(VLOOKUP(Tabela32[[#This Row],[Placa]],Planilha2!$A$1:$B$12,2,0),"")</f>
        <v>William</v>
      </c>
      <c r="G399" s="10">
        <v>6979.52</v>
      </c>
      <c r="H399" s="10">
        <v>102383.03999999999</v>
      </c>
      <c r="I399" s="4">
        <v>1176</v>
      </c>
      <c r="J399" s="17">
        <f>IFERROR(Tabela32[[#This Row],[Valor Frete]]/Tabela32[[#This Row],[Valor Mercadoria]],"")</f>
        <v>6.8170665766517591E-2</v>
      </c>
      <c r="K399" s="11">
        <v>0.29166666666666669</v>
      </c>
      <c r="L399" s="15">
        <v>0.83333333333333337</v>
      </c>
      <c r="M399" s="15">
        <f>Tabela32[[#This Row],[Hr Chegada]]-Tabela32[[#This Row],[Hr Saida]]</f>
        <v>0.54166666666666674</v>
      </c>
      <c r="N399" s="4">
        <v>125926</v>
      </c>
      <c r="O399" s="4">
        <v>126093</v>
      </c>
      <c r="P399" s="4">
        <f>Tabela32[[#This Row],[Km Chegada]]-Tabela32[[#This Row],[Km Saída]]</f>
        <v>167</v>
      </c>
      <c r="Q399" s="4">
        <v>188</v>
      </c>
      <c r="R399" s="4">
        <v>16</v>
      </c>
      <c r="S399" s="4">
        <v>16</v>
      </c>
      <c r="T399" s="12">
        <f>Tabela32[[#This Row],[Entregas]]-Tabela32[[#This Row],[Realizadas]]</f>
        <v>0</v>
      </c>
      <c r="U399" s="18">
        <f>Tabela32[[#This Row],[Realizadas]]/Tabela32[[#This Row],[Entregas]]</f>
        <v>1</v>
      </c>
      <c r="V399" s="19" t="str">
        <f>IF(Tabela32[[#This Row],[% Entrega]]&gt;=96%,"Atendeu a Meta","Não Atendeu a Meta")</f>
        <v>Atendeu a Meta</v>
      </c>
      <c r="W399" s="4" t="s">
        <v>41</v>
      </c>
      <c r="X399" s="4">
        <v>0</v>
      </c>
      <c r="Y399" s="5">
        <v>0</v>
      </c>
    </row>
    <row r="400" spans="1:25" x14ac:dyDescent="0.25">
      <c r="A400" s="8">
        <v>46289</v>
      </c>
      <c r="B400" s="16">
        <f>YEAR(Tabela32[[#This Row],[Data]])</f>
        <v>2026</v>
      </c>
      <c r="C400" s="16">
        <f>MONTH(Tabela32[[#This Row],[Data]])</f>
        <v>9</v>
      </c>
      <c r="D400" s="4" t="s">
        <v>29</v>
      </c>
      <c r="E400" s="4">
        <v>1</v>
      </c>
      <c r="F400" s="4" t="str">
        <f>IFERROR(VLOOKUP(Tabela32[[#This Row],[Placa]],Planilha2!$A$1:$B$12,2,0),"")</f>
        <v>Sandro</v>
      </c>
      <c r="G400" s="10">
        <v>2100.86</v>
      </c>
      <c r="H400" s="10">
        <v>76062.289999999994</v>
      </c>
      <c r="I400" s="4">
        <v>189</v>
      </c>
      <c r="J400" s="17">
        <f>IFERROR(Tabela32[[#This Row],[Valor Frete]]/Tabela32[[#This Row],[Valor Mercadoria]],"")</f>
        <v>2.7620257028811521E-2</v>
      </c>
      <c r="K400" s="11">
        <v>0.29166666666666669</v>
      </c>
      <c r="L400" s="15">
        <v>0.69097222222222221</v>
      </c>
      <c r="M400" s="15">
        <f>Tabela32[[#This Row],[Hr Chegada]]-Tabela32[[#This Row],[Hr Saida]]</f>
        <v>0.39930555555555552</v>
      </c>
      <c r="N400" s="4">
        <v>276205</v>
      </c>
      <c r="O400" s="4">
        <v>276245</v>
      </c>
      <c r="P400" s="4">
        <f>Tabela32[[#This Row],[Km Chegada]]-Tabela32[[#This Row],[Km Saída]]</f>
        <v>40</v>
      </c>
      <c r="Q400" s="4">
        <v>99</v>
      </c>
      <c r="R400" s="4">
        <v>3</v>
      </c>
      <c r="S400" s="4">
        <v>3</v>
      </c>
      <c r="T400" s="12">
        <f>Tabela32[[#This Row],[Entregas]]-Tabela32[[#This Row],[Realizadas]]</f>
        <v>0</v>
      </c>
      <c r="U400" s="18">
        <f>Tabela32[[#This Row],[Realizadas]]/Tabela32[[#This Row],[Entregas]]</f>
        <v>1</v>
      </c>
      <c r="V400" s="19" t="str">
        <f>IF(Tabela32[[#This Row],[% Entrega]]&gt;=96%,"Atendeu a Meta","Não Atendeu a Meta")</f>
        <v>Atendeu a Meta</v>
      </c>
      <c r="W400" s="4" t="s">
        <v>40</v>
      </c>
      <c r="X400" s="4">
        <v>0</v>
      </c>
      <c r="Y400" s="5">
        <v>0</v>
      </c>
    </row>
    <row r="401" spans="1:25" x14ac:dyDescent="0.25">
      <c r="A401" s="8">
        <v>46289</v>
      </c>
      <c r="B401" s="16">
        <f>YEAR(Tabela32[[#This Row],[Data]])</f>
        <v>2026</v>
      </c>
      <c r="C401" s="16">
        <f>MONTH(Tabela32[[#This Row],[Data]])</f>
        <v>9</v>
      </c>
      <c r="D401" s="4" t="s">
        <v>33</v>
      </c>
      <c r="E401" s="4">
        <v>1</v>
      </c>
      <c r="F401" s="4" t="str">
        <f>IFERROR(VLOOKUP(Tabela32[[#This Row],[Placa]],Planilha2!$A$1:$B$12,2,0),"")</f>
        <v>Paulo</v>
      </c>
      <c r="G401" s="10">
        <v>4045.1</v>
      </c>
      <c r="H401" s="10">
        <v>55543.93</v>
      </c>
      <c r="I401" s="4">
        <v>87</v>
      </c>
      <c r="J401" s="17">
        <f>IFERROR(Tabela32[[#This Row],[Valor Frete]]/Tabela32[[#This Row],[Valor Mercadoria]],"")</f>
        <v>7.2827039786345693E-2</v>
      </c>
      <c r="K401" s="11">
        <v>0.58333333333333337</v>
      </c>
      <c r="L401" s="15">
        <v>0.71944444444444444</v>
      </c>
      <c r="M401" s="15">
        <f>Tabela32[[#This Row],[Hr Chegada]]-Tabela32[[#This Row],[Hr Saida]]</f>
        <v>0.13611111111111107</v>
      </c>
      <c r="N401" s="4">
        <v>156124</v>
      </c>
      <c r="O401" s="4">
        <v>156143</v>
      </c>
      <c r="P401" s="4">
        <f>Tabela32[[#This Row],[Km Chegada]]-Tabela32[[#This Row],[Km Saída]]</f>
        <v>19</v>
      </c>
      <c r="Q401" s="4">
        <v>87</v>
      </c>
      <c r="R401" s="4">
        <v>7</v>
      </c>
      <c r="S401" s="4">
        <v>7</v>
      </c>
      <c r="T401" s="12">
        <f>Tabela32[[#This Row],[Entregas]]-Tabela32[[#This Row],[Realizadas]]</f>
        <v>0</v>
      </c>
      <c r="U401" s="18">
        <f>Tabela32[[#This Row],[Realizadas]]/Tabela32[[#This Row],[Entregas]]</f>
        <v>1</v>
      </c>
      <c r="V401" s="19" t="str">
        <f>IF(Tabela32[[#This Row],[% Entrega]]&gt;=96%,"Atendeu a Meta","Não Atendeu a Meta")</f>
        <v>Atendeu a Meta</v>
      </c>
      <c r="W401" s="4" t="s">
        <v>43</v>
      </c>
      <c r="X401" s="4">
        <v>0</v>
      </c>
      <c r="Y401" s="5">
        <v>38.380000000000003</v>
      </c>
    </row>
    <row r="402" spans="1:25" x14ac:dyDescent="0.25">
      <c r="A402" s="8">
        <v>46289</v>
      </c>
      <c r="B402" s="16">
        <f>YEAR(Tabela32[[#This Row],[Data]])</f>
        <v>2026</v>
      </c>
      <c r="C402" s="16">
        <f>MONTH(Tabela32[[#This Row],[Data]])</f>
        <v>9</v>
      </c>
      <c r="D402" s="4" t="s">
        <v>31</v>
      </c>
      <c r="E402" s="4">
        <v>5</v>
      </c>
      <c r="F402" s="4" t="str">
        <f>IFERROR(VLOOKUP(Tabela32[[#This Row],[Placa]],Planilha2!$A$1:$B$12,2,0),"")</f>
        <v>Jerson</v>
      </c>
      <c r="G402" s="10">
        <v>13121.13</v>
      </c>
      <c r="H402" s="10">
        <v>404814.06</v>
      </c>
      <c r="I402" s="4">
        <v>3870</v>
      </c>
      <c r="J402" s="17">
        <f>IFERROR(Tabela32[[#This Row],[Valor Frete]]/Tabela32[[#This Row],[Valor Mercadoria]],"")</f>
        <v>3.2412732897666642E-2</v>
      </c>
      <c r="K402" s="11">
        <v>0.33333333333333331</v>
      </c>
      <c r="L402" s="15">
        <v>0.75</v>
      </c>
      <c r="M402" s="15">
        <f>Tabela32[[#This Row],[Hr Chegada]]-Tabela32[[#This Row],[Hr Saida]]</f>
        <v>0.41666666666666669</v>
      </c>
      <c r="N402" s="4">
        <v>280977</v>
      </c>
      <c r="O402" s="4">
        <v>281008</v>
      </c>
      <c r="P402" s="4">
        <f>Tabela32[[#This Row],[Km Chegada]]-Tabela32[[#This Row],[Km Saída]]</f>
        <v>31</v>
      </c>
      <c r="Q402" s="4">
        <v>685</v>
      </c>
      <c r="R402" s="4">
        <v>9</v>
      </c>
      <c r="S402" s="4">
        <v>9</v>
      </c>
      <c r="T402" s="12">
        <f>Tabela32[[#This Row],[Entregas]]-Tabela32[[#This Row],[Realizadas]]</f>
        <v>0</v>
      </c>
      <c r="U402" s="18">
        <f>Tabela32[[#This Row],[Realizadas]]/Tabela32[[#This Row],[Entregas]]</f>
        <v>1</v>
      </c>
      <c r="V402" s="19" t="str">
        <f>IF(Tabela32[[#This Row],[% Entrega]]&gt;=96%,"Atendeu a Meta","Não Atendeu a Meta")</f>
        <v>Atendeu a Meta</v>
      </c>
      <c r="W402" s="4" t="s">
        <v>39</v>
      </c>
      <c r="X402" s="4">
        <v>0</v>
      </c>
      <c r="Y402" s="5">
        <v>0</v>
      </c>
    </row>
    <row r="403" spans="1:25" x14ac:dyDescent="0.25">
      <c r="A403" s="8">
        <v>46290</v>
      </c>
      <c r="B403" s="16">
        <f>YEAR(Tabela32[[#This Row],[Data]])</f>
        <v>2026</v>
      </c>
      <c r="C403" s="16">
        <f>MONTH(Tabela32[[#This Row],[Data]])</f>
        <v>9</v>
      </c>
      <c r="D403" s="4" t="s">
        <v>33</v>
      </c>
      <c r="E403" s="4">
        <v>1</v>
      </c>
      <c r="F403" s="4" t="str">
        <f>IFERROR(VLOOKUP(Tabela32[[#This Row],[Placa]],Planilha2!$A$1:$B$12,2,0),"")</f>
        <v>Paulo</v>
      </c>
      <c r="G403" s="10">
        <v>1400.31</v>
      </c>
      <c r="H403" s="10">
        <v>7221.36</v>
      </c>
      <c r="I403" s="4">
        <v>105</v>
      </c>
      <c r="J403" s="17">
        <f>IFERROR(Tabela32[[#This Row],[Valor Frete]]/Tabela32[[#This Row],[Valor Mercadoria]],"")</f>
        <v>0.19391222705972283</v>
      </c>
      <c r="K403" s="11">
        <v>0.29166666666666669</v>
      </c>
      <c r="L403" s="15">
        <v>0.50416666666666665</v>
      </c>
      <c r="M403" s="15">
        <f>Tabela32[[#This Row],[Hr Chegada]]-Tabela32[[#This Row],[Hr Saida]]</f>
        <v>0.21249999999999997</v>
      </c>
      <c r="N403" s="4">
        <v>156143</v>
      </c>
      <c r="O403" s="4">
        <v>156190</v>
      </c>
      <c r="P403" s="4">
        <f>Tabela32[[#This Row],[Km Chegada]]-Tabela32[[#This Row],[Km Saída]]</f>
        <v>47</v>
      </c>
      <c r="Q403" s="4">
        <v>38</v>
      </c>
      <c r="R403" s="4">
        <v>1</v>
      </c>
      <c r="S403" s="4">
        <v>1</v>
      </c>
      <c r="T403" s="12">
        <f>Tabela32[[#This Row],[Entregas]]-Tabela32[[#This Row],[Realizadas]]</f>
        <v>0</v>
      </c>
      <c r="U403" s="18">
        <f>Tabela32[[#This Row],[Realizadas]]/Tabela32[[#This Row],[Entregas]]</f>
        <v>1</v>
      </c>
      <c r="V403" s="19" t="str">
        <f>IF(Tabela32[[#This Row],[% Entrega]]&gt;=96%,"Atendeu a Meta","Não Atendeu a Meta")</f>
        <v>Atendeu a Meta</v>
      </c>
      <c r="W403" s="4" t="s">
        <v>40</v>
      </c>
      <c r="X403" s="4">
        <v>0</v>
      </c>
      <c r="Y403" s="5">
        <v>0</v>
      </c>
    </row>
    <row r="404" spans="1:25" x14ac:dyDescent="0.25">
      <c r="A404" s="8">
        <v>46290</v>
      </c>
      <c r="B404" s="16">
        <f>YEAR(Tabela32[[#This Row],[Data]])</f>
        <v>2026</v>
      </c>
      <c r="C404" s="16">
        <f>MONTH(Tabela32[[#This Row],[Data]])</f>
        <v>9</v>
      </c>
      <c r="D404" s="4" t="s">
        <v>23</v>
      </c>
      <c r="E404" s="4">
        <v>5</v>
      </c>
      <c r="F404" s="4" t="str">
        <f>IFERROR(VLOOKUP(Tabela32[[#This Row],[Placa]],Planilha2!$A$1:$B$12,2,0),"")</f>
        <v>William</v>
      </c>
      <c r="G404" s="10">
        <v>11508.77</v>
      </c>
      <c r="H404" s="10">
        <v>507702.82</v>
      </c>
      <c r="I404" s="4">
        <v>2305</v>
      </c>
      <c r="J404" s="17">
        <f>IFERROR(Tabela32[[#This Row],[Valor Frete]]/Tabela32[[#This Row],[Valor Mercadoria]],"")</f>
        <v>2.2668320022331174E-2</v>
      </c>
      <c r="K404" s="11">
        <v>0.29166666666666669</v>
      </c>
      <c r="L404" s="15">
        <v>0.77430555555555558</v>
      </c>
      <c r="M404" s="15">
        <f>Tabela32[[#This Row],[Hr Chegada]]-Tabela32[[#This Row],[Hr Saida]]</f>
        <v>0.4826388888888889</v>
      </c>
      <c r="N404" s="4">
        <v>126093</v>
      </c>
      <c r="O404" s="4">
        <v>126124</v>
      </c>
      <c r="P404" s="4">
        <f>Tabela32[[#This Row],[Km Chegada]]-Tabela32[[#This Row],[Km Saída]]</f>
        <v>31</v>
      </c>
      <c r="Q404" s="4">
        <v>352</v>
      </c>
      <c r="R404" s="4">
        <v>10</v>
      </c>
      <c r="S404" s="4">
        <v>10</v>
      </c>
      <c r="T404" s="12">
        <f>Tabela32[[#This Row],[Entregas]]-Tabela32[[#This Row],[Realizadas]]</f>
        <v>0</v>
      </c>
      <c r="U404" s="18">
        <f>Tabela32[[#This Row],[Realizadas]]/Tabela32[[#This Row],[Entregas]]</f>
        <v>1</v>
      </c>
      <c r="V404" s="19" t="str">
        <f>IF(Tabela32[[#This Row],[% Entrega]]&gt;=96%,"Atendeu a Meta","Não Atendeu a Meta")</f>
        <v>Atendeu a Meta</v>
      </c>
      <c r="W404" s="4" t="s">
        <v>39</v>
      </c>
      <c r="X404" s="4">
        <v>2</v>
      </c>
      <c r="Y404" s="5">
        <v>21.21</v>
      </c>
    </row>
    <row r="405" spans="1:25" x14ac:dyDescent="0.25">
      <c r="A405" s="8">
        <v>46290</v>
      </c>
      <c r="B405" s="16">
        <f>YEAR(Tabela32[[#This Row],[Data]])</f>
        <v>2026</v>
      </c>
      <c r="C405" s="16">
        <f>MONTH(Tabela32[[#This Row],[Data]])</f>
        <v>9</v>
      </c>
      <c r="D405" s="4" t="s">
        <v>36</v>
      </c>
      <c r="E405" s="4">
        <v>11</v>
      </c>
      <c r="F405" s="4" t="str">
        <f>IFERROR(VLOOKUP(Tabela32[[#This Row],[Placa]],Planilha2!$A$1:$B$12,2,0),"")</f>
        <v>Heremilton</v>
      </c>
      <c r="G405" s="10">
        <v>25255.55</v>
      </c>
      <c r="H405" s="10">
        <v>552525.32999999996</v>
      </c>
      <c r="I405" s="4">
        <v>4094</v>
      </c>
      <c r="J405" s="17">
        <f>IFERROR(Tabela32[[#This Row],[Valor Frete]]/Tabela32[[#This Row],[Valor Mercadoria]],"")</f>
        <v>4.5709307119005747E-2</v>
      </c>
      <c r="K405" s="11">
        <v>0.27083333333333331</v>
      </c>
      <c r="L405" s="15">
        <v>0.77083333333333337</v>
      </c>
      <c r="M405" s="15">
        <f>Tabela32[[#This Row],[Hr Chegada]]-Tabela32[[#This Row],[Hr Saida]]</f>
        <v>0.5</v>
      </c>
      <c r="N405" s="4">
        <v>366659</v>
      </c>
      <c r="O405" s="4">
        <v>366793</v>
      </c>
      <c r="P405" s="4">
        <f>Tabela32[[#This Row],[Km Chegada]]-Tabela32[[#This Row],[Km Saída]]</f>
        <v>134</v>
      </c>
      <c r="Q405" s="4">
        <v>52</v>
      </c>
      <c r="R405" s="4">
        <v>4</v>
      </c>
      <c r="S405" s="4">
        <v>4</v>
      </c>
      <c r="T405" s="12">
        <f>Tabela32[[#This Row],[Entregas]]-Tabela32[[#This Row],[Realizadas]]</f>
        <v>0</v>
      </c>
      <c r="U405" s="18">
        <f>Tabela32[[#This Row],[Realizadas]]/Tabela32[[#This Row],[Entregas]]</f>
        <v>1</v>
      </c>
      <c r="V405" s="19" t="str">
        <f>IF(Tabela32[[#This Row],[% Entrega]]&gt;=96%,"Atendeu a Meta","Não Atendeu a Meta")</f>
        <v>Atendeu a Meta</v>
      </c>
      <c r="W405" s="4" t="s">
        <v>41</v>
      </c>
      <c r="X405" s="4">
        <v>0</v>
      </c>
      <c r="Y405" s="5" t="s">
        <v>88</v>
      </c>
    </row>
    <row r="406" spans="1:25" x14ac:dyDescent="0.25">
      <c r="A406" s="8">
        <v>46290</v>
      </c>
      <c r="B406" s="16">
        <f>YEAR(Tabela32[[#This Row],[Data]])</f>
        <v>2026</v>
      </c>
      <c r="C406" s="16">
        <f>MONTH(Tabela32[[#This Row],[Data]])</f>
        <v>9</v>
      </c>
      <c r="D406" s="4" t="s">
        <v>27</v>
      </c>
      <c r="E406" s="4">
        <v>1</v>
      </c>
      <c r="F406" s="4" t="str">
        <f>IFERROR(VLOOKUP(Tabela32[[#This Row],[Placa]],Planilha2!$A$1:$B$12,2,0),"")</f>
        <v>Rosinaldo</v>
      </c>
      <c r="G406" s="10">
        <v>4236.0200000000004</v>
      </c>
      <c r="H406" s="10">
        <v>57103.57</v>
      </c>
      <c r="I406" s="4">
        <v>642</v>
      </c>
      <c r="J406" s="17">
        <f>IFERROR(Tabela32[[#This Row],[Valor Frete]]/Tabela32[[#This Row],[Valor Mercadoria]],"")</f>
        <v>7.4181351533713219E-2</v>
      </c>
      <c r="K406" s="11">
        <v>0.29166666666666669</v>
      </c>
      <c r="L406" s="15">
        <v>0.75069444444444444</v>
      </c>
      <c r="M406" s="15">
        <f>Tabela32[[#This Row],[Hr Chegada]]-Tabela32[[#This Row],[Hr Saida]]</f>
        <v>0.45902777777777776</v>
      </c>
      <c r="N406" s="4">
        <v>291751</v>
      </c>
      <c r="O406" s="4">
        <v>291858</v>
      </c>
      <c r="P406" s="4">
        <f>Tabela32[[#This Row],[Km Chegada]]-Tabela32[[#This Row],[Km Saída]]</f>
        <v>107</v>
      </c>
      <c r="Q406" s="4">
        <v>103</v>
      </c>
      <c r="R406" s="4">
        <v>11</v>
      </c>
      <c r="S406" s="4">
        <v>11</v>
      </c>
      <c r="T406" s="12">
        <f>Tabela32[[#This Row],[Entregas]]-Tabela32[[#This Row],[Realizadas]]</f>
        <v>0</v>
      </c>
      <c r="U406" s="18">
        <f>Tabela32[[#This Row],[Realizadas]]/Tabela32[[#This Row],[Entregas]]</f>
        <v>1</v>
      </c>
      <c r="V406" s="19" t="str">
        <f>IF(Tabela32[[#This Row],[% Entrega]]&gt;=96%,"Atendeu a Meta","Não Atendeu a Meta")</f>
        <v>Atendeu a Meta</v>
      </c>
      <c r="W406" s="4" t="s">
        <v>40</v>
      </c>
      <c r="X406" s="4">
        <v>0</v>
      </c>
      <c r="Y406" s="5">
        <v>0</v>
      </c>
    </row>
    <row r="407" spans="1:25" x14ac:dyDescent="0.25">
      <c r="A407" s="8">
        <v>46290</v>
      </c>
      <c r="B407" s="16">
        <f>YEAR(Tabela32[[#This Row],[Data]])</f>
        <v>2026</v>
      </c>
      <c r="C407" s="16">
        <f>MONTH(Tabela32[[#This Row],[Data]])</f>
        <v>9</v>
      </c>
      <c r="D407" s="4" t="s">
        <v>31</v>
      </c>
      <c r="E407" s="4">
        <v>5</v>
      </c>
      <c r="F407" s="4" t="str">
        <f>IFERROR(VLOOKUP(Tabela32[[#This Row],[Placa]],Planilha2!$A$1:$B$12,2,0),"")</f>
        <v>Jerson</v>
      </c>
      <c r="G407" s="10">
        <v>5918.1</v>
      </c>
      <c r="H407" s="10">
        <v>83496.66</v>
      </c>
      <c r="I407" s="4">
        <v>1627</v>
      </c>
      <c r="J407" s="17">
        <f>IFERROR(Tabela32[[#This Row],[Valor Frete]]/Tabela32[[#This Row],[Valor Mercadoria]],"")</f>
        <v>7.0878284233165736E-2</v>
      </c>
      <c r="K407" s="11">
        <v>0.29166666666666669</v>
      </c>
      <c r="L407" s="15">
        <v>0.79861111111111116</v>
      </c>
      <c r="M407" s="15">
        <f>Tabela32[[#This Row],[Hr Chegada]]-Tabela32[[#This Row],[Hr Saida]]</f>
        <v>0.50694444444444442</v>
      </c>
      <c r="N407" s="4">
        <v>281008</v>
      </c>
      <c r="O407" s="4">
        <v>281099</v>
      </c>
      <c r="P407" s="4">
        <f>Tabela32[[#This Row],[Km Chegada]]-Tabela32[[#This Row],[Km Saída]]</f>
        <v>91</v>
      </c>
      <c r="Q407" s="4">
        <v>123</v>
      </c>
      <c r="R407" s="4">
        <v>19</v>
      </c>
      <c r="S407" s="4">
        <v>19</v>
      </c>
      <c r="T407" s="12">
        <f>Tabela32[[#This Row],[Entregas]]-Tabela32[[#This Row],[Realizadas]]</f>
        <v>0</v>
      </c>
      <c r="U407" s="18">
        <f>Tabela32[[#This Row],[Realizadas]]/Tabela32[[#This Row],[Entregas]]</f>
        <v>1</v>
      </c>
      <c r="V407" s="19" t="str">
        <f>IF(Tabela32[[#This Row],[% Entrega]]&gt;=96%,"Atendeu a Meta","Não Atendeu a Meta")</f>
        <v>Atendeu a Meta</v>
      </c>
      <c r="W407" s="4" t="s">
        <v>39</v>
      </c>
      <c r="X407" s="4">
        <v>0</v>
      </c>
      <c r="Y407" s="5">
        <v>0</v>
      </c>
    </row>
    <row r="408" spans="1:25" x14ac:dyDescent="0.25">
      <c r="A408" s="8">
        <v>46290</v>
      </c>
      <c r="B408" s="16">
        <f>YEAR(Tabela32[[#This Row],[Data]])</f>
        <v>2026</v>
      </c>
      <c r="C408" s="16">
        <f>MONTH(Tabela32[[#This Row],[Data]])</f>
        <v>9</v>
      </c>
      <c r="D408" s="4" t="s">
        <v>28</v>
      </c>
      <c r="E408" s="4">
        <v>1</v>
      </c>
      <c r="F408" s="4" t="str">
        <f>IFERROR(VLOOKUP(Tabela32[[#This Row],[Placa]],Planilha2!$A$1:$B$12,2,0),"")</f>
        <v>Edilson</v>
      </c>
      <c r="G408" s="10">
        <v>6735.3</v>
      </c>
      <c r="H408" s="10">
        <v>111500.64</v>
      </c>
      <c r="I408" s="4">
        <v>2337</v>
      </c>
      <c r="J408" s="17">
        <f>IFERROR(Tabela32[[#This Row],[Valor Frete]]/Tabela32[[#This Row],[Valor Mercadoria]],"")</f>
        <v>6.0405931302277727E-2</v>
      </c>
      <c r="K408" s="11">
        <v>0.29166666666666669</v>
      </c>
      <c r="L408" s="15">
        <v>0.83333333333333337</v>
      </c>
      <c r="M408" s="15">
        <f>Tabela32[[#This Row],[Hr Chegada]]-Tabela32[[#This Row],[Hr Saida]]</f>
        <v>0.54166666666666674</v>
      </c>
      <c r="N408" s="4">
        <v>106227</v>
      </c>
      <c r="O408" s="4">
        <v>106302</v>
      </c>
      <c r="P408" s="4">
        <f>Tabela32[[#This Row],[Km Chegada]]-Tabela32[[#This Row],[Km Saída]]</f>
        <v>75</v>
      </c>
      <c r="Q408" s="4">
        <v>19</v>
      </c>
      <c r="R408" s="4">
        <v>19</v>
      </c>
      <c r="S408" s="4">
        <v>19</v>
      </c>
      <c r="T408" s="12">
        <f>Tabela32[[#This Row],[Entregas]]-Tabela32[[#This Row],[Realizadas]]</f>
        <v>0</v>
      </c>
      <c r="U408" s="18">
        <f>Tabela32[[#This Row],[Realizadas]]/Tabela32[[#This Row],[Entregas]]</f>
        <v>1</v>
      </c>
      <c r="V408" s="19" t="str">
        <f>IF(Tabela32[[#This Row],[% Entrega]]&gt;=96%,"Atendeu a Meta","Não Atendeu a Meta")</f>
        <v>Atendeu a Meta</v>
      </c>
      <c r="W408" s="4" t="s">
        <v>40</v>
      </c>
      <c r="X408" s="4">
        <v>0</v>
      </c>
      <c r="Y408" s="5">
        <v>0</v>
      </c>
    </row>
    <row r="409" spans="1:25" x14ac:dyDescent="0.25">
      <c r="A409" s="8">
        <v>46290</v>
      </c>
      <c r="B409" s="16">
        <f>YEAR(Tabela32[[#This Row],[Data]])</f>
        <v>2026</v>
      </c>
      <c r="C409" s="16">
        <f>MONTH(Tabela32[[#This Row],[Data]])</f>
        <v>9</v>
      </c>
      <c r="D409" s="4" t="s">
        <v>22</v>
      </c>
      <c r="E409" s="4">
        <v>2</v>
      </c>
      <c r="F409" s="4" t="str">
        <f>IFERROR(VLOOKUP(Tabela32[[#This Row],[Placa]],Planilha2!$A$1:$B$12,2,0),"")</f>
        <v>Juscelino</v>
      </c>
      <c r="G409" s="10">
        <v>9289.91</v>
      </c>
      <c r="H409" s="10">
        <v>164673.81</v>
      </c>
      <c r="I409" s="4">
        <v>1816</v>
      </c>
      <c r="J409" s="17">
        <f>IFERROR(Tabela32[[#This Row],[Valor Frete]]/Tabela32[[#This Row],[Valor Mercadoria]],"")</f>
        <v>5.6414010218139729E-2</v>
      </c>
      <c r="K409" s="11">
        <v>0.27083333333333331</v>
      </c>
      <c r="L409" s="15">
        <v>0.7729166666666667</v>
      </c>
      <c r="M409" s="15">
        <f>Tabela32[[#This Row],[Hr Chegada]]-Tabela32[[#This Row],[Hr Saida]]</f>
        <v>0.50208333333333344</v>
      </c>
      <c r="N409" s="4">
        <v>305511</v>
      </c>
      <c r="O409" s="4">
        <v>305567</v>
      </c>
      <c r="P409" s="4">
        <f>Tabela32[[#This Row],[Km Chegada]]-Tabela32[[#This Row],[Km Saída]]</f>
        <v>56</v>
      </c>
      <c r="Q409" s="4">
        <v>272</v>
      </c>
      <c r="R409" s="4">
        <v>27</v>
      </c>
      <c r="S409" s="4">
        <v>27</v>
      </c>
      <c r="T409" s="12">
        <f>Tabela32[[#This Row],[Entregas]]-Tabela32[[#This Row],[Realizadas]]</f>
        <v>0</v>
      </c>
      <c r="U409" s="18">
        <f>Tabela32[[#This Row],[Realizadas]]/Tabela32[[#This Row],[Entregas]]</f>
        <v>1</v>
      </c>
      <c r="V409" s="19" t="str">
        <f>IF(Tabela32[[#This Row],[% Entrega]]&gt;=96%,"Atendeu a Meta","Não Atendeu a Meta")</f>
        <v>Atendeu a Meta</v>
      </c>
      <c r="W409" s="4" t="s">
        <v>39</v>
      </c>
      <c r="X409" s="4">
        <v>0</v>
      </c>
      <c r="Y409" s="5">
        <v>0</v>
      </c>
    </row>
    <row r="410" spans="1:25" x14ac:dyDescent="0.25">
      <c r="A410" s="8">
        <v>46290</v>
      </c>
      <c r="B410" s="16">
        <f>YEAR(Tabela32[[#This Row],[Data]])</f>
        <v>2026</v>
      </c>
      <c r="C410" s="16">
        <f>MONTH(Tabela32[[#This Row],[Data]])</f>
        <v>9</v>
      </c>
      <c r="D410" s="4" t="s">
        <v>53</v>
      </c>
      <c r="E410" s="4">
        <v>3</v>
      </c>
      <c r="F410" s="4" t="str">
        <f>IFERROR(VLOOKUP(Tabela32[[#This Row],[Placa]],Planilha2!$A$1:$B$12,2,0),"")</f>
        <v>Arnaldo</v>
      </c>
      <c r="G410" s="10">
        <v>11040.71</v>
      </c>
      <c r="H410" s="10">
        <v>199413.43</v>
      </c>
      <c r="I410" s="4">
        <v>2635</v>
      </c>
      <c r="J410" s="17">
        <f>IFERROR(Tabela32[[#This Row],[Valor Frete]]/Tabela32[[#This Row],[Valor Mercadoria]],"")</f>
        <v>5.5365929967705785E-2</v>
      </c>
      <c r="K410" s="11">
        <v>0.2986111111111111</v>
      </c>
      <c r="L410" s="15">
        <v>0.73958333333333337</v>
      </c>
      <c r="M410" s="15">
        <f>Tabela32[[#This Row],[Hr Chegada]]-Tabela32[[#This Row],[Hr Saida]]</f>
        <v>0.44097222222222227</v>
      </c>
      <c r="N410" s="4">
        <v>14111</v>
      </c>
      <c r="O410" s="4">
        <v>14170</v>
      </c>
      <c r="P410" s="4">
        <f>Tabela32[[#This Row],[Km Chegada]]-Tabela32[[#This Row],[Km Saída]]</f>
        <v>59</v>
      </c>
      <c r="Q410" s="4">
        <v>204</v>
      </c>
      <c r="R410" s="4">
        <v>23</v>
      </c>
      <c r="S410" s="4">
        <v>23</v>
      </c>
      <c r="T410" s="12">
        <f>Tabela32[[#This Row],[Entregas]]-Tabela32[[#This Row],[Realizadas]]</f>
        <v>0</v>
      </c>
      <c r="U410" s="18">
        <f>Tabela32[[#This Row],[Realizadas]]/Tabela32[[#This Row],[Entregas]]</f>
        <v>1</v>
      </c>
      <c r="V410" s="19" t="str">
        <f>IF(Tabela32[[#This Row],[% Entrega]]&gt;=96%,"Atendeu a Meta","Não Atendeu a Meta")</f>
        <v>Atendeu a Meta</v>
      </c>
      <c r="W410" s="4" t="s">
        <v>39</v>
      </c>
      <c r="X410" s="4">
        <v>1</v>
      </c>
      <c r="Y410" s="5">
        <v>29</v>
      </c>
    </row>
    <row r="411" spans="1:25" x14ac:dyDescent="0.25">
      <c r="A411" s="8">
        <v>46290</v>
      </c>
      <c r="B411" s="16">
        <f>YEAR(Tabela32[[#This Row],[Data]])</f>
        <v>2026</v>
      </c>
      <c r="C411" s="16">
        <f>MONTH(Tabela32[[#This Row],[Data]])</f>
        <v>9</v>
      </c>
      <c r="D411" s="4" t="s">
        <v>29</v>
      </c>
      <c r="E411" s="4">
        <v>1</v>
      </c>
      <c r="F411" s="4" t="str">
        <f>IFERROR(VLOOKUP(Tabela32[[#This Row],[Placa]],Planilha2!$A$1:$B$12,2,0),"")</f>
        <v>Sandro</v>
      </c>
      <c r="G411" s="10">
        <v>4396.1099999999997</v>
      </c>
      <c r="H411" s="10">
        <v>244440.09</v>
      </c>
      <c r="I411" s="4">
        <v>333</v>
      </c>
      <c r="J411" s="17">
        <f>IFERROR(Tabela32[[#This Row],[Valor Frete]]/Tabela32[[#This Row],[Valor Mercadoria]],"")</f>
        <v>1.7984406731318091E-2</v>
      </c>
      <c r="K411" s="11">
        <v>0.29166666666666669</v>
      </c>
      <c r="L411" s="15">
        <v>0.85347222222222219</v>
      </c>
      <c r="M411" s="15">
        <f>Tabela32[[#This Row],[Hr Chegada]]-Tabela32[[#This Row],[Hr Saida]]</f>
        <v>0.56180555555555545</v>
      </c>
      <c r="N411" s="4">
        <v>276245</v>
      </c>
      <c r="O411" s="4">
        <v>276281</v>
      </c>
      <c r="P411" s="4">
        <f>Tabela32[[#This Row],[Km Chegada]]-Tabela32[[#This Row],[Km Saída]]</f>
        <v>36</v>
      </c>
      <c r="Q411" s="4">
        <v>199</v>
      </c>
      <c r="R411" s="4">
        <v>5</v>
      </c>
      <c r="S411" s="4">
        <v>5</v>
      </c>
      <c r="T411" s="12">
        <f>Tabela32[[#This Row],[Entregas]]-Tabela32[[#This Row],[Realizadas]]</f>
        <v>0</v>
      </c>
      <c r="U411" s="18">
        <f>Tabela32[[#This Row],[Realizadas]]/Tabela32[[#This Row],[Entregas]]</f>
        <v>1</v>
      </c>
      <c r="V411" s="19" t="str">
        <f>IF(Tabela32[[#This Row],[% Entrega]]&gt;=96%,"Atendeu a Meta","Não Atendeu a Meta")</f>
        <v>Atendeu a Meta</v>
      </c>
      <c r="W411" s="4" t="s">
        <v>40</v>
      </c>
      <c r="X411" s="4">
        <v>0</v>
      </c>
      <c r="Y411" s="5">
        <v>0</v>
      </c>
    </row>
    <row r="412" spans="1:25" x14ac:dyDescent="0.25">
      <c r="A412" s="8">
        <v>46290</v>
      </c>
      <c r="B412" s="16">
        <f>YEAR(Tabela32[[#This Row],[Data]])</f>
        <v>2026</v>
      </c>
      <c r="C412" s="16">
        <f>MONTH(Tabela32[[#This Row],[Data]])</f>
        <v>9</v>
      </c>
      <c r="D412" s="4" t="s">
        <v>25</v>
      </c>
      <c r="E412" s="4">
        <v>1</v>
      </c>
      <c r="F412" s="4" t="str">
        <f>IFERROR(VLOOKUP(Tabela32[[#This Row],[Placa]],Planilha2!$A$1:$B$12,2,0),"")</f>
        <v>Gilberto</v>
      </c>
      <c r="G412" s="10">
        <v>14980.47</v>
      </c>
      <c r="H412" s="10">
        <v>140701.66</v>
      </c>
      <c r="I412" s="4">
        <v>5351</v>
      </c>
      <c r="J412" s="17">
        <f>IFERROR(Tabela32[[#This Row],[Valor Frete]]/Tabela32[[#This Row],[Valor Mercadoria]],"")</f>
        <v>0.10646974598593932</v>
      </c>
      <c r="K412" s="11">
        <v>0.3125</v>
      </c>
      <c r="L412" s="15">
        <v>0.69791666666666663</v>
      </c>
      <c r="M412" s="15">
        <f>Tabela32[[#This Row],[Hr Chegada]]-Tabela32[[#This Row],[Hr Saida]]</f>
        <v>0.38541666666666663</v>
      </c>
      <c r="N412" s="4">
        <v>120351</v>
      </c>
      <c r="O412" s="4">
        <v>120398</v>
      </c>
      <c r="P412" s="4">
        <f>Tabela32[[#This Row],[Km Chegada]]-Tabela32[[#This Row],[Km Saída]]</f>
        <v>47</v>
      </c>
      <c r="Q412" s="4">
        <v>424</v>
      </c>
      <c r="R412" s="4">
        <v>12</v>
      </c>
      <c r="S412" s="4">
        <v>12</v>
      </c>
      <c r="T412" s="12">
        <f>Tabela32[[#This Row],[Entregas]]-Tabela32[[#This Row],[Realizadas]]</f>
        <v>0</v>
      </c>
      <c r="U412" s="18">
        <f>Tabela32[[#This Row],[Realizadas]]/Tabela32[[#This Row],[Entregas]]</f>
        <v>1</v>
      </c>
      <c r="V412" s="19" t="str">
        <f>IF(Tabela32[[#This Row],[% Entrega]]&gt;=96%,"Atendeu a Meta","Não Atendeu a Meta")</f>
        <v>Atendeu a Meta</v>
      </c>
      <c r="W412" s="4" t="s">
        <v>43</v>
      </c>
      <c r="X412" s="4">
        <v>0</v>
      </c>
      <c r="Y412" s="5">
        <v>0</v>
      </c>
    </row>
    <row r="413" spans="1:25" x14ac:dyDescent="0.25">
      <c r="A413" s="8">
        <v>46290</v>
      </c>
      <c r="B413" s="16">
        <f>YEAR(Tabela32[[#This Row],[Data]])</f>
        <v>2026</v>
      </c>
      <c r="C413" s="16">
        <f>MONTH(Tabela32[[#This Row],[Data]])</f>
        <v>9</v>
      </c>
      <c r="D413" s="4" t="s">
        <v>35</v>
      </c>
      <c r="E413" s="4">
        <v>1</v>
      </c>
      <c r="F413" s="4" t="str">
        <f>IFERROR(VLOOKUP(Tabela32[[#This Row],[Placa]],Planilha2!$A$1:$B$12,2,0),"")</f>
        <v>Osvaldo</v>
      </c>
      <c r="G413" s="10">
        <v>4004.13</v>
      </c>
      <c r="H413" s="10">
        <v>51763.71</v>
      </c>
      <c r="I413" s="4">
        <v>523</v>
      </c>
      <c r="J413" s="17">
        <f>IFERROR(Tabela32[[#This Row],[Valor Frete]]/Tabela32[[#This Row],[Valor Mercadoria]],"")</f>
        <v>7.7353999549104963E-2</v>
      </c>
      <c r="K413" s="11">
        <v>0.3125</v>
      </c>
      <c r="L413" s="15">
        <v>0.68958333333333333</v>
      </c>
      <c r="M413" s="15">
        <f>Tabela32[[#This Row],[Hr Chegada]]-Tabela32[[#This Row],[Hr Saida]]</f>
        <v>0.37708333333333333</v>
      </c>
      <c r="N413" s="4">
        <v>143760</v>
      </c>
      <c r="O413" s="4">
        <v>143838</v>
      </c>
      <c r="P413" s="4">
        <f>Tabela32[[#This Row],[Km Chegada]]-Tabela32[[#This Row],[Km Saída]]</f>
        <v>78</v>
      </c>
      <c r="Q413" s="4">
        <v>105</v>
      </c>
      <c r="R413" s="4">
        <v>17</v>
      </c>
      <c r="S413" s="4">
        <v>17</v>
      </c>
      <c r="T413" s="12">
        <f>Tabela32[[#This Row],[Entregas]]-Tabela32[[#This Row],[Realizadas]]</f>
        <v>0</v>
      </c>
      <c r="U413" s="18">
        <f>Tabela32[[#This Row],[Realizadas]]/Tabela32[[#This Row],[Entregas]]</f>
        <v>1</v>
      </c>
      <c r="V413" s="19" t="str">
        <f>IF(Tabela32[[#This Row],[% Entrega]]&gt;=96%,"Atendeu a Meta","Não Atendeu a Meta")</f>
        <v>Atendeu a Meta</v>
      </c>
      <c r="W413" s="4" t="s">
        <v>43</v>
      </c>
      <c r="X413" s="4">
        <v>0</v>
      </c>
      <c r="Y413" s="5">
        <v>0</v>
      </c>
    </row>
    <row r="414" spans="1:25" x14ac:dyDescent="0.25">
      <c r="A414" s="8">
        <v>46293</v>
      </c>
      <c r="B414" s="16">
        <f>YEAR(Tabela32[[#This Row],[Data]])</f>
        <v>2026</v>
      </c>
      <c r="C414" s="16">
        <f>MONTH(Tabela32[[#This Row],[Data]])</f>
        <v>9</v>
      </c>
      <c r="D414" s="4" t="s">
        <v>28</v>
      </c>
      <c r="E414" s="4">
        <v>11</v>
      </c>
      <c r="F414" s="4" t="str">
        <f>IFERROR(VLOOKUP(Tabela32[[#This Row],[Placa]],Planilha2!$A$1:$B$12,2,0),"")</f>
        <v>Edilson</v>
      </c>
      <c r="G414" s="10">
        <v>21693.67</v>
      </c>
      <c r="H414" s="10">
        <v>354040.34</v>
      </c>
      <c r="I414" s="4">
        <v>4005</v>
      </c>
      <c r="J414" s="17">
        <f>IFERROR(Tabela32[[#This Row],[Valor Frete]]/Tabela32[[#This Row],[Valor Mercadoria]],"")</f>
        <v>6.1274571140678483E-2</v>
      </c>
      <c r="K414" s="11">
        <v>0.27430555555555558</v>
      </c>
      <c r="L414" s="15">
        <v>0.80208333333333337</v>
      </c>
      <c r="M414" s="15">
        <f>Tabela32[[#This Row],[Hr Chegada]]-Tabela32[[#This Row],[Hr Saida]]</f>
        <v>0.52777777777777779</v>
      </c>
      <c r="N414" s="4">
        <v>106302</v>
      </c>
      <c r="O414" s="4">
        <v>106433</v>
      </c>
      <c r="P414" s="4">
        <f>Tabela32[[#This Row],[Km Chegada]]-Tabela32[[#This Row],[Km Saída]]</f>
        <v>131</v>
      </c>
      <c r="Q414" s="4">
        <v>737</v>
      </c>
      <c r="R414" s="4">
        <v>21</v>
      </c>
      <c r="S414" s="4">
        <v>21</v>
      </c>
      <c r="T414" s="12">
        <f>Tabela32[[#This Row],[Entregas]]-Tabela32[[#This Row],[Realizadas]]</f>
        <v>0</v>
      </c>
      <c r="U414" s="18">
        <f>Tabela32[[#This Row],[Realizadas]]/Tabela32[[#This Row],[Entregas]]</f>
        <v>1</v>
      </c>
      <c r="V414" s="19" t="str">
        <f>IF(Tabela32[[#This Row],[% Entrega]]&gt;=96%,"Atendeu a Meta","Não Atendeu a Meta")</f>
        <v>Atendeu a Meta</v>
      </c>
      <c r="W414" s="4" t="s">
        <v>41</v>
      </c>
      <c r="X414" s="4">
        <v>0</v>
      </c>
      <c r="Y414" s="5">
        <v>0</v>
      </c>
    </row>
    <row r="415" spans="1:25" x14ac:dyDescent="0.25">
      <c r="A415" s="8">
        <v>46293</v>
      </c>
      <c r="B415" s="16">
        <f>YEAR(Tabela32[[#This Row],[Data]])</f>
        <v>2026</v>
      </c>
      <c r="C415" s="16">
        <f>MONTH(Tabela32[[#This Row],[Data]])</f>
        <v>9</v>
      </c>
      <c r="D415" s="4" t="s">
        <v>33</v>
      </c>
      <c r="E415" s="4">
        <v>1</v>
      </c>
      <c r="F415" s="4" t="str">
        <f>IFERROR(VLOOKUP(Tabela32[[#This Row],[Placa]],Planilha2!$A$1:$B$12,2,0),"")</f>
        <v>Paulo</v>
      </c>
      <c r="G415" s="10">
        <v>2973.41</v>
      </c>
      <c r="H415" s="10">
        <v>9200.4500000000007</v>
      </c>
      <c r="I415" s="4">
        <v>177</v>
      </c>
      <c r="J415" s="17">
        <f>IFERROR(Tabela32[[#This Row],[Valor Frete]]/Tabela32[[#This Row],[Valor Mercadoria]],"")</f>
        <v>0.32318093136748743</v>
      </c>
      <c r="K415" s="11">
        <v>0.26319444444444445</v>
      </c>
      <c r="L415" s="15">
        <v>0.49791666666666667</v>
      </c>
      <c r="M415" s="15">
        <f>Tabela32[[#This Row],[Hr Chegada]]-Tabela32[[#This Row],[Hr Saida]]</f>
        <v>0.23472222222222222</v>
      </c>
      <c r="N415" s="4">
        <v>156247</v>
      </c>
      <c r="O415" s="4">
        <v>156302</v>
      </c>
      <c r="P415" s="4">
        <f>Tabela32[[#This Row],[Km Chegada]]-Tabela32[[#This Row],[Km Saída]]</f>
        <v>55</v>
      </c>
      <c r="Q415" s="4">
        <v>27</v>
      </c>
      <c r="R415" s="4">
        <v>1</v>
      </c>
      <c r="S415" s="4">
        <v>1</v>
      </c>
      <c r="T415" s="12">
        <f>Tabela32[[#This Row],[Entregas]]-Tabela32[[#This Row],[Realizadas]]</f>
        <v>0</v>
      </c>
      <c r="U415" s="18">
        <f>Tabela32[[#This Row],[Realizadas]]/Tabela32[[#This Row],[Entregas]]</f>
        <v>1</v>
      </c>
      <c r="V415" s="19" t="str">
        <f>IF(Tabela32[[#This Row],[% Entrega]]&gt;=96%,"Atendeu a Meta","Não Atendeu a Meta")</f>
        <v>Atendeu a Meta</v>
      </c>
      <c r="W415" s="4" t="s">
        <v>40</v>
      </c>
      <c r="X415" s="4">
        <v>0</v>
      </c>
      <c r="Y415" s="5">
        <v>0</v>
      </c>
    </row>
    <row r="416" spans="1:25" x14ac:dyDescent="0.25">
      <c r="A416" s="8">
        <v>46293</v>
      </c>
      <c r="B416" s="16">
        <f>YEAR(Tabela32[[#This Row],[Data]])</f>
        <v>2026</v>
      </c>
      <c r="C416" s="16">
        <f>MONTH(Tabela32[[#This Row],[Data]])</f>
        <v>9</v>
      </c>
      <c r="D416" s="4" t="s">
        <v>22</v>
      </c>
      <c r="E416" s="4">
        <v>3</v>
      </c>
      <c r="F416" s="4" t="str">
        <f>IFERROR(VLOOKUP(Tabela32[[#This Row],[Placa]],Planilha2!$A$1:$B$12,2,0),"")</f>
        <v>Juscelino</v>
      </c>
      <c r="G416" s="10">
        <v>9218.99</v>
      </c>
      <c r="H416" s="10">
        <v>251213.41</v>
      </c>
      <c r="I416" s="4">
        <v>2045</v>
      </c>
      <c r="J416" s="17">
        <f>IFERROR(Tabela32[[#This Row],[Valor Frete]]/Tabela32[[#This Row],[Valor Mercadoria]],"")</f>
        <v>3.669784188670501E-2</v>
      </c>
      <c r="K416" s="11">
        <v>0.29166666666666669</v>
      </c>
      <c r="L416" s="15">
        <v>0.76388888888888884</v>
      </c>
      <c r="M416" s="15">
        <f>Tabela32[[#This Row],[Hr Chegada]]-Tabela32[[#This Row],[Hr Saida]]</f>
        <v>0.47222222222222215</v>
      </c>
      <c r="N416" s="4">
        <v>305567</v>
      </c>
      <c r="O416" s="4">
        <v>305630</v>
      </c>
      <c r="P416" s="4">
        <f>Tabela32[[#This Row],[Km Chegada]]-Tabela32[[#This Row],[Km Saída]]</f>
        <v>63</v>
      </c>
      <c r="Q416" s="4">
        <v>262</v>
      </c>
      <c r="R416" s="4">
        <v>23</v>
      </c>
      <c r="S416" s="4">
        <v>21</v>
      </c>
      <c r="T416" s="12">
        <f>Tabela32[[#This Row],[Entregas]]-Tabela32[[#This Row],[Realizadas]]</f>
        <v>2</v>
      </c>
      <c r="U416" s="18">
        <f>Tabela32[[#This Row],[Realizadas]]/Tabela32[[#This Row],[Entregas]]</f>
        <v>0.91304347826086951</v>
      </c>
      <c r="V416" s="19" t="str">
        <f>IF(Tabela32[[#This Row],[% Entrega]]&gt;=96%,"Atendeu a Meta","Não Atendeu a Meta")</f>
        <v>Não Atendeu a Meta</v>
      </c>
      <c r="W416" s="4" t="s">
        <v>39</v>
      </c>
      <c r="X416" s="4">
        <v>3</v>
      </c>
      <c r="Y416" s="5" t="s">
        <v>89</v>
      </c>
    </row>
    <row r="417" spans="1:25" x14ac:dyDescent="0.25">
      <c r="A417" s="8">
        <v>46293</v>
      </c>
      <c r="B417" s="16">
        <f>YEAR(Tabela32[[#This Row],[Data]])</f>
        <v>2026</v>
      </c>
      <c r="C417" s="16">
        <f>MONTH(Tabela32[[#This Row],[Data]])</f>
        <v>9</v>
      </c>
      <c r="D417" s="4" t="s">
        <v>23</v>
      </c>
      <c r="E417" s="4">
        <v>2</v>
      </c>
      <c r="F417" s="4" t="str">
        <f>IFERROR(VLOOKUP(Tabela32[[#This Row],[Placa]],Planilha2!$A$1:$B$12,2,0),"")</f>
        <v>William</v>
      </c>
      <c r="G417" s="10">
        <v>9319.57</v>
      </c>
      <c r="H417" s="10">
        <v>206129.93</v>
      </c>
      <c r="I417" s="4">
        <v>1859</v>
      </c>
      <c r="J417" s="17">
        <f>IFERROR(Tabela32[[#This Row],[Valor Frete]]/Tabela32[[#This Row],[Valor Mercadoria]],"")</f>
        <v>4.5212114514374499E-2</v>
      </c>
      <c r="K417" s="11">
        <v>0.27083333333333331</v>
      </c>
      <c r="L417" s="15">
        <v>0.80555555555555558</v>
      </c>
      <c r="M417" s="15">
        <f>Tabela32[[#This Row],[Hr Chegada]]-Tabela32[[#This Row],[Hr Saida]]</f>
        <v>0.53472222222222232</v>
      </c>
      <c r="N417" s="4">
        <v>126246</v>
      </c>
      <c r="O417" s="4">
        <v>126325</v>
      </c>
      <c r="P417" s="4">
        <f>Tabela32[[#This Row],[Km Chegada]]-Tabela32[[#This Row],[Km Saída]]</f>
        <v>79</v>
      </c>
      <c r="Q417" s="4">
        <v>267</v>
      </c>
      <c r="R417" s="4">
        <v>32</v>
      </c>
      <c r="S417" s="4">
        <v>32</v>
      </c>
      <c r="T417" s="12">
        <f>Tabela32[[#This Row],[Entregas]]-Tabela32[[#This Row],[Realizadas]]</f>
        <v>0</v>
      </c>
      <c r="U417" s="18">
        <f>Tabela32[[#This Row],[Realizadas]]/Tabela32[[#This Row],[Entregas]]</f>
        <v>1</v>
      </c>
      <c r="V417" s="19" t="str">
        <f>IF(Tabela32[[#This Row],[% Entrega]]&gt;=96%,"Atendeu a Meta","Não Atendeu a Meta")</f>
        <v>Atendeu a Meta</v>
      </c>
      <c r="W417" s="4" t="s">
        <v>39</v>
      </c>
      <c r="X417" s="4">
        <v>0</v>
      </c>
      <c r="Y417" s="5">
        <v>0</v>
      </c>
    </row>
    <row r="418" spans="1:25" x14ac:dyDescent="0.25">
      <c r="A418" s="8">
        <v>46293</v>
      </c>
      <c r="B418" s="16">
        <f>YEAR(Tabela32[[#This Row],[Data]])</f>
        <v>2026</v>
      </c>
      <c r="C418" s="16">
        <f>MONTH(Tabela32[[#This Row],[Data]])</f>
        <v>9</v>
      </c>
      <c r="D418" s="4" t="s">
        <v>27</v>
      </c>
      <c r="E418" s="4">
        <v>1</v>
      </c>
      <c r="F418" s="4" t="str">
        <f>IFERROR(VLOOKUP(Tabela32[[#This Row],[Placa]],Planilha2!$A$1:$B$12,2,0),"")</f>
        <v>Rosinaldo</v>
      </c>
      <c r="G418" s="10">
        <v>9333.08</v>
      </c>
      <c r="H418" s="10">
        <v>290605.62</v>
      </c>
      <c r="I418" s="4">
        <v>1402</v>
      </c>
      <c r="J418" s="17">
        <f>IFERROR(Tabela32[[#This Row],[Valor Frete]]/Tabela32[[#This Row],[Valor Mercadoria]],"")</f>
        <v>3.2115965272798232E-2</v>
      </c>
      <c r="K418" s="11">
        <v>0.29166666666666669</v>
      </c>
      <c r="L418" s="15">
        <v>0.78263888888888888</v>
      </c>
      <c r="M418" s="15">
        <f>Tabela32[[#This Row],[Hr Chegada]]-Tabela32[[#This Row],[Hr Saida]]</f>
        <v>0.4909722222222222</v>
      </c>
      <c r="N418" s="4">
        <v>291859</v>
      </c>
      <c r="O418" s="4">
        <v>291912</v>
      </c>
      <c r="P418" s="4">
        <f>Tabela32[[#This Row],[Km Chegada]]-Tabela32[[#This Row],[Km Saída]]</f>
        <v>53</v>
      </c>
      <c r="Q418" s="4">
        <v>143</v>
      </c>
      <c r="R418" s="4">
        <v>5</v>
      </c>
      <c r="S418" s="4">
        <v>5</v>
      </c>
      <c r="T418" s="12">
        <f>Tabela32[[#This Row],[Entregas]]-Tabela32[[#This Row],[Realizadas]]</f>
        <v>0</v>
      </c>
      <c r="U418" s="18">
        <f>Tabela32[[#This Row],[Realizadas]]/Tabela32[[#This Row],[Entregas]]</f>
        <v>1</v>
      </c>
      <c r="V418" s="19" t="str">
        <f>IF(Tabela32[[#This Row],[% Entrega]]&gt;=96%,"Atendeu a Meta","Não Atendeu a Meta")</f>
        <v>Atendeu a Meta</v>
      </c>
      <c r="W418" s="4" t="s">
        <v>40</v>
      </c>
      <c r="X418" s="4">
        <v>0</v>
      </c>
      <c r="Y418" s="5">
        <v>0</v>
      </c>
    </row>
    <row r="419" spans="1:25" x14ac:dyDescent="0.25">
      <c r="A419" s="8">
        <v>46293</v>
      </c>
      <c r="B419" s="16">
        <f>YEAR(Tabela32[[#This Row],[Data]])</f>
        <v>2026</v>
      </c>
      <c r="C419" s="16">
        <f>MONTH(Tabela32[[#This Row],[Data]])</f>
        <v>9</v>
      </c>
      <c r="D419" s="4" t="s">
        <v>53</v>
      </c>
      <c r="E419" s="4">
        <v>5</v>
      </c>
      <c r="F419" s="4" t="str">
        <f>IFERROR(VLOOKUP(Tabela32[[#This Row],[Placa]],Planilha2!$A$1:$B$12,2,0),"")</f>
        <v>Arnaldo</v>
      </c>
      <c r="G419" s="10">
        <v>23684.07</v>
      </c>
      <c r="H419" s="10">
        <v>464001.72</v>
      </c>
      <c r="I419" s="4">
        <v>3729</v>
      </c>
      <c r="J419" s="17">
        <f>IFERROR(Tabela32[[#This Row],[Valor Frete]]/Tabela32[[#This Row],[Valor Mercadoria]],"")</f>
        <v>5.1043065098982827E-2</v>
      </c>
      <c r="K419" s="11">
        <v>0.29375000000000001</v>
      </c>
      <c r="L419" s="15">
        <v>0.78055555555555556</v>
      </c>
      <c r="M419" s="15">
        <f>Tabela32[[#This Row],[Hr Chegada]]-Tabela32[[#This Row],[Hr Saida]]</f>
        <v>0.48680555555555555</v>
      </c>
      <c r="N419" s="4">
        <v>14171</v>
      </c>
      <c r="O419" s="4">
        <v>14237</v>
      </c>
      <c r="P419" s="4">
        <f>Tabela32[[#This Row],[Km Chegada]]-Tabela32[[#This Row],[Km Saída]]</f>
        <v>66</v>
      </c>
      <c r="Q419" s="4">
        <v>274</v>
      </c>
      <c r="R419" s="4">
        <v>21</v>
      </c>
      <c r="S419" s="4">
        <v>21</v>
      </c>
      <c r="T419" s="12">
        <f>Tabela32[[#This Row],[Entregas]]-Tabela32[[#This Row],[Realizadas]]</f>
        <v>0</v>
      </c>
      <c r="U419" s="18">
        <f>Tabela32[[#This Row],[Realizadas]]/Tabela32[[#This Row],[Entregas]]</f>
        <v>1</v>
      </c>
      <c r="V419" s="19" t="str">
        <f>IF(Tabela32[[#This Row],[% Entrega]]&gt;=96%,"Atendeu a Meta","Não Atendeu a Meta")</f>
        <v>Atendeu a Meta</v>
      </c>
      <c r="W419" s="4" t="s">
        <v>39</v>
      </c>
      <c r="X419" s="4">
        <v>0</v>
      </c>
      <c r="Y419" s="5">
        <v>38</v>
      </c>
    </row>
    <row r="420" spans="1:25" x14ac:dyDescent="0.25">
      <c r="A420" s="8">
        <v>46293</v>
      </c>
      <c r="B420" s="16">
        <f>YEAR(Tabela32[[#This Row],[Data]])</f>
        <v>2026</v>
      </c>
      <c r="C420" s="16">
        <f>MONTH(Tabela32[[#This Row],[Data]])</f>
        <v>9</v>
      </c>
      <c r="D420" s="4" t="s">
        <v>29</v>
      </c>
      <c r="E420" s="4">
        <v>1</v>
      </c>
      <c r="F420" s="4" t="str">
        <f>IFERROR(VLOOKUP(Tabela32[[#This Row],[Placa]],Planilha2!$A$1:$B$12,2,0),"")</f>
        <v>Sandro</v>
      </c>
      <c r="G420" s="10">
        <v>3368.44</v>
      </c>
      <c r="H420" s="10">
        <v>39299.07</v>
      </c>
      <c r="I420" s="4">
        <v>126</v>
      </c>
      <c r="J420" s="17">
        <f>IFERROR(Tabela32[[#This Row],[Valor Frete]]/Tabela32[[#This Row],[Valor Mercadoria]],"")</f>
        <v>8.5712969798013031E-2</v>
      </c>
      <c r="K420" s="11">
        <v>0.29166666666666669</v>
      </c>
      <c r="L420" s="15">
        <v>0.73263888888888884</v>
      </c>
      <c r="M420" s="15">
        <f>Tabela32[[#This Row],[Hr Chegada]]-Tabela32[[#This Row],[Hr Saida]]</f>
        <v>0.44097222222222215</v>
      </c>
      <c r="N420" s="4">
        <v>276287</v>
      </c>
      <c r="O420" s="4">
        <v>276329</v>
      </c>
      <c r="P420" s="4">
        <f>Tabela32[[#This Row],[Km Chegada]]-Tabela32[[#This Row],[Km Saída]]</f>
        <v>42</v>
      </c>
      <c r="Q420" s="4">
        <v>34</v>
      </c>
      <c r="R420" s="4">
        <v>5</v>
      </c>
      <c r="S420" s="4">
        <v>5</v>
      </c>
      <c r="T420" s="12">
        <f>Tabela32[[#This Row],[Entregas]]-Tabela32[[#This Row],[Realizadas]]</f>
        <v>0</v>
      </c>
      <c r="U420" s="18">
        <f>Tabela32[[#This Row],[Realizadas]]/Tabela32[[#This Row],[Entregas]]</f>
        <v>1</v>
      </c>
      <c r="V420" s="19" t="str">
        <f>IF(Tabela32[[#This Row],[% Entrega]]&gt;=96%,"Atendeu a Meta","Não Atendeu a Meta")</f>
        <v>Atendeu a Meta</v>
      </c>
      <c r="W420" s="4" t="s">
        <v>40</v>
      </c>
      <c r="X420" s="4">
        <v>0</v>
      </c>
      <c r="Y420" s="5">
        <v>0</v>
      </c>
    </row>
    <row r="421" spans="1:25" x14ac:dyDescent="0.25">
      <c r="A421" s="8">
        <v>46293</v>
      </c>
      <c r="B421" s="16">
        <f>YEAR(Tabela32[[#This Row],[Data]])</f>
        <v>2026</v>
      </c>
      <c r="C421" s="16">
        <f>MONTH(Tabela32[[#This Row],[Data]])</f>
        <v>9</v>
      </c>
      <c r="D421" s="4" t="s">
        <v>31</v>
      </c>
      <c r="E421" s="4">
        <v>1</v>
      </c>
      <c r="F421" s="4" t="str">
        <f>IFERROR(VLOOKUP(Tabela32[[#This Row],[Placa]],Planilha2!$A$1:$B$12,2,0),"")</f>
        <v>Jerson</v>
      </c>
      <c r="G421" s="10">
        <v>4705.49</v>
      </c>
      <c r="H421" s="10">
        <v>42953.85</v>
      </c>
      <c r="I421" s="4">
        <v>769</v>
      </c>
      <c r="J421" s="17">
        <f>IFERROR(Tabela32[[#This Row],[Valor Frete]]/Tabela32[[#This Row],[Valor Mercadoria]],"")</f>
        <v>0.10954757256916435</v>
      </c>
      <c r="K421" s="11">
        <v>0.2986111111111111</v>
      </c>
      <c r="L421" s="15">
        <v>0.85277777777777775</v>
      </c>
      <c r="M421" s="15">
        <f>Tabela32[[#This Row],[Hr Chegada]]-Tabela32[[#This Row],[Hr Saida]]</f>
        <v>0.5541666666666667</v>
      </c>
      <c r="N421" s="4">
        <v>281059</v>
      </c>
      <c r="O421" s="4">
        <v>281247</v>
      </c>
      <c r="P421" s="4">
        <f>Tabela32[[#This Row],[Km Chegada]]-Tabela32[[#This Row],[Km Saída]]</f>
        <v>188</v>
      </c>
      <c r="Q421" s="4">
        <v>108</v>
      </c>
      <c r="R421" s="4">
        <v>16</v>
      </c>
      <c r="S421" s="4">
        <v>15</v>
      </c>
      <c r="T421" s="12">
        <f>Tabela32[[#This Row],[Entregas]]-Tabela32[[#This Row],[Realizadas]]</f>
        <v>1</v>
      </c>
      <c r="U421" s="18">
        <f>Tabela32[[#This Row],[Realizadas]]/Tabela32[[#This Row],[Entregas]]</f>
        <v>0.9375</v>
      </c>
      <c r="V421" s="19" t="str">
        <f>IF(Tabela32[[#This Row],[% Entrega]]&gt;=96%,"Atendeu a Meta","Não Atendeu a Meta")</f>
        <v>Não Atendeu a Meta</v>
      </c>
      <c r="W421" s="4" t="s">
        <v>90</v>
      </c>
      <c r="X421" s="4">
        <v>2</v>
      </c>
      <c r="Y421" s="5">
        <v>13.42</v>
      </c>
    </row>
    <row r="422" spans="1:25" x14ac:dyDescent="0.25">
      <c r="A422" s="8">
        <v>46293</v>
      </c>
      <c r="B422" s="16">
        <f>YEAR(Tabela32[[#This Row],[Data]])</f>
        <v>2026</v>
      </c>
      <c r="C422" s="16">
        <f>MONTH(Tabela32[[#This Row],[Data]])</f>
        <v>9</v>
      </c>
      <c r="D422" s="4" t="s">
        <v>36</v>
      </c>
      <c r="E422" s="4">
        <v>5</v>
      </c>
      <c r="F422" s="4" t="str">
        <f>IFERROR(VLOOKUP(Tabela32[[#This Row],[Placa]],Planilha2!$A$1:$B$12,2,0),"")</f>
        <v>Heremilton</v>
      </c>
      <c r="G422" s="10">
        <v>12922.53</v>
      </c>
      <c r="H422" s="10">
        <v>364913.29</v>
      </c>
      <c r="I422" s="4">
        <v>2323</v>
      </c>
      <c r="J422" s="17">
        <f>IFERROR(Tabela32[[#This Row],[Valor Frete]]/Tabela32[[#This Row],[Valor Mercadoria]],"")</f>
        <v>3.5412604457349312E-2</v>
      </c>
      <c r="K422" s="11">
        <v>0.27083333333333331</v>
      </c>
      <c r="L422" s="15">
        <v>0.76388888888888884</v>
      </c>
      <c r="M422" s="15">
        <f>Tabela32[[#This Row],[Hr Chegada]]-Tabela32[[#This Row],[Hr Saida]]</f>
        <v>0.49305555555555552</v>
      </c>
      <c r="N422" s="4">
        <v>367044</v>
      </c>
      <c r="O422" s="4">
        <v>367081</v>
      </c>
      <c r="P422" s="4">
        <f>Tabela32[[#This Row],[Km Chegada]]-Tabela32[[#This Row],[Km Saída]]</f>
        <v>37</v>
      </c>
      <c r="Q422" s="4">
        <v>576</v>
      </c>
      <c r="R422" s="4">
        <v>12</v>
      </c>
      <c r="S422" s="4">
        <v>12</v>
      </c>
      <c r="T422" s="12">
        <f>Tabela32[[#This Row],[Entregas]]-Tabela32[[#This Row],[Realizadas]]</f>
        <v>0</v>
      </c>
      <c r="U422" s="18">
        <f>Tabela32[[#This Row],[Realizadas]]/Tabela32[[#This Row],[Entregas]]</f>
        <v>1</v>
      </c>
      <c r="V422" s="19" t="str">
        <f>IF(Tabela32[[#This Row],[% Entrega]]&gt;=96%,"Atendeu a Meta","Não Atendeu a Meta")</f>
        <v>Atendeu a Meta</v>
      </c>
      <c r="W422" s="4" t="s">
        <v>39</v>
      </c>
      <c r="X422" s="4">
        <v>0</v>
      </c>
      <c r="Y422" s="5">
        <v>0</v>
      </c>
    </row>
    <row r="423" spans="1:25" x14ac:dyDescent="0.25">
      <c r="A423" s="8">
        <v>46293</v>
      </c>
      <c r="B423" s="16">
        <f>YEAR(Tabela32[[#This Row],[Data]])</f>
        <v>2026</v>
      </c>
      <c r="C423" s="16">
        <f>MONTH(Tabela32[[#This Row],[Data]])</f>
        <v>9</v>
      </c>
      <c r="D423" s="4" t="s">
        <v>25</v>
      </c>
      <c r="E423" s="4">
        <v>5</v>
      </c>
      <c r="F423" s="4" t="str">
        <f>IFERROR(VLOOKUP(Tabela32[[#This Row],[Placa]],Planilha2!$A$1:$B$12,2,0),"")</f>
        <v>Gilberto</v>
      </c>
      <c r="G423" s="10">
        <v>11215.28</v>
      </c>
      <c r="H423" s="10">
        <v>148653.44</v>
      </c>
      <c r="I423" s="4">
        <v>2785</v>
      </c>
      <c r="J423" s="17">
        <f>IFERROR(Tabela32[[#This Row],[Valor Frete]]/Tabela32[[#This Row],[Valor Mercadoria]],"")</f>
        <v>7.5445815448334064E-2</v>
      </c>
      <c r="K423" s="11">
        <v>0.29166666666666669</v>
      </c>
      <c r="L423" s="15">
        <v>0.73541666666666672</v>
      </c>
      <c r="M423" s="15">
        <f>Tabela32[[#This Row],[Hr Chegada]]-Tabela32[[#This Row],[Hr Saida]]</f>
        <v>0.44375000000000003</v>
      </c>
      <c r="N423" s="4">
        <v>120399</v>
      </c>
      <c r="O423" s="4">
        <v>120461</v>
      </c>
      <c r="P423" s="4">
        <f>Tabela32[[#This Row],[Km Chegada]]-Tabela32[[#This Row],[Km Saída]]</f>
        <v>62</v>
      </c>
      <c r="Q423" s="4">
        <v>302</v>
      </c>
      <c r="R423" s="4">
        <v>11</v>
      </c>
      <c r="S423" s="4">
        <v>10</v>
      </c>
      <c r="T423" s="12">
        <f>Tabela32[[#This Row],[Entregas]]-Tabela32[[#This Row],[Realizadas]]</f>
        <v>1</v>
      </c>
      <c r="U423" s="18">
        <f>Tabela32[[#This Row],[Realizadas]]/Tabela32[[#This Row],[Entregas]]</f>
        <v>0.90909090909090906</v>
      </c>
      <c r="V423" s="19" t="str">
        <f>IF(Tabela32[[#This Row],[% Entrega]]&gt;=96%,"Atendeu a Meta","Não Atendeu a Meta")</f>
        <v>Não Atendeu a Meta</v>
      </c>
      <c r="W423" s="4" t="s">
        <v>39</v>
      </c>
      <c r="X423" s="4">
        <v>1</v>
      </c>
      <c r="Y423" s="5">
        <v>13</v>
      </c>
    </row>
    <row r="424" spans="1:25" x14ac:dyDescent="0.25">
      <c r="A424" s="8">
        <v>46293</v>
      </c>
      <c r="B424" s="16">
        <f>YEAR(Tabela32[[#This Row],[Data]])</f>
        <v>2026</v>
      </c>
      <c r="C424" s="16">
        <f>MONTH(Tabela32[[#This Row],[Data]])</f>
        <v>9</v>
      </c>
      <c r="D424" s="4" t="s">
        <v>35</v>
      </c>
      <c r="E424" s="4">
        <v>1</v>
      </c>
      <c r="F424" s="4" t="str">
        <f>IFERROR(VLOOKUP(Tabela32[[#This Row],[Placa]],Planilha2!$A$1:$B$12,2,0),"")</f>
        <v>Osvaldo</v>
      </c>
      <c r="G424" s="10">
        <v>9273.92</v>
      </c>
      <c r="H424" s="10">
        <v>193715.08</v>
      </c>
      <c r="I424" s="4">
        <v>1758</v>
      </c>
      <c r="J424" s="17">
        <f>IFERROR(Tabela32[[#This Row],[Valor Frete]]/Tabela32[[#This Row],[Valor Mercadoria]],"")</f>
        <v>4.7874021991473253E-2</v>
      </c>
      <c r="K424" s="11">
        <v>0.29166666666666669</v>
      </c>
      <c r="L424" s="15">
        <v>0.7583333333333333</v>
      </c>
      <c r="M424" s="15">
        <f>Tabela32[[#This Row],[Hr Chegada]]-Tabela32[[#This Row],[Hr Saida]]</f>
        <v>0.46666666666666662</v>
      </c>
      <c r="N424" s="4">
        <v>143838</v>
      </c>
      <c r="O424" s="4">
        <v>143896</v>
      </c>
      <c r="P424" s="4">
        <f>Tabela32[[#This Row],[Km Chegada]]-Tabela32[[#This Row],[Km Saída]]</f>
        <v>58</v>
      </c>
      <c r="Q424" s="4">
        <v>163</v>
      </c>
      <c r="R424" s="4">
        <v>20</v>
      </c>
      <c r="S424" s="4">
        <v>20</v>
      </c>
      <c r="T424" s="12">
        <f>Tabela32[[#This Row],[Entregas]]-Tabela32[[#This Row],[Realizadas]]</f>
        <v>0</v>
      </c>
      <c r="U424" s="18">
        <f>Tabela32[[#This Row],[Realizadas]]/Tabela32[[#This Row],[Entregas]]</f>
        <v>1</v>
      </c>
      <c r="V424" s="19" t="str">
        <f>IF(Tabela32[[#This Row],[% Entrega]]&gt;=96%,"Atendeu a Meta","Não Atendeu a Meta")</f>
        <v>Atendeu a Meta</v>
      </c>
      <c r="W424" s="4" t="s">
        <v>43</v>
      </c>
      <c r="X424" s="4">
        <v>0</v>
      </c>
      <c r="Y424" s="5">
        <v>0</v>
      </c>
    </row>
    <row r="425" spans="1:25" x14ac:dyDescent="0.25">
      <c r="A425" s="8">
        <v>46294</v>
      </c>
      <c r="B425" s="16">
        <f>YEAR(Tabela32[[#This Row],[Data]])</f>
        <v>2026</v>
      </c>
      <c r="C425" s="16">
        <f>MONTH(Tabela32[[#This Row],[Data]])</f>
        <v>9</v>
      </c>
      <c r="D425" s="4" t="s">
        <v>28</v>
      </c>
      <c r="E425" s="4">
        <v>11</v>
      </c>
      <c r="F425" s="4" t="str">
        <f>IFERROR(VLOOKUP(Tabela32[[#This Row],[Placa]],Planilha2!$A$1:$B$12,2,0),"")</f>
        <v>Edilson</v>
      </c>
      <c r="G425" s="10">
        <v>22617.07</v>
      </c>
      <c r="H425" s="10">
        <v>281785.12</v>
      </c>
      <c r="I425" s="4">
        <v>6226</v>
      </c>
      <c r="J425" s="17">
        <f>IFERROR(Tabela32[[#This Row],[Valor Frete]]/Tabela32[[#This Row],[Valor Mercadoria]],"")</f>
        <v>8.0263535562133309E-2</v>
      </c>
      <c r="K425" s="11">
        <v>0.27430555555555558</v>
      </c>
      <c r="L425" s="15">
        <v>0.79166666666666663</v>
      </c>
      <c r="M425" s="15">
        <f>Tabela32[[#This Row],[Hr Chegada]]-Tabela32[[#This Row],[Hr Saida]]</f>
        <v>0.51736111111111105</v>
      </c>
      <c r="N425" s="4">
        <v>106433</v>
      </c>
      <c r="O425" s="4">
        <v>106579</v>
      </c>
      <c r="P425" s="4">
        <f>Tabela32[[#This Row],[Km Chegada]]-Tabela32[[#This Row],[Km Saída]]</f>
        <v>146</v>
      </c>
      <c r="Q425" s="4">
        <v>755</v>
      </c>
      <c r="R425" s="4">
        <v>37</v>
      </c>
      <c r="S425" s="4">
        <v>37</v>
      </c>
      <c r="T425" s="12">
        <f>Tabela32[[#This Row],[Entregas]]-Tabela32[[#This Row],[Realizadas]]</f>
        <v>0</v>
      </c>
      <c r="U425" s="18">
        <f>Tabela32[[#This Row],[Realizadas]]/Tabela32[[#This Row],[Entregas]]</f>
        <v>1</v>
      </c>
      <c r="V425" s="19" t="str">
        <f>IF(Tabela32[[#This Row],[% Entrega]]&gt;=96%,"Atendeu a Meta","Não Atendeu a Meta")</f>
        <v>Atendeu a Meta</v>
      </c>
      <c r="W425" s="4" t="s">
        <v>41</v>
      </c>
      <c r="X425" s="4">
        <v>3</v>
      </c>
      <c r="Y425" s="5">
        <v>8</v>
      </c>
    </row>
    <row r="426" spans="1:25" x14ac:dyDescent="0.25">
      <c r="A426" s="8">
        <v>46294</v>
      </c>
      <c r="B426" s="16">
        <f>YEAR(Tabela32[[#This Row],[Data]])</f>
        <v>2026</v>
      </c>
      <c r="C426" s="16">
        <f>MONTH(Tabela32[[#This Row],[Data]])</f>
        <v>9</v>
      </c>
      <c r="D426" s="4" t="s">
        <v>33</v>
      </c>
      <c r="E426" s="4">
        <v>1</v>
      </c>
      <c r="F426" s="4" t="str">
        <f>IFERROR(VLOOKUP(Tabela32[[#This Row],[Placa]],Planilha2!$A$1:$B$12,2,0),"")</f>
        <v>Paulo</v>
      </c>
      <c r="G426" s="10">
        <v>1113.4100000000001</v>
      </c>
      <c r="H426" s="10">
        <v>12324</v>
      </c>
      <c r="I426" s="4">
        <v>211</v>
      </c>
      <c r="J426" s="17">
        <f>IFERROR(Tabela32[[#This Row],[Valor Frete]]/Tabela32[[#This Row],[Valor Mercadoria]],"")</f>
        <v>9.034485556637456E-2</v>
      </c>
      <c r="K426" s="11">
        <v>0.29166666666666669</v>
      </c>
      <c r="L426" s="15">
        <v>0.625</v>
      </c>
      <c r="M426" s="15">
        <f>Tabela32[[#This Row],[Hr Chegada]]-Tabela32[[#This Row],[Hr Saida]]</f>
        <v>0.33333333333333331</v>
      </c>
      <c r="N426" s="4">
        <v>156302</v>
      </c>
      <c r="O426" s="4">
        <v>156370</v>
      </c>
      <c r="P426" s="4">
        <f>Tabela32[[#This Row],[Km Chegada]]-Tabela32[[#This Row],[Km Saída]]</f>
        <v>68</v>
      </c>
      <c r="Q426" s="4">
        <v>20</v>
      </c>
      <c r="R426" s="4">
        <v>1</v>
      </c>
      <c r="S426" s="4">
        <v>1</v>
      </c>
      <c r="T426" s="12">
        <f>Tabela32[[#This Row],[Entregas]]-Tabela32[[#This Row],[Realizadas]]</f>
        <v>0</v>
      </c>
      <c r="U426" s="18">
        <f>Tabela32[[#This Row],[Realizadas]]/Tabela32[[#This Row],[Entregas]]</f>
        <v>1</v>
      </c>
      <c r="V426" s="19" t="str">
        <f>IF(Tabela32[[#This Row],[% Entrega]]&gt;=96%,"Atendeu a Meta","Não Atendeu a Meta")</f>
        <v>Atendeu a Meta</v>
      </c>
      <c r="W426" s="4" t="s">
        <v>40</v>
      </c>
      <c r="X426" s="4">
        <v>0</v>
      </c>
      <c r="Y426" s="5">
        <v>0</v>
      </c>
    </row>
    <row r="427" spans="1:25" x14ac:dyDescent="0.25">
      <c r="A427" s="8">
        <v>46294</v>
      </c>
      <c r="B427" s="16">
        <f>YEAR(Tabela32[[#This Row],[Data]])</f>
        <v>2026</v>
      </c>
      <c r="C427" s="16">
        <f>MONTH(Tabela32[[#This Row],[Data]])</f>
        <v>9</v>
      </c>
      <c r="D427" s="4" t="s">
        <v>23</v>
      </c>
      <c r="E427" s="4">
        <v>2</v>
      </c>
      <c r="F427" s="4" t="str">
        <f>IFERROR(VLOOKUP(Tabela32[[#This Row],[Placa]],Planilha2!$A$1:$B$12,2,0),"")</f>
        <v>William</v>
      </c>
      <c r="G427" s="10">
        <v>7509.04</v>
      </c>
      <c r="H427" s="10">
        <v>133454.82999999999</v>
      </c>
      <c r="I427" s="4">
        <v>1515</v>
      </c>
      <c r="J427" s="17">
        <f>IFERROR(Tabela32[[#This Row],[Valor Frete]]/Tabela32[[#This Row],[Valor Mercadoria]],"")</f>
        <v>5.6266528532537941E-2</v>
      </c>
      <c r="K427" s="11">
        <v>0.29166666666666669</v>
      </c>
      <c r="L427" s="15">
        <v>0.74305555555555558</v>
      </c>
      <c r="M427" s="15">
        <f>Tabela32[[#This Row],[Hr Chegada]]-Tabela32[[#This Row],[Hr Saida]]</f>
        <v>0.4513888888888889</v>
      </c>
      <c r="N427" s="4">
        <v>126325</v>
      </c>
      <c r="O427" s="4">
        <v>126381</v>
      </c>
      <c r="P427" s="4">
        <f>Tabela32[[#This Row],[Km Chegada]]-Tabela32[[#This Row],[Km Saída]]</f>
        <v>56</v>
      </c>
      <c r="Q427" s="4">
        <v>190</v>
      </c>
      <c r="R427" s="4">
        <v>26</v>
      </c>
      <c r="S427" s="4">
        <v>26</v>
      </c>
      <c r="T427" s="12">
        <f>Tabela32[[#This Row],[Entregas]]-Tabela32[[#This Row],[Realizadas]]</f>
        <v>0</v>
      </c>
      <c r="U427" s="18">
        <f>Tabela32[[#This Row],[Realizadas]]/Tabela32[[#This Row],[Entregas]]</f>
        <v>1</v>
      </c>
      <c r="V427" s="19" t="str">
        <f>IF(Tabela32[[#This Row],[% Entrega]]&gt;=96%,"Atendeu a Meta","Não Atendeu a Meta")</f>
        <v>Atendeu a Meta</v>
      </c>
      <c r="W427" s="4" t="s">
        <v>39</v>
      </c>
      <c r="X427" s="4">
        <v>0</v>
      </c>
      <c r="Y427" s="5">
        <v>0</v>
      </c>
    </row>
    <row r="428" spans="1:25" x14ac:dyDescent="0.25">
      <c r="A428" s="8">
        <v>46294</v>
      </c>
      <c r="B428" s="16">
        <f>YEAR(Tabela32[[#This Row],[Data]])</f>
        <v>2026</v>
      </c>
      <c r="C428" s="16">
        <f>MONTH(Tabela32[[#This Row],[Data]])</f>
        <v>9</v>
      </c>
      <c r="D428" s="4" t="s">
        <v>25</v>
      </c>
      <c r="E428" s="4">
        <v>5</v>
      </c>
      <c r="F428" s="4" t="str">
        <f>IFERROR(VLOOKUP(Tabela32[[#This Row],[Placa]],Planilha2!$A$1:$B$12,2,0),"")</f>
        <v>Gilberto</v>
      </c>
      <c r="G428" s="10">
        <v>5011.5600000000004</v>
      </c>
      <c r="H428" s="10">
        <v>90003.41</v>
      </c>
      <c r="I428" s="4">
        <v>808</v>
      </c>
      <c r="J428" s="17">
        <f>IFERROR(Tabela32[[#This Row],[Valor Frete]]/Tabela32[[#This Row],[Valor Mercadoria]],"")</f>
        <v>5.5681890275046247E-2</v>
      </c>
      <c r="K428" s="11">
        <v>0.3125</v>
      </c>
      <c r="L428" s="15">
        <v>0.71527777777777779</v>
      </c>
      <c r="M428" s="15">
        <f>Tabela32[[#This Row],[Hr Chegada]]-Tabela32[[#This Row],[Hr Saida]]</f>
        <v>0.40277777777777779</v>
      </c>
      <c r="N428" s="4">
        <v>120461</v>
      </c>
      <c r="O428" s="4">
        <v>120547</v>
      </c>
      <c r="P428" s="4">
        <f>Tabela32[[#This Row],[Km Chegada]]-Tabela32[[#This Row],[Km Saída]]</f>
        <v>86</v>
      </c>
      <c r="Q428" s="4">
        <v>119</v>
      </c>
      <c r="R428" s="4">
        <v>18</v>
      </c>
      <c r="S428" s="4">
        <v>18</v>
      </c>
      <c r="T428" s="12">
        <f>Tabela32[[#This Row],[Entregas]]-Tabela32[[#This Row],[Realizadas]]</f>
        <v>0</v>
      </c>
      <c r="U428" s="18">
        <f>Tabela32[[#This Row],[Realizadas]]/Tabela32[[#This Row],[Entregas]]</f>
        <v>1</v>
      </c>
      <c r="V428" s="19" t="str">
        <f>IF(Tabela32[[#This Row],[% Entrega]]&gt;=96%,"Atendeu a Meta","Não Atendeu a Meta")</f>
        <v>Atendeu a Meta</v>
      </c>
      <c r="W428" s="4" t="s">
        <v>39</v>
      </c>
      <c r="X428" s="4">
        <v>1</v>
      </c>
      <c r="Y428" s="5">
        <v>9</v>
      </c>
    </row>
    <row r="429" spans="1:25" x14ac:dyDescent="0.25">
      <c r="A429" s="8">
        <v>46294</v>
      </c>
      <c r="B429" s="16">
        <f>YEAR(Tabela32[[#This Row],[Data]])</f>
        <v>2026</v>
      </c>
      <c r="C429" s="16">
        <f>MONTH(Tabela32[[#This Row],[Data]])</f>
        <v>9</v>
      </c>
      <c r="D429" s="4" t="s">
        <v>35</v>
      </c>
      <c r="E429" s="4">
        <v>1</v>
      </c>
      <c r="F429" s="4" t="str">
        <f>IFERROR(VLOOKUP(Tabela32[[#This Row],[Placa]],Planilha2!$A$1:$B$12,2,0),"")</f>
        <v>Osvaldo</v>
      </c>
      <c r="G429" s="10">
        <v>8326.7800000000007</v>
      </c>
      <c r="H429" s="10">
        <v>93407.54</v>
      </c>
      <c r="I429" s="4">
        <v>885</v>
      </c>
      <c r="J429" s="17">
        <f>IFERROR(Tabela32[[#This Row],[Valor Frete]]/Tabela32[[#This Row],[Valor Mercadoria]],"")</f>
        <v>8.9144623656719796E-2</v>
      </c>
      <c r="K429" s="11">
        <v>0.3125</v>
      </c>
      <c r="L429" s="15">
        <v>0.76111111111111107</v>
      </c>
      <c r="M429" s="15">
        <f>Tabela32[[#This Row],[Hr Chegada]]-Tabela32[[#This Row],[Hr Saida]]</f>
        <v>0.44861111111111107</v>
      </c>
      <c r="N429" s="4">
        <v>143896</v>
      </c>
      <c r="O429" s="4">
        <v>143967</v>
      </c>
      <c r="P429" s="4">
        <f>Tabela32[[#This Row],[Km Chegada]]-Tabela32[[#This Row],[Km Saída]]</f>
        <v>71</v>
      </c>
      <c r="Q429" s="4">
        <v>133</v>
      </c>
      <c r="R429" s="4">
        <v>22</v>
      </c>
      <c r="S429" s="4">
        <v>22</v>
      </c>
      <c r="T429" s="12">
        <f>Tabela32[[#This Row],[Entregas]]-Tabela32[[#This Row],[Realizadas]]</f>
        <v>0</v>
      </c>
      <c r="U429" s="18">
        <f>Tabela32[[#This Row],[Realizadas]]/Tabela32[[#This Row],[Entregas]]</f>
        <v>1</v>
      </c>
      <c r="V429" s="19" t="str">
        <f>IF(Tabela32[[#This Row],[% Entrega]]&gt;=96%,"Atendeu a Meta","Não Atendeu a Meta")</f>
        <v>Atendeu a Meta</v>
      </c>
      <c r="W429" s="4" t="s">
        <v>43</v>
      </c>
      <c r="X429" s="4">
        <v>0</v>
      </c>
      <c r="Y429" s="5">
        <v>0</v>
      </c>
    </row>
    <row r="430" spans="1:25" x14ac:dyDescent="0.25">
      <c r="A430" s="8">
        <v>46294</v>
      </c>
      <c r="B430" s="16">
        <f>YEAR(Tabela32[[#This Row],[Data]])</f>
        <v>2026</v>
      </c>
      <c r="C430" s="16">
        <f>MONTH(Tabela32[[#This Row],[Data]])</f>
        <v>9</v>
      </c>
      <c r="D430" s="4" t="s">
        <v>29</v>
      </c>
      <c r="E430" s="4">
        <v>3</v>
      </c>
      <c r="F430" s="4" t="str">
        <f>IFERROR(VLOOKUP(Tabela32[[#This Row],[Placa]],Planilha2!$A$1:$B$12,2,0),"")</f>
        <v>Sandro</v>
      </c>
      <c r="G430" s="10">
        <v>10745.4</v>
      </c>
      <c r="H430" s="10">
        <v>56053.61</v>
      </c>
      <c r="I430" s="4">
        <v>3980</v>
      </c>
      <c r="J430" s="17">
        <f>IFERROR(Tabela32[[#This Row],[Valor Frete]]/Tabela32[[#This Row],[Valor Mercadoria]],"")</f>
        <v>0.19169862565497564</v>
      </c>
      <c r="K430" s="11">
        <v>0.3125</v>
      </c>
      <c r="L430" s="15">
        <v>0.71805555555555556</v>
      </c>
      <c r="M430" s="15">
        <f>Tabela32[[#This Row],[Hr Chegada]]-Tabela32[[#This Row],[Hr Saida]]</f>
        <v>0.40555555555555556</v>
      </c>
      <c r="N430" s="4">
        <v>276321</v>
      </c>
      <c r="O430" s="4">
        <v>276371</v>
      </c>
      <c r="P430" s="4">
        <f>Tabela32[[#This Row],[Km Chegada]]-Tabela32[[#This Row],[Km Saída]]</f>
        <v>50</v>
      </c>
      <c r="Q430" s="4">
        <v>265</v>
      </c>
      <c r="R430" s="4">
        <v>6</v>
      </c>
      <c r="S430" s="4">
        <v>6</v>
      </c>
      <c r="T430" s="12">
        <f>Tabela32[[#This Row],[Entregas]]-Tabela32[[#This Row],[Realizadas]]</f>
        <v>0</v>
      </c>
      <c r="U430" s="18">
        <f>Tabela32[[#This Row],[Realizadas]]/Tabela32[[#This Row],[Entregas]]</f>
        <v>1</v>
      </c>
      <c r="V430" s="19" t="str">
        <f>IF(Tabela32[[#This Row],[% Entrega]]&gt;=96%,"Atendeu a Meta","Não Atendeu a Meta")</f>
        <v>Atendeu a Meta</v>
      </c>
      <c r="W430" s="4" t="s">
        <v>39</v>
      </c>
      <c r="X430" s="4">
        <v>0</v>
      </c>
      <c r="Y430" s="5">
        <v>0</v>
      </c>
    </row>
    <row r="431" spans="1:25" x14ac:dyDescent="0.25">
      <c r="A431" s="8">
        <v>46294</v>
      </c>
      <c r="B431" s="16">
        <f>YEAR(Tabela32[[#This Row],[Data]])</f>
        <v>2026</v>
      </c>
      <c r="C431" s="16">
        <f>MONTH(Tabela32[[#This Row],[Data]])</f>
        <v>9</v>
      </c>
      <c r="D431" s="4" t="s">
        <v>53</v>
      </c>
      <c r="E431" s="4">
        <v>5</v>
      </c>
      <c r="F431" s="4" t="str">
        <f>IFERROR(VLOOKUP(Tabela32[[#This Row],[Placa]],Planilha2!$A$1:$B$12,2,0),"")</f>
        <v>Arnaldo</v>
      </c>
      <c r="G431" s="10">
        <v>2067.41</v>
      </c>
      <c r="H431" s="10">
        <v>40528.410000000003</v>
      </c>
      <c r="I431" s="4">
        <v>437</v>
      </c>
      <c r="J431" s="17">
        <f>IFERROR(Tabela32[[#This Row],[Valor Frete]]/Tabela32[[#This Row],[Valor Mercadoria]],"")</f>
        <v>5.101137695754656E-2</v>
      </c>
      <c r="K431" s="11">
        <v>0.3215277777777778</v>
      </c>
      <c r="L431" s="15">
        <v>0.70486111111111116</v>
      </c>
      <c r="M431" s="15">
        <f>Tabela32[[#This Row],[Hr Chegada]]-Tabela32[[#This Row],[Hr Saida]]</f>
        <v>0.38333333333333336</v>
      </c>
      <c r="N431" s="4">
        <v>14237</v>
      </c>
      <c r="O431" s="4">
        <v>14293</v>
      </c>
      <c r="P431" s="4">
        <f>Tabela32[[#This Row],[Km Chegada]]-Tabela32[[#This Row],[Km Saída]]</f>
        <v>56</v>
      </c>
      <c r="Q431" s="4">
        <v>87</v>
      </c>
      <c r="R431" s="4">
        <v>8</v>
      </c>
      <c r="S431" s="4">
        <v>8</v>
      </c>
      <c r="T431" s="12">
        <f>Tabela32[[#This Row],[Entregas]]-Tabela32[[#This Row],[Realizadas]]</f>
        <v>0</v>
      </c>
      <c r="U431" s="18">
        <f>Tabela32[[#This Row],[Realizadas]]/Tabela32[[#This Row],[Entregas]]</f>
        <v>1</v>
      </c>
      <c r="V431" s="19" t="str">
        <f>IF(Tabela32[[#This Row],[% Entrega]]&gt;=96%,"Atendeu a Meta","Não Atendeu a Meta")</f>
        <v>Atendeu a Meta</v>
      </c>
      <c r="W431" s="4" t="s">
        <v>39</v>
      </c>
      <c r="X431" s="4">
        <v>0</v>
      </c>
      <c r="Y431" s="5">
        <v>0</v>
      </c>
    </row>
    <row r="432" spans="1:25" x14ac:dyDescent="0.25">
      <c r="A432" s="8">
        <v>46294</v>
      </c>
      <c r="B432" s="16">
        <f>YEAR(Tabela32[[#This Row],[Data]])</f>
        <v>2026</v>
      </c>
      <c r="C432" s="16">
        <f>MONTH(Tabela32[[#This Row],[Data]])</f>
        <v>9</v>
      </c>
      <c r="D432" s="4" t="s">
        <v>27</v>
      </c>
      <c r="E432" s="4">
        <v>1</v>
      </c>
      <c r="F432" s="4" t="str">
        <f>IFERROR(VLOOKUP(Tabela32[[#This Row],[Placa]],Planilha2!$A$1:$B$12,2,0),"")</f>
        <v>Rosinaldo</v>
      </c>
      <c r="G432" s="10">
        <v>5478.94</v>
      </c>
      <c r="H432" s="10">
        <v>119535.11</v>
      </c>
      <c r="I432" s="4">
        <v>254</v>
      </c>
      <c r="J432" s="17">
        <f>IFERROR(Tabela32[[#This Row],[Valor Frete]]/Tabela32[[#This Row],[Valor Mercadoria]],"")</f>
        <v>4.5835403506133049E-2</v>
      </c>
      <c r="K432" s="11">
        <v>0.3125</v>
      </c>
      <c r="L432" s="15">
        <v>0.72499999999999998</v>
      </c>
      <c r="M432" s="15">
        <f>Tabela32[[#This Row],[Hr Chegada]]-Tabela32[[#This Row],[Hr Saida]]</f>
        <v>0.41249999999999998</v>
      </c>
      <c r="N432" s="4">
        <v>291912</v>
      </c>
      <c r="O432" s="4">
        <v>292074</v>
      </c>
      <c r="P432" s="4">
        <f>Tabela32[[#This Row],[Km Chegada]]-Tabela32[[#This Row],[Km Saída]]</f>
        <v>162</v>
      </c>
      <c r="Q432" s="4">
        <v>254</v>
      </c>
      <c r="R432" s="4">
        <v>10</v>
      </c>
      <c r="S432" s="4">
        <v>10</v>
      </c>
      <c r="T432" s="12">
        <f>Tabela32[[#This Row],[Entregas]]-Tabela32[[#This Row],[Realizadas]]</f>
        <v>0</v>
      </c>
      <c r="U432" s="18">
        <f>Tabela32[[#This Row],[Realizadas]]/Tabela32[[#This Row],[Entregas]]</f>
        <v>1</v>
      </c>
      <c r="V432" s="19" t="str">
        <f>IF(Tabela32[[#This Row],[% Entrega]]&gt;=96%,"Atendeu a Meta","Não Atendeu a Meta")</f>
        <v>Atendeu a Meta</v>
      </c>
      <c r="W432" s="4" t="s">
        <v>43</v>
      </c>
      <c r="X432" s="4">
        <v>0</v>
      </c>
      <c r="Y432" s="5">
        <v>0</v>
      </c>
    </row>
    <row r="433" spans="1:25" x14ac:dyDescent="0.25">
      <c r="A433" s="8">
        <v>46294</v>
      </c>
      <c r="B433" s="16">
        <f>YEAR(Tabela32[[#This Row],[Data]])</f>
        <v>2026</v>
      </c>
      <c r="C433" s="16">
        <f>MONTH(Tabela32[[#This Row],[Data]])</f>
        <v>9</v>
      </c>
      <c r="D433" s="4" t="s">
        <v>22</v>
      </c>
      <c r="E433" s="4">
        <v>3</v>
      </c>
      <c r="F433" s="4" t="str">
        <f>IFERROR(VLOOKUP(Tabela32[[#This Row],[Placa]],Planilha2!$A$1:$B$12,2,0),"")</f>
        <v>Juscelino</v>
      </c>
      <c r="G433" s="10">
        <v>8588.69</v>
      </c>
      <c r="H433" s="10">
        <v>124979.38</v>
      </c>
      <c r="I433" s="4">
        <v>1375</v>
      </c>
      <c r="J433" s="17">
        <f>IFERROR(Tabela32[[#This Row],[Valor Frete]]/Tabela32[[#This Row],[Valor Mercadoria]],"")</f>
        <v>6.8720856192437507E-2</v>
      </c>
      <c r="K433" s="11">
        <v>0.29166666666666669</v>
      </c>
      <c r="L433" s="15">
        <v>0.72499999999999998</v>
      </c>
      <c r="M433" s="15">
        <f>Tabela32[[#This Row],[Hr Chegada]]-Tabela32[[#This Row],[Hr Saida]]</f>
        <v>0.43333333333333329</v>
      </c>
      <c r="N433" s="4">
        <v>305630</v>
      </c>
      <c r="O433" s="4">
        <v>305683</v>
      </c>
      <c r="P433" s="4">
        <f>Tabela32[[#This Row],[Km Chegada]]-Tabela32[[#This Row],[Km Saída]]</f>
        <v>53</v>
      </c>
      <c r="Q433" s="4">
        <v>185</v>
      </c>
      <c r="R433" s="4">
        <v>17</v>
      </c>
      <c r="S433" s="4">
        <v>17</v>
      </c>
      <c r="T433" s="12">
        <f>Tabela32[[#This Row],[Entregas]]-Tabela32[[#This Row],[Realizadas]]</f>
        <v>0</v>
      </c>
      <c r="U433" s="18">
        <f>Tabela32[[#This Row],[Realizadas]]/Tabela32[[#This Row],[Entregas]]</f>
        <v>1</v>
      </c>
      <c r="V433" s="19" t="str">
        <f>IF(Tabela32[[#This Row],[% Entrega]]&gt;=96%,"Atendeu a Meta","Não Atendeu a Meta")</f>
        <v>Atendeu a Meta</v>
      </c>
      <c r="W433" s="4" t="s">
        <v>39</v>
      </c>
      <c r="X433" s="4">
        <v>0</v>
      </c>
      <c r="Y433" s="5">
        <v>0</v>
      </c>
    </row>
    <row r="434" spans="1:25" x14ac:dyDescent="0.25">
      <c r="A434" s="8">
        <v>46294</v>
      </c>
      <c r="B434" s="16">
        <f>YEAR(Tabela32[[#This Row],[Data]])</f>
        <v>2026</v>
      </c>
      <c r="C434" s="16">
        <f>MONTH(Tabela32[[#This Row],[Data]])</f>
        <v>9</v>
      </c>
      <c r="D434" s="4" t="s">
        <v>31</v>
      </c>
      <c r="E434" s="4">
        <v>4</v>
      </c>
      <c r="F434" s="4" t="str">
        <f>IFERROR(VLOOKUP(Tabela32[[#This Row],[Placa]],Planilha2!$A$1:$B$12,2,0),"")</f>
        <v>Jerson</v>
      </c>
      <c r="G434" s="10">
        <v>12998.65</v>
      </c>
      <c r="H434" s="10">
        <v>189947.66</v>
      </c>
      <c r="I434" s="4">
        <v>2689</v>
      </c>
      <c r="J434" s="17">
        <f>IFERROR(Tabela32[[#This Row],[Valor Frete]]/Tabela32[[#This Row],[Valor Mercadoria]],"")</f>
        <v>6.843279880362832E-2</v>
      </c>
      <c r="K434" s="11">
        <v>0.33333333333333331</v>
      </c>
      <c r="L434" s="15">
        <v>0.73472222222222228</v>
      </c>
      <c r="M434" s="15">
        <f>Tabela32[[#This Row],[Hr Chegada]]-Tabela32[[#This Row],[Hr Saida]]</f>
        <v>0.40138888888888896</v>
      </c>
      <c r="N434" s="4">
        <v>281247</v>
      </c>
      <c r="O434" s="4">
        <v>281328</v>
      </c>
      <c r="P434" s="4">
        <f>Tabela32[[#This Row],[Km Chegada]]-Tabela32[[#This Row],[Km Saída]]</f>
        <v>81</v>
      </c>
      <c r="Q434" s="4">
        <v>406</v>
      </c>
      <c r="R434" s="4">
        <v>20</v>
      </c>
      <c r="S434" s="4">
        <v>20</v>
      </c>
      <c r="T434" s="12">
        <f>Tabela32[[#This Row],[Entregas]]-Tabela32[[#This Row],[Realizadas]]</f>
        <v>0</v>
      </c>
      <c r="U434" s="18">
        <f>Tabela32[[#This Row],[Realizadas]]/Tabela32[[#This Row],[Entregas]]</f>
        <v>1</v>
      </c>
      <c r="V434" s="19" t="str">
        <f>IF(Tabela32[[#This Row],[% Entrega]]&gt;=96%,"Atendeu a Meta","Não Atendeu a Meta")</f>
        <v>Atendeu a Meta</v>
      </c>
      <c r="W434" s="4" t="s">
        <v>39</v>
      </c>
      <c r="X434" s="4">
        <v>1</v>
      </c>
      <c r="Y434" s="5">
        <v>10</v>
      </c>
    </row>
    <row r="435" spans="1:25" x14ac:dyDescent="0.25">
      <c r="A435" s="8">
        <v>46295</v>
      </c>
      <c r="B435" s="16">
        <f>YEAR(Tabela32[[#This Row],[Data]])</f>
        <v>2026</v>
      </c>
      <c r="C435" s="16">
        <f>MONTH(Tabela32[[#This Row],[Data]])</f>
        <v>9</v>
      </c>
      <c r="D435" s="4" t="s">
        <v>29</v>
      </c>
      <c r="E435" s="4">
        <v>1</v>
      </c>
      <c r="F435" s="4" t="str">
        <f>IFERROR(VLOOKUP(Tabela32[[#This Row],[Placa]],Planilha2!$A$1:$B$12,2,0),"")</f>
        <v>Sandro</v>
      </c>
      <c r="G435" s="10">
        <v>4335.72</v>
      </c>
      <c r="H435" s="10">
        <v>230277.65</v>
      </c>
      <c r="I435" s="4">
        <v>402</v>
      </c>
      <c r="J435" s="17">
        <f>IFERROR(Tabela32[[#This Row],[Valor Frete]]/Tabela32[[#This Row],[Valor Mercadoria]],"")</f>
        <v>1.8828227576579839E-2</v>
      </c>
      <c r="K435" s="11">
        <v>0.29166666666666669</v>
      </c>
      <c r="L435" s="15">
        <v>0.69097222222222221</v>
      </c>
      <c r="M435" s="15">
        <f>Tabela32[[#This Row],[Hr Chegada]]-Tabela32[[#This Row],[Hr Saida]]</f>
        <v>0.39930555555555552</v>
      </c>
      <c r="N435" s="4">
        <v>276371</v>
      </c>
      <c r="O435" s="4">
        <v>276439</v>
      </c>
      <c r="P435" s="4">
        <f>Tabela32[[#This Row],[Km Chegada]]-Tabela32[[#This Row],[Km Saída]]</f>
        <v>68</v>
      </c>
      <c r="Q435" s="4">
        <v>370</v>
      </c>
      <c r="R435" s="4">
        <v>11</v>
      </c>
      <c r="S435" s="4">
        <v>11</v>
      </c>
      <c r="T435" s="12">
        <f>Tabela32[[#This Row],[Entregas]]-Tabela32[[#This Row],[Realizadas]]</f>
        <v>0</v>
      </c>
      <c r="U435" s="18">
        <f>Tabela32[[#This Row],[Realizadas]]/Tabela32[[#This Row],[Entregas]]</f>
        <v>1</v>
      </c>
      <c r="V435" s="19" t="str">
        <f>IF(Tabela32[[#This Row],[% Entrega]]&gt;=96%,"Atendeu a Meta","Não Atendeu a Meta")</f>
        <v>Atendeu a Meta</v>
      </c>
      <c r="W435" s="4" t="s">
        <v>40</v>
      </c>
      <c r="X435" s="4">
        <v>0</v>
      </c>
      <c r="Y435" s="5">
        <v>0</v>
      </c>
    </row>
    <row r="436" spans="1:25" x14ac:dyDescent="0.25">
      <c r="A436" s="8">
        <v>46295</v>
      </c>
      <c r="B436" s="16">
        <f>YEAR(Tabela32[[#This Row],[Data]])</f>
        <v>2026</v>
      </c>
      <c r="C436" s="16">
        <f>MONTH(Tabela32[[#This Row],[Data]])</f>
        <v>9</v>
      </c>
      <c r="D436" s="4" t="s">
        <v>22</v>
      </c>
      <c r="E436" s="4">
        <v>3</v>
      </c>
      <c r="F436" s="4" t="str">
        <f>IFERROR(VLOOKUP(Tabela32[[#This Row],[Placa]],Planilha2!$A$1:$B$12,2,0),"")</f>
        <v>Juscelino</v>
      </c>
      <c r="G436" s="10">
        <v>5957.62</v>
      </c>
      <c r="H436" s="10">
        <v>67258.740000000005</v>
      </c>
      <c r="I436" s="4">
        <v>611</v>
      </c>
      <c r="J436" s="17">
        <f>IFERROR(Tabela32[[#This Row],[Valor Frete]]/Tabela32[[#This Row],[Valor Mercadoria]],"")</f>
        <v>8.8577633181947793E-2</v>
      </c>
      <c r="K436" s="11">
        <v>0.29166666666666669</v>
      </c>
      <c r="L436" s="15">
        <v>0.72083333333333333</v>
      </c>
      <c r="M436" s="15">
        <f>Tabela32[[#This Row],[Hr Chegada]]-Tabela32[[#This Row],[Hr Saida]]</f>
        <v>0.42916666666666664</v>
      </c>
      <c r="N436" s="4">
        <v>305683</v>
      </c>
      <c r="O436" s="4">
        <v>305745</v>
      </c>
      <c r="P436" s="4">
        <f>Tabela32[[#This Row],[Km Chegada]]-Tabela32[[#This Row],[Km Saída]]</f>
        <v>62</v>
      </c>
      <c r="Q436" s="4">
        <v>611</v>
      </c>
      <c r="R436" s="4">
        <v>17</v>
      </c>
      <c r="S436" s="4">
        <v>17</v>
      </c>
      <c r="T436" s="12">
        <f>Tabela32[[#This Row],[Entregas]]-Tabela32[[#This Row],[Realizadas]]</f>
        <v>0</v>
      </c>
      <c r="U436" s="18">
        <f>Tabela32[[#This Row],[Realizadas]]/Tabela32[[#This Row],[Entregas]]</f>
        <v>1</v>
      </c>
      <c r="V436" s="19" t="str">
        <f>IF(Tabela32[[#This Row],[% Entrega]]&gt;=96%,"Atendeu a Meta","Não Atendeu a Meta")</f>
        <v>Atendeu a Meta</v>
      </c>
      <c r="W436" s="4" t="s">
        <v>39</v>
      </c>
      <c r="X436" s="4">
        <v>0</v>
      </c>
      <c r="Y436" s="5">
        <v>0</v>
      </c>
    </row>
    <row r="437" spans="1:25" x14ac:dyDescent="0.25">
      <c r="A437" s="8">
        <v>46295</v>
      </c>
      <c r="B437" s="16">
        <f>YEAR(Tabela32[[#This Row],[Data]])</f>
        <v>2026</v>
      </c>
      <c r="C437" s="16">
        <f>MONTH(Tabela32[[#This Row],[Data]])</f>
        <v>9</v>
      </c>
      <c r="D437" s="4" t="s">
        <v>27</v>
      </c>
      <c r="E437" s="4">
        <v>1</v>
      </c>
      <c r="F437" s="4" t="str">
        <f>IFERROR(VLOOKUP(Tabela32[[#This Row],[Placa]],Planilha2!$A$1:$B$12,2,0),"")</f>
        <v>Rosinaldo</v>
      </c>
      <c r="G437" s="10">
        <v>4387.9399999999996</v>
      </c>
      <c r="H437" s="10">
        <v>185606.16</v>
      </c>
      <c r="I437" s="4">
        <v>485</v>
      </c>
      <c r="J437" s="17">
        <f>IFERROR(Tabela32[[#This Row],[Valor Frete]]/Tabela32[[#This Row],[Valor Mercadoria]],"")</f>
        <v>2.3641133462380771E-2</v>
      </c>
      <c r="K437" s="11">
        <v>0.29166666666666669</v>
      </c>
      <c r="L437" s="15">
        <v>0.44236111111111109</v>
      </c>
      <c r="M437" s="15">
        <f>Tabela32[[#This Row],[Hr Chegada]]-Tabela32[[#This Row],[Hr Saida]]</f>
        <v>0.15069444444444441</v>
      </c>
      <c r="N437" s="4">
        <v>292074</v>
      </c>
      <c r="O437" s="4">
        <v>292110</v>
      </c>
      <c r="P437" s="4">
        <f>Tabela32[[#This Row],[Km Chegada]]-Tabela32[[#This Row],[Km Saída]]</f>
        <v>36</v>
      </c>
      <c r="Q437" s="4">
        <v>18</v>
      </c>
      <c r="R437" s="4">
        <v>2</v>
      </c>
      <c r="S437" s="4">
        <v>2</v>
      </c>
      <c r="T437" s="12">
        <f>Tabela32[[#This Row],[Entregas]]-Tabela32[[#This Row],[Realizadas]]</f>
        <v>0</v>
      </c>
      <c r="U437" s="18">
        <f>Tabela32[[#This Row],[Realizadas]]/Tabela32[[#This Row],[Entregas]]</f>
        <v>1</v>
      </c>
      <c r="V437" s="19" t="str">
        <f>IF(Tabela32[[#This Row],[% Entrega]]&gt;=96%,"Atendeu a Meta","Não Atendeu a Meta")</f>
        <v>Atendeu a Meta</v>
      </c>
      <c r="W437" s="4" t="s">
        <v>40</v>
      </c>
      <c r="X437" s="4">
        <v>0</v>
      </c>
      <c r="Y437" s="5">
        <v>0</v>
      </c>
    </row>
    <row r="438" spans="1:25" x14ac:dyDescent="0.25">
      <c r="A438" s="8">
        <v>46295</v>
      </c>
      <c r="B438" s="16">
        <f>YEAR(Tabela32[[#This Row],[Data]])</f>
        <v>2026</v>
      </c>
      <c r="C438" s="16">
        <f>MONTH(Tabela32[[#This Row],[Data]])</f>
        <v>9</v>
      </c>
      <c r="D438" s="4" t="s">
        <v>33</v>
      </c>
      <c r="E438" s="4">
        <v>1</v>
      </c>
      <c r="F438" s="4" t="str">
        <f>IFERROR(VLOOKUP(Tabela32[[#This Row],[Placa]],Planilha2!$A$1:$B$12,2,0),"")</f>
        <v>Paulo</v>
      </c>
      <c r="G438" s="10">
        <v>2210.2199999999998</v>
      </c>
      <c r="H438" s="10">
        <v>38816.51</v>
      </c>
      <c r="I438" s="4">
        <v>293</v>
      </c>
      <c r="J438" s="17">
        <f>IFERROR(Tabela32[[#This Row],[Valor Frete]]/Tabela32[[#This Row],[Valor Mercadoria]],"")</f>
        <v>5.6940204052347822E-2</v>
      </c>
      <c r="K438" s="11">
        <v>0.27083333333333331</v>
      </c>
      <c r="L438" s="15">
        <v>0.7270833333333333</v>
      </c>
      <c r="M438" s="15">
        <f>Tabela32[[#This Row],[Hr Chegada]]-Tabela32[[#This Row],[Hr Saida]]</f>
        <v>0.45624999999999999</v>
      </c>
      <c r="N438" s="4">
        <v>156370</v>
      </c>
      <c r="O438" s="4">
        <v>156531</v>
      </c>
      <c r="P438" s="4">
        <f>Tabela32[[#This Row],[Km Chegada]]-Tabela32[[#This Row],[Km Saída]]</f>
        <v>161</v>
      </c>
      <c r="Q438" s="4">
        <v>59</v>
      </c>
      <c r="R438" s="4">
        <v>10</v>
      </c>
      <c r="S438" s="4">
        <v>10</v>
      </c>
      <c r="T438" s="12">
        <f>Tabela32[[#This Row],[Entregas]]-Tabela32[[#This Row],[Realizadas]]</f>
        <v>0</v>
      </c>
      <c r="U438" s="18">
        <f>Tabela32[[#This Row],[Realizadas]]/Tabela32[[#This Row],[Entregas]]</f>
        <v>1</v>
      </c>
      <c r="V438" s="19" t="str">
        <f>IF(Tabela32[[#This Row],[% Entrega]]&gt;=96%,"Atendeu a Meta","Não Atendeu a Meta")</f>
        <v>Atendeu a Meta</v>
      </c>
      <c r="W438" s="4" t="s">
        <v>90</v>
      </c>
      <c r="X438" s="4">
        <v>0</v>
      </c>
      <c r="Y438" s="5">
        <v>0</v>
      </c>
    </row>
    <row r="439" spans="1:25" x14ac:dyDescent="0.25">
      <c r="A439" s="8">
        <v>46295</v>
      </c>
      <c r="B439" s="16">
        <f>YEAR(Tabela32[[#This Row],[Data]])</f>
        <v>2026</v>
      </c>
      <c r="C439" s="16">
        <f>MONTH(Tabela32[[#This Row],[Data]])</f>
        <v>9</v>
      </c>
      <c r="D439" s="4" t="s">
        <v>23</v>
      </c>
      <c r="E439" s="4">
        <v>2</v>
      </c>
      <c r="F439" s="4" t="str">
        <f>IFERROR(VLOOKUP(Tabela32[[#This Row],[Placa]],Planilha2!$A$1:$B$12,2,0),"")</f>
        <v>William</v>
      </c>
      <c r="G439" s="10">
        <v>5686</v>
      </c>
      <c r="H439" s="10">
        <v>130464.87</v>
      </c>
      <c r="I439" s="4">
        <v>854</v>
      </c>
      <c r="J439" s="17">
        <f>IFERROR(Tabela32[[#This Row],[Valor Frete]]/Tabela32[[#This Row],[Valor Mercadoria]],"")</f>
        <v>4.3582613465218648E-2</v>
      </c>
      <c r="K439" s="11">
        <v>0.29166666666666669</v>
      </c>
      <c r="L439" s="15">
        <v>0.76736111111111116</v>
      </c>
      <c r="M439" s="15">
        <f>Tabela32[[#This Row],[Hr Chegada]]-Tabela32[[#This Row],[Hr Saida]]</f>
        <v>0.47569444444444448</v>
      </c>
      <c r="N439" s="4">
        <v>126381</v>
      </c>
      <c r="O439" s="4">
        <v>126467</v>
      </c>
      <c r="P439" s="4">
        <f>Tabela32[[#This Row],[Km Chegada]]-Tabela32[[#This Row],[Km Saída]]</f>
        <v>86</v>
      </c>
      <c r="Q439" s="4">
        <v>171</v>
      </c>
      <c r="R439" s="4">
        <v>29</v>
      </c>
      <c r="S439" s="4">
        <v>29</v>
      </c>
      <c r="T439" s="12">
        <f>Tabela32[[#This Row],[Entregas]]-Tabela32[[#This Row],[Realizadas]]</f>
        <v>0</v>
      </c>
      <c r="U439" s="18">
        <f>Tabela32[[#This Row],[Realizadas]]/Tabela32[[#This Row],[Entregas]]</f>
        <v>1</v>
      </c>
      <c r="V439" s="19" t="str">
        <f>IF(Tabela32[[#This Row],[% Entrega]]&gt;=96%,"Atendeu a Meta","Não Atendeu a Meta")</f>
        <v>Atendeu a Meta</v>
      </c>
      <c r="W439" s="4" t="s">
        <v>39</v>
      </c>
      <c r="X439" s="4">
        <v>0</v>
      </c>
      <c r="Y439" s="5">
        <v>0</v>
      </c>
    </row>
    <row r="440" spans="1:25" x14ac:dyDescent="0.25">
      <c r="A440" s="8">
        <v>46295</v>
      </c>
      <c r="B440" s="16">
        <f>YEAR(Tabela32[[#This Row],[Data]])</f>
        <v>2026</v>
      </c>
      <c r="C440" s="16">
        <f>MONTH(Tabela32[[#This Row],[Data]])</f>
        <v>9</v>
      </c>
      <c r="D440" s="4" t="s">
        <v>35</v>
      </c>
      <c r="E440" s="4">
        <v>5</v>
      </c>
      <c r="F440" s="4" t="str">
        <f>IFERROR(VLOOKUP(Tabela32[[#This Row],[Placa]],Planilha2!$A$1:$B$12,2,0),"")</f>
        <v>Osvaldo</v>
      </c>
      <c r="G440" s="10">
        <v>5528.24</v>
      </c>
      <c r="H440" s="10">
        <v>167798.9</v>
      </c>
      <c r="I440" s="4">
        <v>937</v>
      </c>
      <c r="J440" s="17">
        <f>IFERROR(Tabela32[[#This Row],[Valor Frete]]/Tabela32[[#This Row],[Valor Mercadoria]],"")</f>
        <v>3.2945627176340253E-2</v>
      </c>
      <c r="K440" s="11">
        <v>0.3125</v>
      </c>
      <c r="L440" s="15">
        <v>0.79861111111111116</v>
      </c>
      <c r="M440" s="15">
        <f>Tabela32[[#This Row],[Hr Chegada]]-Tabela32[[#This Row],[Hr Saida]]</f>
        <v>0.48611111111111116</v>
      </c>
      <c r="N440" s="4">
        <v>143967</v>
      </c>
      <c r="O440" s="4">
        <v>144011</v>
      </c>
      <c r="P440" s="4">
        <f>Tabela32[[#This Row],[Km Chegada]]-Tabela32[[#This Row],[Km Saída]]</f>
        <v>44</v>
      </c>
      <c r="Q440" s="4">
        <v>294</v>
      </c>
      <c r="R440" s="4">
        <v>11</v>
      </c>
      <c r="S440" s="4">
        <v>11</v>
      </c>
      <c r="T440" s="12">
        <f>Tabela32[[#This Row],[Entregas]]-Tabela32[[#This Row],[Realizadas]]</f>
        <v>0</v>
      </c>
      <c r="U440" s="18">
        <f>Tabela32[[#This Row],[Realizadas]]/Tabela32[[#This Row],[Entregas]]</f>
        <v>1</v>
      </c>
      <c r="V440" s="19" t="str">
        <f>IF(Tabela32[[#This Row],[% Entrega]]&gt;=96%,"Atendeu a Meta","Não Atendeu a Meta")</f>
        <v>Atendeu a Meta</v>
      </c>
      <c r="W440" s="4" t="s">
        <v>39</v>
      </c>
      <c r="X440" s="4">
        <v>0</v>
      </c>
      <c r="Y440" s="5">
        <v>0</v>
      </c>
    </row>
    <row r="441" spans="1:25" x14ac:dyDescent="0.25">
      <c r="A441" s="8">
        <v>46295</v>
      </c>
      <c r="B441" s="16">
        <f>YEAR(Tabela32[[#This Row],[Data]])</f>
        <v>2026</v>
      </c>
      <c r="C441" s="16">
        <f>MONTH(Tabela32[[#This Row],[Data]])</f>
        <v>9</v>
      </c>
      <c r="D441" s="4" t="s">
        <v>31</v>
      </c>
      <c r="E441" s="4">
        <v>11</v>
      </c>
      <c r="F441" s="4" t="str">
        <f>IFERROR(VLOOKUP(Tabela32[[#This Row],[Placa]],Planilha2!$A$1:$B$12,2,0),"")</f>
        <v>Jerson</v>
      </c>
      <c r="G441" s="10">
        <v>18788.560000000001</v>
      </c>
      <c r="H441" s="10">
        <v>430956.89</v>
      </c>
      <c r="I441" s="4">
        <v>3167</v>
      </c>
      <c r="J441" s="17">
        <f>IFERROR(Tabela32[[#This Row],[Valor Frete]]/Tabela32[[#This Row],[Valor Mercadoria]],"")</f>
        <v>4.3597307378007114E-2</v>
      </c>
      <c r="K441" s="11">
        <v>0.27430555555555558</v>
      </c>
      <c r="L441" s="15">
        <v>0.79861111111111116</v>
      </c>
      <c r="M441" s="15">
        <f>Tabela32[[#This Row],[Hr Chegada]]-Tabela32[[#This Row],[Hr Saida]]</f>
        <v>0.52430555555555558</v>
      </c>
      <c r="N441" s="4">
        <v>281328</v>
      </c>
      <c r="O441" s="4">
        <v>281467</v>
      </c>
      <c r="P441" s="4">
        <f>Tabela32[[#This Row],[Km Chegada]]-Tabela32[[#This Row],[Km Saída]]</f>
        <v>139</v>
      </c>
      <c r="Q441" s="4">
        <v>209</v>
      </c>
      <c r="R441" s="4">
        <v>41</v>
      </c>
      <c r="S441" s="4">
        <v>41</v>
      </c>
      <c r="T441" s="12">
        <f>Tabela32[[#This Row],[Entregas]]-Tabela32[[#This Row],[Realizadas]]</f>
        <v>0</v>
      </c>
      <c r="U441" s="18">
        <f>Tabela32[[#This Row],[Realizadas]]/Tabela32[[#This Row],[Entregas]]</f>
        <v>1</v>
      </c>
      <c r="V441" s="19" t="str">
        <f>IF(Tabela32[[#This Row],[% Entrega]]&gt;=96%,"Atendeu a Meta","Não Atendeu a Meta")</f>
        <v>Atendeu a Meta</v>
      </c>
      <c r="W441" s="4" t="s">
        <v>41</v>
      </c>
      <c r="X441" s="4">
        <v>0</v>
      </c>
      <c r="Y441" s="5">
        <v>0</v>
      </c>
    </row>
    <row r="442" spans="1:25" x14ac:dyDescent="0.25">
      <c r="A442" s="8">
        <v>46295</v>
      </c>
      <c r="B442" s="16">
        <f>YEAR(Tabela32[[#This Row],[Data]])</f>
        <v>2026</v>
      </c>
      <c r="C442" s="16">
        <f>MONTH(Tabela32[[#This Row],[Data]])</f>
        <v>9</v>
      </c>
      <c r="D442" s="4" t="s">
        <v>53</v>
      </c>
      <c r="E442" s="4">
        <v>5</v>
      </c>
      <c r="F442" s="4" t="str">
        <f>IFERROR(VLOOKUP(Tabela32[[#This Row],[Placa]],Planilha2!$A$1:$B$12,2,0),"")</f>
        <v>Arnaldo</v>
      </c>
      <c r="G442" s="10">
        <v>9128.23</v>
      </c>
      <c r="H442" s="10">
        <v>139821.72</v>
      </c>
      <c r="I442" s="4">
        <v>1480</v>
      </c>
      <c r="J442" s="17">
        <f>IFERROR(Tabela32[[#This Row],[Valor Frete]]/Tabela32[[#This Row],[Valor Mercadoria]],"")</f>
        <v>6.5284778359184822E-2</v>
      </c>
      <c r="K442" s="11">
        <v>0.29166666666666669</v>
      </c>
      <c r="L442" s="15">
        <v>0.78472222222222221</v>
      </c>
      <c r="M442" s="15">
        <f>Tabela32[[#This Row],[Hr Chegada]]-Tabela32[[#This Row],[Hr Saida]]</f>
        <v>0.49305555555555552</v>
      </c>
      <c r="N442" s="4">
        <v>14293</v>
      </c>
      <c r="O442" s="4">
        <v>14374</v>
      </c>
      <c r="P442" s="4">
        <f>Tabela32[[#This Row],[Km Chegada]]-Tabela32[[#This Row],[Km Saída]]</f>
        <v>81</v>
      </c>
      <c r="Q442" s="4">
        <v>205</v>
      </c>
      <c r="R442" s="4">
        <v>19</v>
      </c>
      <c r="S442" s="4">
        <v>19</v>
      </c>
      <c r="T442" s="12">
        <f>Tabela32[[#This Row],[Entregas]]-Tabela32[[#This Row],[Realizadas]]</f>
        <v>0</v>
      </c>
      <c r="U442" s="18">
        <f>Tabela32[[#This Row],[Realizadas]]/Tabela32[[#This Row],[Entregas]]</f>
        <v>1</v>
      </c>
      <c r="V442" s="19" t="str">
        <f>IF(Tabela32[[#This Row],[% Entrega]]&gt;=96%,"Atendeu a Meta","Não Atendeu a Meta")</f>
        <v>Atendeu a Meta</v>
      </c>
      <c r="W442" s="4" t="s">
        <v>39</v>
      </c>
      <c r="X442" s="4">
        <v>0</v>
      </c>
      <c r="Y442" s="5">
        <v>38</v>
      </c>
    </row>
    <row r="443" spans="1:25" x14ac:dyDescent="0.25">
      <c r="A443" s="8">
        <v>46295</v>
      </c>
      <c r="B443" s="16">
        <f>YEAR(Tabela32[[#This Row],[Data]])</f>
        <v>2026</v>
      </c>
      <c r="C443" s="16">
        <f>MONTH(Tabela32[[#This Row],[Data]])</f>
        <v>9</v>
      </c>
      <c r="D443" s="4" t="s">
        <v>25</v>
      </c>
      <c r="E443" s="4">
        <v>1</v>
      </c>
      <c r="F443" s="4" t="str">
        <f>IFERROR(VLOOKUP(Tabela32[[#This Row],[Placa]],Planilha2!$A$1:$B$12,2,0),"")</f>
        <v>Gilberto</v>
      </c>
      <c r="G443" s="10">
        <v>7688.66</v>
      </c>
      <c r="H443" s="10">
        <v>179365.1</v>
      </c>
      <c r="I443" s="4">
        <v>1406</v>
      </c>
      <c r="J443" s="17">
        <f>IFERROR(Tabela32[[#This Row],[Valor Frete]]/Tabela32[[#This Row],[Valor Mercadoria]],"")</f>
        <v>4.2865975599489528E-2</v>
      </c>
      <c r="K443" s="11">
        <v>0.3125</v>
      </c>
      <c r="L443" s="15">
        <v>0.70833333333333337</v>
      </c>
      <c r="M443" s="15">
        <f>Tabela32[[#This Row],[Hr Chegada]]-Tabela32[[#This Row],[Hr Saida]]</f>
        <v>0.39583333333333337</v>
      </c>
      <c r="N443" s="4">
        <v>120547</v>
      </c>
      <c r="O443" s="4">
        <v>120577</v>
      </c>
      <c r="P443" s="4">
        <f>Tabela32[[#This Row],[Km Chegada]]-Tabela32[[#This Row],[Km Saída]]</f>
        <v>30</v>
      </c>
      <c r="Q443" s="4">
        <v>223</v>
      </c>
      <c r="R443" s="4">
        <v>14</v>
      </c>
      <c r="S443" s="4">
        <v>14</v>
      </c>
      <c r="T443" s="12">
        <f>Tabela32[[#This Row],[Entregas]]-Tabela32[[#This Row],[Realizadas]]</f>
        <v>0</v>
      </c>
      <c r="U443" s="18">
        <f>Tabela32[[#This Row],[Realizadas]]/Tabela32[[#This Row],[Entregas]]</f>
        <v>1</v>
      </c>
      <c r="V443" s="19" t="str">
        <f>IF(Tabela32[[#This Row],[% Entrega]]&gt;=96%,"Atendeu a Meta","Não Atendeu a Meta")</f>
        <v>Atendeu a Meta</v>
      </c>
      <c r="W443" s="4" t="s">
        <v>43</v>
      </c>
      <c r="X443" s="4">
        <v>0</v>
      </c>
      <c r="Y443" s="5">
        <v>38.380000000000003</v>
      </c>
    </row>
    <row r="444" spans="1:25" x14ac:dyDescent="0.25">
      <c r="A444" s="8">
        <v>46295</v>
      </c>
      <c r="B444" s="16">
        <f>YEAR(Tabela32[[#This Row],[Data]])</f>
        <v>2026</v>
      </c>
      <c r="C444" s="16">
        <f>MONTH(Tabela32[[#This Row],[Data]])</f>
        <v>9</v>
      </c>
      <c r="D444" s="4" t="s">
        <v>28</v>
      </c>
      <c r="E444" s="4">
        <v>1</v>
      </c>
      <c r="F444" s="4" t="str">
        <f>IFERROR(VLOOKUP(Tabela32[[#This Row],[Placa]],Planilha2!$A$1:$B$12,2,0),"")</f>
        <v>Edilson</v>
      </c>
      <c r="G444" s="10">
        <v>16471</v>
      </c>
      <c r="H444" s="10">
        <v>145619.81</v>
      </c>
      <c r="I444" s="4">
        <v>3858</v>
      </c>
      <c r="J444" s="17">
        <f>IFERROR(Tabela32[[#This Row],[Valor Frete]]/Tabela32[[#This Row],[Valor Mercadoria]],"")</f>
        <v>0.11310961056740838</v>
      </c>
      <c r="K444" s="11">
        <v>0.28472222222222221</v>
      </c>
      <c r="L444" s="15">
        <v>0.70833333333333337</v>
      </c>
      <c r="M444" s="15">
        <f>Tabela32[[#This Row],[Hr Chegada]]-Tabela32[[#This Row],[Hr Saida]]</f>
        <v>0.42361111111111116</v>
      </c>
      <c r="N444" s="4">
        <v>106579</v>
      </c>
      <c r="O444" s="4">
        <v>106612</v>
      </c>
      <c r="P444" s="4">
        <f>Tabela32[[#This Row],[Km Chegada]]-Tabela32[[#This Row],[Km Saída]]</f>
        <v>33</v>
      </c>
      <c r="Q444" s="4">
        <v>1158</v>
      </c>
      <c r="R444" s="4">
        <v>4</v>
      </c>
      <c r="S444" s="4">
        <v>4</v>
      </c>
      <c r="T444" s="12">
        <f>Tabela32[[#This Row],[Entregas]]-Tabela32[[#This Row],[Realizadas]]</f>
        <v>0</v>
      </c>
      <c r="U444" s="18">
        <f>Tabela32[[#This Row],[Realizadas]]/Tabela32[[#This Row],[Entregas]]</f>
        <v>1</v>
      </c>
      <c r="V444" s="19" t="str">
        <f>IF(Tabela32[[#This Row],[% Entrega]]&gt;=96%,"Atendeu a Meta","Não Atendeu a Meta")</f>
        <v>Atendeu a Meta</v>
      </c>
      <c r="W444" s="4" t="s">
        <v>40</v>
      </c>
      <c r="X444" s="4">
        <v>0</v>
      </c>
      <c r="Y444" s="5">
        <v>0</v>
      </c>
    </row>
    <row r="445" spans="1:25" x14ac:dyDescent="0.25">
      <c r="A445" s="8">
        <v>46296</v>
      </c>
      <c r="B445" s="16">
        <f>YEAR(Tabela32[[#This Row],[Data]])</f>
        <v>2026</v>
      </c>
      <c r="C445" s="16">
        <f>MONTH(Tabela32[[#This Row],[Data]])</f>
        <v>10</v>
      </c>
      <c r="D445" s="4" t="s">
        <v>25</v>
      </c>
      <c r="E445" s="4">
        <v>1</v>
      </c>
      <c r="F445" s="4" t="str">
        <f>IFERROR(VLOOKUP(Tabela32[[#This Row],[Placa]],Planilha2!$A$1:$B$12,2,0),"")</f>
        <v>Gilberto</v>
      </c>
      <c r="G445" s="10">
        <v>13166.64</v>
      </c>
      <c r="H445" s="10">
        <v>173949.2</v>
      </c>
      <c r="I445" s="4">
        <v>3519</v>
      </c>
      <c r="J445" s="17">
        <f>IFERROR(Tabela32[[#This Row],[Valor Frete]]/Tabela32[[#This Row],[Valor Mercadoria]],"")</f>
        <v>7.5692443540987822E-2</v>
      </c>
      <c r="K445" s="11">
        <v>0.3125</v>
      </c>
      <c r="L445" s="15">
        <v>0.69444444444444442</v>
      </c>
      <c r="M445" s="15">
        <f>Tabela32[[#This Row],[Hr Chegada]]-Tabela32[[#This Row],[Hr Saida]]</f>
        <v>0.38194444444444442</v>
      </c>
      <c r="N445" s="4">
        <v>120577</v>
      </c>
      <c r="O445" s="4">
        <v>120652</v>
      </c>
      <c r="P445" s="4">
        <f>Tabela32[[#This Row],[Km Chegada]]-Tabela32[[#This Row],[Km Saída]]</f>
        <v>75</v>
      </c>
      <c r="Q445" s="4">
        <v>353</v>
      </c>
      <c r="R445" s="4">
        <v>26</v>
      </c>
      <c r="S445" s="4">
        <v>26</v>
      </c>
      <c r="T445" s="12">
        <f>Tabela32[[#This Row],[Entregas]]-Tabela32[[#This Row],[Realizadas]]</f>
        <v>0</v>
      </c>
      <c r="U445" s="18">
        <f>Tabela32[[#This Row],[Realizadas]]/Tabela32[[#This Row],[Entregas]]</f>
        <v>1</v>
      </c>
      <c r="V445" s="19" t="str">
        <f>IF(Tabela32[[#This Row],[% Entrega]]&gt;=96%,"Atendeu a Meta","Não Atendeu a Meta")</f>
        <v>Atendeu a Meta</v>
      </c>
      <c r="W445" s="4" t="s">
        <v>43</v>
      </c>
      <c r="X445" s="4">
        <v>0</v>
      </c>
      <c r="Y445" s="5">
        <v>0</v>
      </c>
    </row>
    <row r="446" spans="1:25" x14ac:dyDescent="0.25">
      <c r="A446" s="8">
        <v>46296</v>
      </c>
      <c r="B446" s="16">
        <f>YEAR(Tabela32[[#This Row],[Data]])</f>
        <v>2026</v>
      </c>
      <c r="C446" s="16">
        <f>MONTH(Tabela32[[#This Row],[Data]])</f>
        <v>10</v>
      </c>
      <c r="D446" s="4" t="s">
        <v>22</v>
      </c>
      <c r="E446" s="4">
        <v>3</v>
      </c>
      <c r="F446" s="4" t="str">
        <f>IFERROR(VLOOKUP(Tabela32[[#This Row],[Placa]],Planilha2!$A$1:$B$12,2,0),"")</f>
        <v>Juscelino</v>
      </c>
      <c r="G446" s="10">
        <v>5728.99</v>
      </c>
      <c r="H446" s="10">
        <v>138851.32999999999</v>
      </c>
      <c r="I446" s="4">
        <v>1010</v>
      </c>
      <c r="J446" s="17">
        <f>IFERROR(Tabela32[[#This Row],[Valor Frete]]/Tabela32[[#This Row],[Valor Mercadoria]],"")</f>
        <v>4.1259885663320617E-2</v>
      </c>
      <c r="K446" s="11">
        <v>0.29166666666666669</v>
      </c>
      <c r="L446" s="15">
        <v>0.69444444444444442</v>
      </c>
      <c r="M446" s="15">
        <f>Tabela32[[#This Row],[Hr Chegada]]-Tabela32[[#This Row],[Hr Saida]]</f>
        <v>0.40277777777777773</v>
      </c>
      <c r="N446" s="4">
        <v>305745</v>
      </c>
      <c r="O446" s="4">
        <v>305801</v>
      </c>
      <c r="P446" s="4">
        <f>Tabela32[[#This Row],[Km Chegada]]-Tabela32[[#This Row],[Km Saída]]</f>
        <v>56</v>
      </c>
      <c r="Q446" s="4">
        <v>149</v>
      </c>
      <c r="R446" s="4">
        <v>18</v>
      </c>
      <c r="S446" s="4">
        <v>18</v>
      </c>
      <c r="T446" s="12">
        <f>Tabela32[[#This Row],[Entregas]]-Tabela32[[#This Row],[Realizadas]]</f>
        <v>0</v>
      </c>
      <c r="U446" s="18">
        <f>Tabela32[[#This Row],[Realizadas]]/Tabela32[[#This Row],[Entregas]]</f>
        <v>1</v>
      </c>
      <c r="V446" s="19" t="str">
        <f>IF(Tabela32[[#This Row],[% Entrega]]&gt;=96%,"Atendeu a Meta","Não Atendeu a Meta")</f>
        <v>Atendeu a Meta</v>
      </c>
      <c r="W446" s="4" t="s">
        <v>39</v>
      </c>
      <c r="X446" s="4">
        <v>0</v>
      </c>
      <c r="Y446" s="5">
        <v>0</v>
      </c>
    </row>
    <row r="447" spans="1:25" x14ac:dyDescent="0.25">
      <c r="A447" s="8">
        <v>46296</v>
      </c>
      <c r="B447" s="16">
        <f>YEAR(Tabela32[[#This Row],[Data]])</f>
        <v>2026</v>
      </c>
      <c r="C447" s="16">
        <f>MONTH(Tabela32[[#This Row],[Data]])</f>
        <v>10</v>
      </c>
      <c r="D447" s="4" t="s">
        <v>23</v>
      </c>
      <c r="E447" s="4">
        <v>5</v>
      </c>
      <c r="F447" s="4" t="str">
        <f>IFERROR(VLOOKUP(Tabela32[[#This Row],[Placa]],Planilha2!$A$1:$B$12,2,0),"")</f>
        <v>William</v>
      </c>
      <c r="G447" s="10">
        <v>8096.13</v>
      </c>
      <c r="H447" s="10">
        <v>182940.96</v>
      </c>
      <c r="I447" s="4">
        <v>3585</v>
      </c>
      <c r="J447" s="17">
        <f>IFERROR(Tabela32[[#This Row],[Valor Frete]]/Tabela32[[#This Row],[Valor Mercadoria]],"")</f>
        <v>4.425542535690203E-2</v>
      </c>
      <c r="K447" s="11">
        <v>0.3125</v>
      </c>
      <c r="L447" s="15">
        <v>0.43472222222222223</v>
      </c>
      <c r="M447" s="15">
        <f>Tabela32[[#This Row],[Hr Chegada]]-Tabela32[[#This Row],[Hr Saida]]</f>
        <v>0.12222222222222223</v>
      </c>
      <c r="N447" s="4">
        <v>126467</v>
      </c>
      <c r="O447" s="4">
        <v>126502</v>
      </c>
      <c r="P447" s="4">
        <f>Tabela32[[#This Row],[Km Chegada]]-Tabela32[[#This Row],[Km Saída]]</f>
        <v>35</v>
      </c>
      <c r="Q447" s="4">
        <v>713</v>
      </c>
      <c r="R447" s="4">
        <v>15</v>
      </c>
      <c r="S447" s="4">
        <v>15</v>
      </c>
      <c r="T447" s="12">
        <f>Tabela32[[#This Row],[Entregas]]-Tabela32[[#This Row],[Realizadas]]</f>
        <v>0</v>
      </c>
      <c r="U447" s="18">
        <f>Tabela32[[#This Row],[Realizadas]]/Tabela32[[#This Row],[Entregas]]</f>
        <v>1</v>
      </c>
      <c r="V447" s="19" t="str">
        <f>IF(Tabela32[[#This Row],[% Entrega]]&gt;=96%,"Atendeu a Meta","Não Atendeu a Meta")</f>
        <v>Atendeu a Meta</v>
      </c>
      <c r="W447" s="4" t="s">
        <v>39</v>
      </c>
      <c r="X447" s="4">
        <v>0</v>
      </c>
      <c r="Y447" s="5">
        <v>0</v>
      </c>
    </row>
    <row r="448" spans="1:25" x14ac:dyDescent="0.25">
      <c r="A448" s="8">
        <v>46296</v>
      </c>
      <c r="B448" s="16">
        <f>YEAR(Tabela32[[#This Row],[Data]])</f>
        <v>2026</v>
      </c>
      <c r="C448" s="16">
        <f>MONTH(Tabela32[[#This Row],[Data]])</f>
        <v>10</v>
      </c>
      <c r="D448" s="4" t="s">
        <v>36</v>
      </c>
      <c r="E448" s="4">
        <v>11</v>
      </c>
      <c r="F448" s="4" t="str">
        <f>IFERROR(VLOOKUP(Tabela32[[#This Row],[Placa]],Planilha2!$A$1:$B$12,2,0),"")</f>
        <v>Heremilton</v>
      </c>
      <c r="G448" s="10">
        <v>12506.07</v>
      </c>
      <c r="H448" s="10">
        <v>119003.46</v>
      </c>
      <c r="I448" s="4">
        <v>4222</v>
      </c>
      <c r="J448" s="17">
        <f>IFERROR(Tabela32[[#This Row],[Valor Frete]]/Tabela32[[#This Row],[Valor Mercadoria]],"")</f>
        <v>0.10508996965298319</v>
      </c>
      <c r="K448" s="11">
        <v>0.27083333333333331</v>
      </c>
      <c r="L448" s="15">
        <v>0.74097222222222225</v>
      </c>
      <c r="M448" s="15">
        <f>Tabela32[[#This Row],[Hr Chegada]]-Tabela32[[#This Row],[Hr Saida]]</f>
        <v>0.47013888888888894</v>
      </c>
      <c r="N448" s="4">
        <v>367391</v>
      </c>
      <c r="O448" s="4">
        <v>367431</v>
      </c>
      <c r="P448" s="4">
        <f>Tabela32[[#This Row],[Km Chegada]]-Tabela32[[#This Row],[Km Saída]]</f>
        <v>40</v>
      </c>
      <c r="Q448" s="4">
        <v>809</v>
      </c>
      <c r="R448" s="4">
        <v>2</v>
      </c>
      <c r="S448" s="4">
        <v>2</v>
      </c>
      <c r="T448" s="12">
        <f>Tabela32[[#This Row],[Entregas]]-Tabela32[[#This Row],[Realizadas]]</f>
        <v>0</v>
      </c>
      <c r="U448" s="18">
        <f>Tabela32[[#This Row],[Realizadas]]/Tabela32[[#This Row],[Entregas]]</f>
        <v>1</v>
      </c>
      <c r="V448" s="19" t="str">
        <f>IF(Tabela32[[#This Row],[% Entrega]]&gt;=96%,"Atendeu a Meta","Não Atendeu a Meta")</f>
        <v>Atendeu a Meta</v>
      </c>
      <c r="W448" s="4" t="s">
        <v>41</v>
      </c>
      <c r="X448" s="4">
        <v>0</v>
      </c>
      <c r="Y448" s="5">
        <v>0</v>
      </c>
    </row>
    <row r="449" spans="1:25" x14ac:dyDescent="0.25">
      <c r="A449" s="8">
        <v>46296</v>
      </c>
      <c r="B449" s="16">
        <f>YEAR(Tabela32[[#This Row],[Data]])</f>
        <v>2026</v>
      </c>
      <c r="C449" s="16">
        <f>MONTH(Tabela32[[#This Row],[Data]])</f>
        <v>10</v>
      </c>
      <c r="D449" s="4" t="s">
        <v>28</v>
      </c>
      <c r="E449" s="4">
        <v>1</v>
      </c>
      <c r="F449" s="4" t="str">
        <f>IFERROR(VLOOKUP(Tabela32[[#This Row],[Placa]],Planilha2!$A$1:$B$12,2,0),"")</f>
        <v>Edilson</v>
      </c>
      <c r="G449" s="10">
        <v>13768.88</v>
      </c>
      <c r="H449" s="10">
        <v>136214.88</v>
      </c>
      <c r="I449" s="4">
        <v>6604</v>
      </c>
      <c r="J449" s="17">
        <f>IFERROR(Tabela32[[#This Row],[Valor Frete]]/Tabela32[[#This Row],[Valor Mercadoria]],"")</f>
        <v>0.1010820550588893</v>
      </c>
      <c r="K449" s="11">
        <v>0.27083333333333331</v>
      </c>
      <c r="L449" s="15">
        <v>0.76388888888888884</v>
      </c>
      <c r="M449" s="15">
        <f>Tabela32[[#This Row],[Hr Chegada]]-Tabela32[[#This Row],[Hr Saida]]</f>
        <v>0.49305555555555552</v>
      </c>
      <c r="N449" s="4">
        <v>106612</v>
      </c>
      <c r="O449" s="4">
        <v>106643</v>
      </c>
      <c r="P449" s="4">
        <f>Tabela32[[#This Row],[Km Chegada]]-Tabela32[[#This Row],[Km Saída]]</f>
        <v>31</v>
      </c>
      <c r="Q449" s="4">
        <v>29</v>
      </c>
      <c r="R449" s="4">
        <v>4</v>
      </c>
      <c r="S449" s="4">
        <v>4</v>
      </c>
      <c r="T449" s="12">
        <f>Tabela32[[#This Row],[Entregas]]-Tabela32[[#This Row],[Realizadas]]</f>
        <v>0</v>
      </c>
      <c r="U449" s="18">
        <f>Tabela32[[#This Row],[Realizadas]]/Tabela32[[#This Row],[Entregas]]</f>
        <v>1</v>
      </c>
      <c r="V449" s="19" t="str">
        <f>IF(Tabela32[[#This Row],[% Entrega]]&gt;=96%,"Atendeu a Meta","Não Atendeu a Meta")</f>
        <v>Atendeu a Meta</v>
      </c>
      <c r="W449" s="4" t="s">
        <v>40</v>
      </c>
      <c r="X449" s="4">
        <v>0</v>
      </c>
      <c r="Y449" s="5">
        <v>0</v>
      </c>
    </row>
    <row r="450" spans="1:25" x14ac:dyDescent="0.25">
      <c r="A450" s="8">
        <v>46296</v>
      </c>
      <c r="B450" s="16">
        <f>YEAR(Tabela32[[#This Row],[Data]])</f>
        <v>2026</v>
      </c>
      <c r="C450" s="16">
        <f>MONTH(Tabela32[[#This Row],[Data]])</f>
        <v>10</v>
      </c>
      <c r="D450" s="4" t="s">
        <v>29</v>
      </c>
      <c r="E450" s="4">
        <v>1</v>
      </c>
      <c r="F450" s="4" t="str">
        <f>IFERROR(VLOOKUP(Tabela32[[#This Row],[Placa]],Planilha2!$A$1:$B$12,2,0),"")</f>
        <v>Sandro</v>
      </c>
      <c r="G450" s="10">
        <v>7307.82</v>
      </c>
      <c r="H450" s="10">
        <v>68936.05</v>
      </c>
      <c r="I450" s="4">
        <v>1954</v>
      </c>
      <c r="J450" s="17">
        <f>IFERROR(Tabela32[[#This Row],[Valor Frete]]/Tabela32[[#This Row],[Valor Mercadoria]],"")</f>
        <v>0.1060086848608239</v>
      </c>
      <c r="K450" s="11">
        <v>0.29166666666666669</v>
      </c>
      <c r="L450" s="15">
        <v>0.79236111111111107</v>
      </c>
      <c r="M450" s="15">
        <f>Tabela32[[#This Row],[Hr Chegada]]-Tabela32[[#This Row],[Hr Saida]]</f>
        <v>0.50069444444444433</v>
      </c>
      <c r="N450" s="4">
        <v>276439</v>
      </c>
      <c r="O450" s="4">
        <v>276503</v>
      </c>
      <c r="P450" s="4">
        <f>Tabela32[[#This Row],[Km Chegada]]-Tabela32[[#This Row],[Km Saída]]</f>
        <v>64</v>
      </c>
      <c r="Q450" s="4">
        <v>254</v>
      </c>
      <c r="R450" s="4">
        <v>8</v>
      </c>
      <c r="S450" s="4">
        <v>8</v>
      </c>
      <c r="T450" s="12">
        <f>Tabela32[[#This Row],[Entregas]]-Tabela32[[#This Row],[Realizadas]]</f>
        <v>0</v>
      </c>
      <c r="U450" s="18">
        <f>Tabela32[[#This Row],[Realizadas]]/Tabela32[[#This Row],[Entregas]]</f>
        <v>1</v>
      </c>
      <c r="V450" s="19" t="str">
        <f>IF(Tabela32[[#This Row],[% Entrega]]&gt;=96%,"Atendeu a Meta","Não Atendeu a Meta")</f>
        <v>Atendeu a Meta</v>
      </c>
      <c r="W450" s="4" t="s">
        <v>40</v>
      </c>
      <c r="X450" s="4">
        <v>0</v>
      </c>
      <c r="Y450" s="5">
        <v>0</v>
      </c>
    </row>
    <row r="451" spans="1:25" x14ac:dyDescent="0.25">
      <c r="A451" s="8">
        <v>46296</v>
      </c>
      <c r="B451" s="16">
        <f>YEAR(Tabela32[[#This Row],[Data]])</f>
        <v>2026</v>
      </c>
      <c r="C451" s="16">
        <f>MONTH(Tabela32[[#This Row],[Data]])</f>
        <v>10</v>
      </c>
      <c r="D451" s="4" t="s">
        <v>33</v>
      </c>
      <c r="E451" s="4">
        <v>1</v>
      </c>
      <c r="F451" s="4" t="str">
        <f>IFERROR(VLOOKUP(Tabela32[[#This Row],[Placa]],Planilha2!$A$1:$B$12,2,0),"")</f>
        <v>Paulo</v>
      </c>
      <c r="G451" s="10">
        <v>1548.42</v>
      </c>
      <c r="H451" s="10">
        <v>48223.5</v>
      </c>
      <c r="I451" s="4">
        <v>269</v>
      </c>
      <c r="J451" s="17">
        <f>IFERROR(Tabela32[[#This Row],[Valor Frete]]/Tabela32[[#This Row],[Valor Mercadoria]],"")</f>
        <v>3.2109241344987403E-2</v>
      </c>
      <c r="K451" s="11">
        <v>0.29166666666666669</v>
      </c>
      <c r="L451" s="15">
        <v>0.70972222222222225</v>
      </c>
      <c r="M451" s="15">
        <f>Tabela32[[#This Row],[Hr Chegada]]-Tabela32[[#This Row],[Hr Saida]]</f>
        <v>0.41805555555555557</v>
      </c>
      <c r="N451" s="4">
        <v>156431</v>
      </c>
      <c r="O451" s="4">
        <v>156572</v>
      </c>
      <c r="P451" s="4">
        <f>Tabela32[[#This Row],[Km Chegada]]-Tabela32[[#This Row],[Km Saída]]</f>
        <v>141</v>
      </c>
      <c r="Q451" s="4">
        <v>2</v>
      </c>
      <c r="R451" s="4">
        <v>1</v>
      </c>
      <c r="S451" s="4">
        <v>1</v>
      </c>
      <c r="T451" s="12">
        <f>Tabela32[[#This Row],[Entregas]]-Tabela32[[#This Row],[Realizadas]]</f>
        <v>0</v>
      </c>
      <c r="U451" s="18">
        <f>Tabela32[[#This Row],[Realizadas]]/Tabela32[[#This Row],[Entregas]]</f>
        <v>1</v>
      </c>
      <c r="V451" s="19" t="str">
        <f>IF(Tabela32[[#This Row],[% Entrega]]&gt;=96%,"Atendeu a Meta","Não Atendeu a Meta")</f>
        <v>Atendeu a Meta</v>
      </c>
      <c r="W451" s="4" t="s">
        <v>40</v>
      </c>
      <c r="X451" s="4">
        <v>0</v>
      </c>
      <c r="Y451" s="5">
        <v>0</v>
      </c>
    </row>
    <row r="452" spans="1:25" x14ac:dyDescent="0.25">
      <c r="A452" s="8">
        <v>46296</v>
      </c>
      <c r="B452" s="16">
        <f>YEAR(Tabela32[[#This Row],[Data]])</f>
        <v>2026</v>
      </c>
      <c r="C452" s="16">
        <f>MONTH(Tabela32[[#This Row],[Data]])</f>
        <v>10</v>
      </c>
      <c r="D452" s="4" t="s">
        <v>35</v>
      </c>
      <c r="E452" s="4">
        <v>4</v>
      </c>
      <c r="F452" s="4" t="str">
        <f>IFERROR(VLOOKUP(Tabela32[[#This Row],[Placa]],Planilha2!$A$1:$B$12,2,0),"")</f>
        <v>Osvaldo</v>
      </c>
      <c r="G452" s="10">
        <v>10079.719999999999</v>
      </c>
      <c r="H452" s="10">
        <v>182931.56</v>
      </c>
      <c r="I452" s="4">
        <v>2661</v>
      </c>
      <c r="J452" s="17">
        <f>IFERROR(Tabela32[[#This Row],[Valor Frete]]/Tabela32[[#This Row],[Valor Mercadoria]],"")</f>
        <v>5.510104434685846E-2</v>
      </c>
      <c r="K452" s="11">
        <v>0.29166666666666669</v>
      </c>
      <c r="L452" s="15">
        <v>0.73055555555555551</v>
      </c>
      <c r="M452" s="15">
        <f>Tabela32[[#This Row],[Hr Chegada]]-Tabela32[[#This Row],[Hr Saida]]</f>
        <v>0.43888888888888883</v>
      </c>
      <c r="N452" s="4">
        <v>144011</v>
      </c>
      <c r="O452" s="4">
        <v>144077</v>
      </c>
      <c r="P452" s="4">
        <f>Tabela32[[#This Row],[Km Chegada]]-Tabela32[[#This Row],[Km Saída]]</f>
        <v>66</v>
      </c>
      <c r="Q452" s="4">
        <v>355</v>
      </c>
      <c r="R452" s="4">
        <v>31</v>
      </c>
      <c r="S452" s="4">
        <v>31</v>
      </c>
      <c r="T452" s="12">
        <f>Tabela32[[#This Row],[Entregas]]-Tabela32[[#This Row],[Realizadas]]</f>
        <v>0</v>
      </c>
      <c r="U452" s="18">
        <f>Tabela32[[#This Row],[Realizadas]]/Tabela32[[#This Row],[Entregas]]</f>
        <v>1</v>
      </c>
      <c r="V452" s="19" t="str">
        <f>IF(Tabela32[[#This Row],[% Entrega]]&gt;=96%,"Atendeu a Meta","Não Atendeu a Meta")</f>
        <v>Atendeu a Meta</v>
      </c>
      <c r="W452" s="4" t="s">
        <v>39</v>
      </c>
      <c r="X452" s="4">
        <v>1</v>
      </c>
      <c r="Y452" s="5" t="s">
        <v>91</v>
      </c>
    </row>
    <row r="453" spans="1:25" x14ac:dyDescent="0.25">
      <c r="A453" s="8">
        <v>46296</v>
      </c>
      <c r="B453" s="16">
        <f>YEAR(Tabela32[[#This Row],[Data]])</f>
        <v>2026</v>
      </c>
      <c r="C453" s="16">
        <f>MONTH(Tabela32[[#This Row],[Data]])</f>
        <v>10</v>
      </c>
      <c r="D453" s="4" t="s">
        <v>31</v>
      </c>
      <c r="E453" s="4">
        <v>11</v>
      </c>
      <c r="F453" s="4" t="str">
        <f>IFERROR(VLOOKUP(Tabela32[[#This Row],[Placa]],Planilha2!$A$1:$B$12,2,0),"")</f>
        <v>Jerson</v>
      </c>
      <c r="G453" s="10">
        <v>14997.77</v>
      </c>
      <c r="H453" s="10">
        <v>231117.04</v>
      </c>
      <c r="I453" s="4">
        <v>2050</v>
      </c>
      <c r="J453" s="17">
        <f>IFERROR(Tabela32[[#This Row],[Valor Frete]]/Tabela32[[#This Row],[Valor Mercadoria]],"")</f>
        <v>6.4892532372342604E-2</v>
      </c>
      <c r="K453" s="11">
        <v>0.27777777777777779</v>
      </c>
      <c r="L453" s="15">
        <v>0.85416666666666663</v>
      </c>
      <c r="M453" s="15">
        <f>Tabela32[[#This Row],[Hr Chegada]]-Tabela32[[#This Row],[Hr Saida]]</f>
        <v>0.57638888888888884</v>
      </c>
      <c r="N453" s="4">
        <v>281467</v>
      </c>
      <c r="O453" s="4">
        <v>281577</v>
      </c>
      <c r="P453" s="4">
        <f>Tabela32[[#This Row],[Km Chegada]]-Tabela32[[#This Row],[Km Saída]]</f>
        <v>110</v>
      </c>
      <c r="Q453" s="4">
        <v>352</v>
      </c>
      <c r="R453" s="4">
        <v>43</v>
      </c>
      <c r="S453" s="4">
        <v>43</v>
      </c>
      <c r="T453" s="12">
        <f>Tabela32[[#This Row],[Entregas]]-Tabela32[[#This Row],[Realizadas]]</f>
        <v>0</v>
      </c>
      <c r="U453" s="18">
        <f>Tabela32[[#This Row],[Realizadas]]/Tabela32[[#This Row],[Entregas]]</f>
        <v>1</v>
      </c>
      <c r="V453" s="19" t="str">
        <f>IF(Tabela32[[#This Row],[% Entrega]]&gt;=96%,"Atendeu a Meta","Não Atendeu a Meta")</f>
        <v>Atendeu a Meta</v>
      </c>
      <c r="W453" s="4" t="s">
        <v>41</v>
      </c>
      <c r="X453" s="4">
        <v>0</v>
      </c>
      <c r="Y453" s="5">
        <v>0</v>
      </c>
    </row>
    <row r="454" spans="1:25" x14ac:dyDescent="0.25">
      <c r="A454" s="8">
        <v>46296</v>
      </c>
      <c r="B454" s="16">
        <f>YEAR(Tabela32[[#This Row],[Data]])</f>
        <v>2026</v>
      </c>
      <c r="C454" s="16">
        <f>MONTH(Tabela32[[#This Row],[Data]])</f>
        <v>10</v>
      </c>
      <c r="D454" s="4" t="s">
        <v>53</v>
      </c>
      <c r="E454" s="4">
        <v>5</v>
      </c>
      <c r="F454" s="4" t="str">
        <f>IFERROR(VLOOKUP(Tabela32[[#This Row],[Placa]],Planilha2!$A$1:$B$12,2,0),"")</f>
        <v>Arnaldo</v>
      </c>
      <c r="G454" s="10">
        <v>8643.84</v>
      </c>
      <c r="H454" s="10">
        <v>187927.76</v>
      </c>
      <c r="I454" s="4">
        <v>723</v>
      </c>
      <c r="J454" s="17">
        <f>IFERROR(Tabela32[[#This Row],[Valor Frete]]/Tabela32[[#This Row],[Valor Mercadoria]],"")</f>
        <v>4.5995546373776813E-2</v>
      </c>
      <c r="K454" s="11">
        <v>0.29166666666666669</v>
      </c>
      <c r="L454" s="15">
        <v>0.74652777777777779</v>
      </c>
      <c r="M454" s="15">
        <f>Tabela32[[#This Row],[Hr Chegada]]-Tabela32[[#This Row],[Hr Saida]]</f>
        <v>0.4548611111111111</v>
      </c>
      <c r="N454" s="4">
        <v>14375</v>
      </c>
      <c r="O454" s="4">
        <v>14441</v>
      </c>
      <c r="P454" s="4">
        <f>Tabela32[[#This Row],[Km Chegada]]-Tabela32[[#This Row],[Km Saída]]</f>
        <v>66</v>
      </c>
      <c r="Q454" s="4">
        <v>347</v>
      </c>
      <c r="R454" s="4">
        <v>24</v>
      </c>
      <c r="S454" s="4">
        <v>24</v>
      </c>
      <c r="T454" s="12">
        <f>Tabela32[[#This Row],[Entregas]]-Tabela32[[#This Row],[Realizadas]]</f>
        <v>0</v>
      </c>
      <c r="U454" s="18">
        <f>Tabela32[[#This Row],[Realizadas]]/Tabela32[[#This Row],[Entregas]]</f>
        <v>1</v>
      </c>
      <c r="V454" s="19" t="str">
        <f>IF(Tabela32[[#This Row],[% Entrega]]&gt;=96%,"Atendeu a Meta","Não Atendeu a Meta")</f>
        <v>Atendeu a Meta</v>
      </c>
      <c r="W454" s="4" t="s">
        <v>39</v>
      </c>
      <c r="X454" s="4">
        <v>0</v>
      </c>
      <c r="Y454" s="5">
        <v>38.380000000000003</v>
      </c>
    </row>
    <row r="455" spans="1:25" x14ac:dyDescent="0.25">
      <c r="A455" s="8">
        <v>46296</v>
      </c>
      <c r="B455" s="16">
        <f>YEAR(Tabela32[[#This Row],[Data]])</f>
        <v>2026</v>
      </c>
      <c r="C455" s="16">
        <f>MONTH(Tabela32[[#This Row],[Data]])</f>
        <v>10</v>
      </c>
      <c r="D455" s="4" t="s">
        <v>23</v>
      </c>
      <c r="E455" s="4">
        <v>5</v>
      </c>
      <c r="F455" s="4" t="str">
        <f>IFERROR(VLOOKUP(Tabela32[[#This Row],[Placa]],Planilha2!$A$1:$B$12,2,0),"")</f>
        <v>William</v>
      </c>
      <c r="G455" s="10">
        <v>6042.12</v>
      </c>
      <c r="H455" s="10">
        <v>127329.96</v>
      </c>
      <c r="I455" s="4">
        <v>2951</v>
      </c>
      <c r="J455" s="17">
        <f>IFERROR(Tabela32[[#This Row],[Valor Frete]]/Tabela32[[#This Row],[Valor Mercadoria]],"")</f>
        <v>4.7452461306042977E-2</v>
      </c>
      <c r="K455" s="11">
        <v>0.5625</v>
      </c>
      <c r="L455" s="15">
        <v>0.76041666666666663</v>
      </c>
      <c r="M455" s="15">
        <f>Tabela32[[#This Row],[Hr Chegada]]-Tabela32[[#This Row],[Hr Saida]]</f>
        <v>0.19791666666666663</v>
      </c>
      <c r="N455" s="4">
        <v>126502</v>
      </c>
      <c r="O455" s="4">
        <v>126547</v>
      </c>
      <c r="P455" s="4">
        <f>Tabela32[[#This Row],[Km Chegada]]-Tabela32[[#This Row],[Km Saída]]</f>
        <v>45</v>
      </c>
      <c r="Q455" s="4">
        <v>618</v>
      </c>
      <c r="R455" s="4">
        <v>6</v>
      </c>
      <c r="S455" s="4">
        <v>6</v>
      </c>
      <c r="T455" s="12">
        <f>Tabela32[[#This Row],[Entregas]]-Tabela32[[#This Row],[Realizadas]]</f>
        <v>0</v>
      </c>
      <c r="U455" s="18">
        <f>Tabela32[[#This Row],[Realizadas]]/Tabela32[[#This Row],[Entregas]]</f>
        <v>1</v>
      </c>
      <c r="V455" s="19" t="str">
        <f>IF(Tabela32[[#This Row],[% Entrega]]&gt;=96%,"Atendeu a Meta","Não Atendeu a Meta")</f>
        <v>Atendeu a Meta</v>
      </c>
      <c r="W455" s="4" t="s">
        <v>39</v>
      </c>
      <c r="X455" s="4">
        <v>0</v>
      </c>
      <c r="Y455" s="5">
        <v>0</v>
      </c>
    </row>
    <row r="456" spans="1:25" x14ac:dyDescent="0.25">
      <c r="A456" s="8">
        <v>46297</v>
      </c>
      <c r="B456" s="16">
        <f>YEAR(Tabela32[[#This Row],[Data]])</f>
        <v>2026</v>
      </c>
      <c r="C456" s="16">
        <f>MONTH(Tabela32[[#This Row],[Data]])</f>
        <v>10</v>
      </c>
      <c r="D456" s="4" t="s">
        <v>29</v>
      </c>
      <c r="E456" s="4">
        <v>1</v>
      </c>
      <c r="F456" s="4" t="str">
        <f>IFERROR(VLOOKUP(Tabela32[[#This Row],[Placa]],Planilha2!$A$1:$B$12,2,0),"")</f>
        <v>Sandro</v>
      </c>
      <c r="G456" s="10">
        <v>7315.87</v>
      </c>
      <c r="H456" s="10">
        <v>97436.97</v>
      </c>
      <c r="I456" s="4">
        <v>1154</v>
      </c>
      <c r="J456" s="17">
        <f>IFERROR(Tabela32[[#This Row],[Valor Frete]]/Tabela32[[#This Row],[Valor Mercadoria]],"")</f>
        <v>7.5083102440480234E-2</v>
      </c>
      <c r="K456" s="11">
        <v>0.30555555555555558</v>
      </c>
      <c r="L456" s="15">
        <v>0.76041666666666663</v>
      </c>
      <c r="M456" s="15">
        <f>Tabela32[[#This Row],[Hr Chegada]]-Tabela32[[#This Row],[Hr Saida]]</f>
        <v>0.45486111111111105</v>
      </c>
      <c r="N456" s="4">
        <v>276503</v>
      </c>
      <c r="O456" s="4">
        <v>276565</v>
      </c>
      <c r="P456" s="4">
        <f>Tabela32[[#This Row],[Km Chegada]]-Tabela32[[#This Row],[Km Saída]]</f>
        <v>62</v>
      </c>
      <c r="Q456" s="4">
        <v>131</v>
      </c>
      <c r="R456" s="4">
        <v>20</v>
      </c>
      <c r="S456" s="4">
        <v>20</v>
      </c>
      <c r="T456" s="12">
        <f>Tabela32[[#This Row],[Entregas]]-Tabela32[[#This Row],[Realizadas]]</f>
        <v>0</v>
      </c>
      <c r="U456" s="18">
        <f>Tabela32[[#This Row],[Realizadas]]/Tabela32[[#This Row],[Entregas]]</f>
        <v>1</v>
      </c>
      <c r="V456" s="19" t="str">
        <f>IF(Tabela32[[#This Row],[% Entrega]]&gt;=96%,"Atendeu a Meta","Não Atendeu a Meta")</f>
        <v>Atendeu a Meta</v>
      </c>
      <c r="W456" s="4" t="s">
        <v>43</v>
      </c>
      <c r="X456" s="4">
        <v>0</v>
      </c>
      <c r="Y456" s="5" t="s">
        <v>81</v>
      </c>
    </row>
    <row r="457" spans="1:25" x14ac:dyDescent="0.25">
      <c r="A457" s="8">
        <v>46297</v>
      </c>
      <c r="B457" s="16">
        <f>YEAR(Tabela32[[#This Row],[Data]])</f>
        <v>2026</v>
      </c>
      <c r="C457" s="16">
        <f>MONTH(Tabela32[[#This Row],[Data]])</f>
        <v>10</v>
      </c>
      <c r="D457" s="4" t="s">
        <v>25</v>
      </c>
      <c r="E457" s="4">
        <v>1</v>
      </c>
      <c r="F457" s="4" t="str">
        <f>IFERROR(VLOOKUP(Tabela32[[#This Row],[Placa]],Planilha2!$A$1:$B$12,2,0),"")</f>
        <v>Gilberto</v>
      </c>
      <c r="G457" s="10">
        <v>21328.05</v>
      </c>
      <c r="H457" s="10">
        <v>83697.179999999993</v>
      </c>
      <c r="I457" s="4">
        <v>3675</v>
      </c>
      <c r="J457" s="17">
        <f>IFERROR(Tabela32[[#This Row],[Valor Frete]]/Tabela32[[#This Row],[Valor Mercadoria]],"")</f>
        <v>0.25482399765440128</v>
      </c>
      <c r="K457" s="11">
        <v>0.3125</v>
      </c>
      <c r="L457" s="15">
        <v>0.38194444444444442</v>
      </c>
      <c r="M457" s="15">
        <f>Tabela32[[#This Row],[Hr Chegada]]-Tabela32[[#This Row],[Hr Saida]]</f>
        <v>6.944444444444442E-2</v>
      </c>
      <c r="N457" s="4">
        <v>120652</v>
      </c>
      <c r="O457" s="4">
        <v>120660</v>
      </c>
      <c r="P457" s="4">
        <f>Tabela32[[#This Row],[Km Chegada]]-Tabela32[[#This Row],[Km Saída]]</f>
        <v>8</v>
      </c>
      <c r="Q457" s="4">
        <v>300</v>
      </c>
      <c r="R457" s="4">
        <v>1</v>
      </c>
      <c r="S457" s="4">
        <v>1</v>
      </c>
      <c r="T457" s="12">
        <f>Tabela32[[#This Row],[Entregas]]-Tabela32[[#This Row],[Realizadas]]</f>
        <v>0</v>
      </c>
      <c r="U457" s="18">
        <f>Tabela32[[#This Row],[Realizadas]]/Tabela32[[#This Row],[Entregas]]</f>
        <v>1</v>
      </c>
      <c r="V457" s="19" t="str">
        <f>IF(Tabela32[[#This Row],[% Entrega]]&gt;=96%,"Atendeu a Meta","Não Atendeu a Meta")</f>
        <v>Atendeu a Meta</v>
      </c>
      <c r="W457" s="4" t="s">
        <v>43</v>
      </c>
      <c r="X457" s="4">
        <v>0</v>
      </c>
      <c r="Y457" s="5">
        <v>0</v>
      </c>
    </row>
    <row r="458" spans="1:25" x14ac:dyDescent="0.25">
      <c r="A458" s="8">
        <v>46297</v>
      </c>
      <c r="B458" s="16">
        <f>YEAR(Tabela32[[#This Row],[Data]])</f>
        <v>2026</v>
      </c>
      <c r="C458" s="16">
        <f>MONTH(Tabela32[[#This Row],[Data]])</f>
        <v>10</v>
      </c>
      <c r="D458" s="4" t="s">
        <v>27</v>
      </c>
      <c r="E458" s="4">
        <v>1</v>
      </c>
      <c r="F458" s="4" t="str">
        <f>IFERROR(VLOOKUP(Tabela32[[#This Row],[Placa]],Planilha2!$A$1:$B$12,2,0),"")</f>
        <v>Rosinaldo</v>
      </c>
      <c r="G458" s="10">
        <v>530.82000000000005</v>
      </c>
      <c r="H458" s="10">
        <v>7594.2</v>
      </c>
      <c r="I458" s="4">
        <v>22</v>
      </c>
      <c r="J458" s="17">
        <f>IFERROR(Tabela32[[#This Row],[Valor Frete]]/Tabela32[[#This Row],[Valor Mercadoria]],"")</f>
        <v>6.9898080113771049E-2</v>
      </c>
      <c r="K458" s="11">
        <v>0.29166666666666669</v>
      </c>
      <c r="L458" s="15">
        <v>0.45833333333333331</v>
      </c>
      <c r="M458" s="15">
        <f>Tabela32[[#This Row],[Hr Chegada]]-Tabela32[[#This Row],[Hr Saida]]</f>
        <v>0.16666666666666663</v>
      </c>
      <c r="N458" s="4">
        <v>292124</v>
      </c>
      <c r="O458" s="4">
        <v>292183</v>
      </c>
      <c r="P458" s="4">
        <f>Tabela32[[#This Row],[Km Chegada]]-Tabela32[[#This Row],[Km Saída]]</f>
        <v>59</v>
      </c>
      <c r="Q458" s="4">
        <v>9</v>
      </c>
      <c r="R458" s="4">
        <v>1</v>
      </c>
      <c r="S458" s="4">
        <v>1</v>
      </c>
      <c r="T458" s="12">
        <f>Tabela32[[#This Row],[Entregas]]-Tabela32[[#This Row],[Realizadas]]</f>
        <v>0</v>
      </c>
      <c r="U458" s="18">
        <f>Tabela32[[#This Row],[Realizadas]]/Tabela32[[#This Row],[Entregas]]</f>
        <v>1</v>
      </c>
      <c r="V458" s="19" t="str">
        <f>IF(Tabela32[[#This Row],[% Entrega]]&gt;=96%,"Atendeu a Meta","Não Atendeu a Meta")</f>
        <v>Atendeu a Meta</v>
      </c>
      <c r="W458" s="4" t="s">
        <v>40</v>
      </c>
      <c r="X458" s="4">
        <v>0</v>
      </c>
      <c r="Y458" s="5">
        <v>0</v>
      </c>
    </row>
    <row r="459" spans="1:25" x14ac:dyDescent="0.25">
      <c r="A459" s="8">
        <v>46297</v>
      </c>
      <c r="B459" s="16">
        <f>YEAR(Tabela32[[#This Row],[Data]])</f>
        <v>2026</v>
      </c>
      <c r="C459" s="16">
        <f>MONTH(Tabela32[[#This Row],[Data]])</f>
        <v>10</v>
      </c>
      <c r="D459" s="4" t="s">
        <v>25</v>
      </c>
      <c r="E459" s="4">
        <v>5</v>
      </c>
      <c r="F459" s="4" t="str">
        <f>IFERROR(VLOOKUP(Tabela32[[#This Row],[Placa]],Planilha2!$A$1:$B$12,2,0),"")</f>
        <v>Gilberto</v>
      </c>
      <c r="G459" s="10">
        <v>9277.34</v>
      </c>
      <c r="H459" s="10">
        <v>146614.56</v>
      </c>
      <c r="I459" s="4">
        <v>2984</v>
      </c>
      <c r="J459" s="17">
        <f>IFERROR(Tabela32[[#This Row],[Valor Frete]]/Tabela32[[#This Row],[Valor Mercadoria]],"")</f>
        <v>6.3277071526866097E-2</v>
      </c>
      <c r="K459" s="11">
        <v>0.4375</v>
      </c>
      <c r="L459" s="15">
        <v>0.79861111111111116</v>
      </c>
      <c r="M459" s="15">
        <f>Tabela32[[#This Row],[Hr Chegada]]-Tabela32[[#This Row],[Hr Saida]]</f>
        <v>0.36111111111111116</v>
      </c>
      <c r="N459" s="4">
        <v>120660</v>
      </c>
      <c r="O459" s="4">
        <v>120714</v>
      </c>
      <c r="P459" s="4">
        <f>Tabela32[[#This Row],[Km Chegada]]-Tabela32[[#This Row],[Km Saída]]</f>
        <v>54</v>
      </c>
      <c r="Q459" s="4">
        <v>556</v>
      </c>
      <c r="R459" s="4">
        <v>4</v>
      </c>
      <c r="S459" s="4">
        <v>4</v>
      </c>
      <c r="T459" s="12">
        <f>Tabela32[[#This Row],[Entregas]]-Tabela32[[#This Row],[Realizadas]]</f>
        <v>0</v>
      </c>
      <c r="U459" s="18">
        <f>Tabela32[[#This Row],[Realizadas]]/Tabela32[[#This Row],[Entregas]]</f>
        <v>1</v>
      </c>
      <c r="V459" s="19" t="str">
        <f>IF(Tabela32[[#This Row],[% Entrega]]&gt;=96%,"Atendeu a Meta","Não Atendeu a Meta")</f>
        <v>Atendeu a Meta</v>
      </c>
      <c r="W459" s="4" t="s">
        <v>39</v>
      </c>
      <c r="X459" s="4">
        <v>0</v>
      </c>
      <c r="Y459" s="5">
        <v>0</v>
      </c>
    </row>
    <row r="460" spans="1:25" x14ac:dyDescent="0.25">
      <c r="A460" s="8">
        <v>46297</v>
      </c>
      <c r="B460" s="16">
        <f>YEAR(Tabela32[[#This Row],[Data]])</f>
        <v>2026</v>
      </c>
      <c r="C460" s="16">
        <f>MONTH(Tabela32[[#This Row],[Data]])</f>
        <v>10</v>
      </c>
      <c r="D460" s="4" t="s">
        <v>23</v>
      </c>
      <c r="E460" s="4">
        <v>2</v>
      </c>
      <c r="F460" s="4" t="str">
        <f>IFERROR(VLOOKUP(Tabela32[[#This Row],[Placa]],Planilha2!$A$1:$B$12,2,0),"")</f>
        <v>William</v>
      </c>
      <c r="G460" s="10">
        <v>9347.4699999999993</v>
      </c>
      <c r="H460" s="10">
        <v>214620.24</v>
      </c>
      <c r="I460" s="4">
        <v>1625</v>
      </c>
      <c r="J460" s="17">
        <f>IFERROR(Tabela32[[#This Row],[Valor Frete]]/Tabela32[[#This Row],[Valor Mercadoria]],"")</f>
        <v>4.355353437308615E-2</v>
      </c>
      <c r="K460" s="11">
        <v>0.27083333333333331</v>
      </c>
      <c r="L460" s="15">
        <v>0.77986111111111112</v>
      </c>
      <c r="M460" s="15">
        <f>Tabela32[[#This Row],[Hr Chegada]]-Tabela32[[#This Row],[Hr Saida]]</f>
        <v>0.50902777777777786</v>
      </c>
      <c r="N460" s="4">
        <v>126547</v>
      </c>
      <c r="O460" s="4">
        <v>126632</v>
      </c>
      <c r="P460" s="4">
        <f>Tabela32[[#This Row],[Km Chegada]]-Tabela32[[#This Row],[Km Saída]]</f>
        <v>85</v>
      </c>
      <c r="Q460" s="4">
        <v>340</v>
      </c>
      <c r="R460" s="4">
        <v>35</v>
      </c>
      <c r="S460" s="4">
        <v>34</v>
      </c>
      <c r="T460" s="12">
        <f>Tabela32[[#This Row],[Entregas]]-Tabela32[[#This Row],[Realizadas]]</f>
        <v>1</v>
      </c>
      <c r="U460" s="18">
        <f>Tabela32[[#This Row],[Realizadas]]/Tabela32[[#This Row],[Entregas]]</f>
        <v>0.97142857142857142</v>
      </c>
      <c r="V460" s="19" t="str">
        <f>IF(Tabela32[[#This Row],[% Entrega]]&gt;=96%,"Atendeu a Meta","Não Atendeu a Meta")</f>
        <v>Atendeu a Meta</v>
      </c>
      <c r="W460" s="4" t="s">
        <v>39</v>
      </c>
      <c r="X460" s="4">
        <v>1</v>
      </c>
      <c r="Y460" s="5">
        <v>13</v>
      </c>
    </row>
    <row r="461" spans="1:25" x14ac:dyDescent="0.25">
      <c r="A461" s="8">
        <v>46297</v>
      </c>
      <c r="B461" s="16">
        <f>YEAR(Tabela32[[#This Row],[Data]])</f>
        <v>2026</v>
      </c>
      <c r="C461" s="16">
        <f>MONTH(Tabela32[[#This Row],[Data]])</f>
        <v>10</v>
      </c>
      <c r="D461" s="4" t="s">
        <v>53</v>
      </c>
      <c r="E461" s="4">
        <v>5</v>
      </c>
      <c r="F461" s="4" t="str">
        <f>IFERROR(VLOOKUP(Tabela32[[#This Row],[Placa]],Planilha2!$A$1:$B$12,2,0),"")</f>
        <v>Arnaldo</v>
      </c>
      <c r="G461" s="10">
        <v>6435.47</v>
      </c>
      <c r="H461" s="10">
        <v>119341.57</v>
      </c>
      <c r="I461" s="4">
        <v>925</v>
      </c>
      <c r="J461" s="17">
        <f>IFERROR(Tabela32[[#This Row],[Valor Frete]]/Tabela32[[#This Row],[Valor Mercadoria]],"")</f>
        <v>5.3924797537019162E-2</v>
      </c>
      <c r="K461" s="11">
        <v>0.31597222222222221</v>
      </c>
      <c r="L461" s="15">
        <v>0.7680555555555556</v>
      </c>
      <c r="M461" s="15">
        <f>Tabela32[[#This Row],[Hr Chegada]]-Tabela32[[#This Row],[Hr Saida]]</f>
        <v>0.45208333333333339</v>
      </c>
      <c r="N461" s="4">
        <v>14441</v>
      </c>
      <c r="O461" s="4">
        <v>14507</v>
      </c>
      <c r="P461" s="4">
        <f>Tabela32[[#This Row],[Km Chegada]]-Tabela32[[#This Row],[Km Saída]]</f>
        <v>66</v>
      </c>
      <c r="Q461" s="4">
        <v>176</v>
      </c>
      <c r="R461" s="4">
        <v>24</v>
      </c>
      <c r="S461" s="4">
        <v>24</v>
      </c>
      <c r="T461" s="12">
        <f>Tabela32[[#This Row],[Entregas]]-Tabela32[[#This Row],[Realizadas]]</f>
        <v>0</v>
      </c>
      <c r="U461" s="18">
        <f>Tabela32[[#This Row],[Realizadas]]/Tabela32[[#This Row],[Entregas]]</f>
        <v>1</v>
      </c>
      <c r="V461" s="19" t="str">
        <f>IF(Tabela32[[#This Row],[% Entrega]]&gt;=96%,"Atendeu a Meta","Não Atendeu a Meta")</f>
        <v>Atendeu a Meta</v>
      </c>
      <c r="W461" s="4" t="s">
        <v>39</v>
      </c>
      <c r="X461" s="4">
        <v>2</v>
      </c>
      <c r="Y461" s="5" t="s">
        <v>92</v>
      </c>
    </row>
    <row r="462" spans="1:25" x14ac:dyDescent="0.25">
      <c r="A462" s="8">
        <v>46297</v>
      </c>
      <c r="B462" s="16">
        <f>YEAR(Tabela32[[#This Row],[Data]])</f>
        <v>2026</v>
      </c>
      <c r="C462" s="16">
        <f>MONTH(Tabela32[[#This Row],[Data]])</f>
        <v>10</v>
      </c>
      <c r="D462" s="4" t="s">
        <v>33</v>
      </c>
      <c r="E462" s="4">
        <v>1</v>
      </c>
      <c r="F462" s="4" t="str">
        <f>IFERROR(VLOOKUP(Tabela32[[#This Row],[Placa]],Planilha2!$A$1:$B$12,2,0),"")</f>
        <v>Paulo</v>
      </c>
      <c r="G462" s="10">
        <v>1407.66</v>
      </c>
      <c r="H462" s="10">
        <v>10652.29</v>
      </c>
      <c r="I462" s="4">
        <v>37</v>
      </c>
      <c r="J462" s="17">
        <f>IFERROR(Tabela32[[#This Row],[Valor Frete]]/Tabela32[[#This Row],[Valor Mercadoria]],"")</f>
        <v>0.13214623334513048</v>
      </c>
      <c r="K462" s="11">
        <v>0.2951388888888889</v>
      </c>
      <c r="L462" s="15">
        <v>0.62916666666666665</v>
      </c>
      <c r="M462" s="15">
        <f>Tabela32[[#This Row],[Hr Chegada]]-Tabela32[[#This Row],[Hr Saida]]</f>
        <v>0.33402777777777776</v>
      </c>
      <c r="N462" s="4">
        <v>156572</v>
      </c>
      <c r="O462" s="4">
        <v>156632</v>
      </c>
      <c r="P462" s="4">
        <f>Tabela32[[#This Row],[Km Chegada]]-Tabela32[[#This Row],[Km Saída]]</f>
        <v>60</v>
      </c>
      <c r="Q462" s="4">
        <v>11</v>
      </c>
      <c r="R462" s="4">
        <v>2</v>
      </c>
      <c r="S462" s="4">
        <v>2</v>
      </c>
      <c r="T462" s="12">
        <f>Tabela32[[#This Row],[Entregas]]-Tabela32[[#This Row],[Realizadas]]</f>
        <v>0</v>
      </c>
      <c r="U462" s="18">
        <f>Tabela32[[#This Row],[Realizadas]]/Tabela32[[#This Row],[Entregas]]</f>
        <v>1</v>
      </c>
      <c r="V462" s="19" t="str">
        <f>IF(Tabela32[[#This Row],[% Entrega]]&gt;=96%,"Atendeu a Meta","Não Atendeu a Meta")</f>
        <v>Atendeu a Meta</v>
      </c>
      <c r="W462" s="4" t="s">
        <v>40</v>
      </c>
      <c r="X462" s="4">
        <v>0</v>
      </c>
      <c r="Y462" s="5">
        <v>0</v>
      </c>
    </row>
    <row r="463" spans="1:25" x14ac:dyDescent="0.25">
      <c r="A463" s="8">
        <v>46297</v>
      </c>
      <c r="B463" s="16">
        <f>YEAR(Tabela32[[#This Row],[Data]])</f>
        <v>2026</v>
      </c>
      <c r="C463" s="16">
        <f>MONTH(Tabela32[[#This Row],[Data]])</f>
        <v>10</v>
      </c>
      <c r="D463" s="4" t="s">
        <v>22</v>
      </c>
      <c r="E463" s="4">
        <v>3</v>
      </c>
      <c r="F463" s="4" t="str">
        <f>IFERROR(VLOOKUP(Tabela32[[#This Row],[Placa]],Planilha2!$A$1:$B$12,2,0),"")</f>
        <v>Juscelino</v>
      </c>
      <c r="G463" s="10">
        <v>4722.1000000000004</v>
      </c>
      <c r="H463" s="10">
        <v>77528.509999999995</v>
      </c>
      <c r="I463" s="4">
        <v>537</v>
      </c>
      <c r="J463" s="17">
        <f>IFERROR(Tabela32[[#This Row],[Valor Frete]]/Tabela32[[#This Row],[Valor Mercadoria]],"")</f>
        <v>6.0907916326522989E-2</v>
      </c>
      <c r="K463" s="11">
        <v>0.3125</v>
      </c>
      <c r="L463" s="15">
        <v>0.7319444444444444</v>
      </c>
      <c r="M463" s="15">
        <f>Tabela32[[#This Row],[Hr Chegada]]-Tabela32[[#This Row],[Hr Saida]]</f>
        <v>0.4194444444444444</v>
      </c>
      <c r="N463" s="4">
        <v>305801</v>
      </c>
      <c r="O463" s="4">
        <v>305858</v>
      </c>
      <c r="P463" s="4">
        <f>Tabela32[[#This Row],[Km Chegada]]-Tabela32[[#This Row],[Km Saída]]</f>
        <v>57</v>
      </c>
      <c r="Q463" s="4">
        <v>92</v>
      </c>
      <c r="R463" s="4">
        <v>17</v>
      </c>
      <c r="S463" s="4">
        <v>17</v>
      </c>
      <c r="T463" s="12">
        <f>Tabela32[[#This Row],[Entregas]]-Tabela32[[#This Row],[Realizadas]]</f>
        <v>0</v>
      </c>
      <c r="U463" s="18">
        <f>Tabela32[[#This Row],[Realizadas]]/Tabela32[[#This Row],[Entregas]]</f>
        <v>1</v>
      </c>
      <c r="V463" s="19" t="str">
        <f>IF(Tabela32[[#This Row],[% Entrega]]&gt;=96%,"Atendeu a Meta","Não Atendeu a Meta")</f>
        <v>Atendeu a Meta</v>
      </c>
      <c r="W463" s="4" t="s">
        <v>39</v>
      </c>
      <c r="X463" s="4">
        <v>0</v>
      </c>
      <c r="Y463" s="5">
        <v>0</v>
      </c>
    </row>
    <row r="464" spans="1:25" x14ac:dyDescent="0.25">
      <c r="A464" s="8">
        <v>46297</v>
      </c>
      <c r="B464" s="16">
        <f>YEAR(Tabela32[[#This Row],[Data]])</f>
        <v>2026</v>
      </c>
      <c r="C464" s="16">
        <f>MONTH(Tabela32[[#This Row],[Data]])</f>
        <v>10</v>
      </c>
      <c r="D464" s="4" t="s">
        <v>35</v>
      </c>
      <c r="E464" s="4">
        <v>1</v>
      </c>
      <c r="F464" s="4" t="str">
        <f>IFERROR(VLOOKUP(Tabela32[[#This Row],[Placa]],Planilha2!$A$1:$B$12,2,0),"")</f>
        <v>Osvaldo</v>
      </c>
      <c r="G464" s="10">
        <v>8358.85</v>
      </c>
      <c r="H464" s="10">
        <v>139999.38</v>
      </c>
      <c r="I464" s="4">
        <v>1219</v>
      </c>
      <c r="J464" s="17">
        <f>IFERROR(Tabela32[[#This Row],[Valor Frete]]/Tabela32[[#This Row],[Valor Mercadoria]],"")</f>
        <v>5.9706335842344443E-2</v>
      </c>
      <c r="K464" s="11">
        <v>0.3125</v>
      </c>
      <c r="L464" s="15">
        <v>0.72222222222222221</v>
      </c>
      <c r="M464" s="15">
        <f>Tabela32[[#This Row],[Hr Chegada]]-Tabela32[[#This Row],[Hr Saida]]</f>
        <v>0.40972222222222221</v>
      </c>
      <c r="N464" s="4">
        <v>144077</v>
      </c>
      <c r="O464" s="4">
        <v>144128</v>
      </c>
      <c r="P464" s="4">
        <f>Tabela32[[#This Row],[Km Chegada]]-Tabela32[[#This Row],[Km Saída]]</f>
        <v>51</v>
      </c>
      <c r="Q464" s="4">
        <v>142</v>
      </c>
      <c r="R464" s="4">
        <v>17</v>
      </c>
      <c r="S464" s="4">
        <v>17</v>
      </c>
      <c r="T464" s="12">
        <f>Tabela32[[#This Row],[Entregas]]-Tabela32[[#This Row],[Realizadas]]</f>
        <v>0</v>
      </c>
      <c r="U464" s="18">
        <f>Tabela32[[#This Row],[Realizadas]]/Tabela32[[#This Row],[Entregas]]</f>
        <v>1</v>
      </c>
      <c r="V464" s="19" t="str">
        <f>IF(Tabela32[[#This Row],[% Entrega]]&gt;=96%,"Atendeu a Meta","Não Atendeu a Meta")</f>
        <v>Atendeu a Meta</v>
      </c>
      <c r="W464" s="4" t="s">
        <v>43</v>
      </c>
      <c r="X464" s="4">
        <v>0</v>
      </c>
      <c r="Y464" s="5">
        <v>38.380000000000003</v>
      </c>
    </row>
    <row r="465" spans="1:25" x14ac:dyDescent="0.25">
      <c r="A465" s="8">
        <v>46297</v>
      </c>
      <c r="B465" s="16">
        <f>YEAR(Tabela32[[#This Row],[Data]])</f>
        <v>2026</v>
      </c>
      <c r="C465" s="16">
        <f>MONTH(Tabela32[[#This Row],[Data]])</f>
        <v>10</v>
      </c>
      <c r="D465" s="4" t="s">
        <v>31</v>
      </c>
      <c r="E465" s="4">
        <v>11</v>
      </c>
      <c r="F465" s="4" t="str">
        <f>IFERROR(VLOOKUP(Tabela32[[#This Row],[Placa]],Planilha2!$A$1:$B$12,2,0),"")</f>
        <v>Jerson</v>
      </c>
      <c r="G465" s="10">
        <v>9147.68</v>
      </c>
      <c r="H465" s="10">
        <v>147663.99</v>
      </c>
      <c r="I465" s="4">
        <v>1098</v>
      </c>
      <c r="J465" s="17">
        <f>IFERROR(Tabela32[[#This Row],[Valor Frete]]/Tabela32[[#This Row],[Valor Mercadoria]],"")</f>
        <v>6.1949294475924704E-2</v>
      </c>
      <c r="K465" s="11">
        <v>0.27083333333333331</v>
      </c>
      <c r="L465" s="15">
        <v>0.75694444444444442</v>
      </c>
      <c r="M465" s="15">
        <f>Tabela32[[#This Row],[Hr Chegada]]-Tabela32[[#This Row],[Hr Saida]]</f>
        <v>0.4861111111111111</v>
      </c>
      <c r="N465" s="4">
        <v>281617</v>
      </c>
      <c r="O465" s="4">
        <v>281735</v>
      </c>
      <c r="P465" s="4">
        <f>Tabela32[[#This Row],[Km Chegada]]-Tabela32[[#This Row],[Km Saída]]</f>
        <v>118</v>
      </c>
      <c r="Q465" s="4">
        <v>178</v>
      </c>
      <c r="R465" s="4">
        <v>31</v>
      </c>
      <c r="S465" s="4">
        <v>31</v>
      </c>
      <c r="T465" s="12">
        <f>Tabela32[[#This Row],[Entregas]]-Tabela32[[#This Row],[Realizadas]]</f>
        <v>0</v>
      </c>
      <c r="U465" s="18">
        <f>Tabela32[[#This Row],[Realizadas]]/Tabela32[[#This Row],[Entregas]]</f>
        <v>1</v>
      </c>
      <c r="V465" s="19" t="str">
        <f>IF(Tabela32[[#This Row],[% Entrega]]&gt;=96%,"Atendeu a Meta","Não Atendeu a Meta")</f>
        <v>Atendeu a Meta</v>
      </c>
      <c r="W465" s="4" t="s">
        <v>41</v>
      </c>
      <c r="X465" s="4">
        <v>0</v>
      </c>
      <c r="Y465" s="5">
        <v>0</v>
      </c>
    </row>
    <row r="466" spans="1:25" x14ac:dyDescent="0.25">
      <c r="A466" s="8">
        <v>46297</v>
      </c>
      <c r="B466" s="16">
        <f>YEAR(Tabela32[[#This Row],[Data]])</f>
        <v>2026</v>
      </c>
      <c r="C466" s="16">
        <f>MONTH(Tabela32[[#This Row],[Data]])</f>
        <v>10</v>
      </c>
      <c r="D466" s="4" t="s">
        <v>28</v>
      </c>
      <c r="E466" s="4">
        <v>5</v>
      </c>
      <c r="F466" s="4" t="str">
        <f>IFERROR(VLOOKUP(Tabela32[[#This Row],[Placa]],Planilha2!$A$1:$B$12,2,0),"")</f>
        <v>Edilson</v>
      </c>
      <c r="G466" s="10">
        <v>14684.14</v>
      </c>
      <c r="H466" s="10">
        <v>277099.78000000003</v>
      </c>
      <c r="I466" s="4">
        <v>2217</v>
      </c>
      <c r="J466" s="17">
        <f>IFERROR(Tabela32[[#This Row],[Valor Frete]]/Tabela32[[#This Row],[Valor Mercadoria]],"")</f>
        <v>5.2992247052668168E-2</v>
      </c>
      <c r="K466" s="11">
        <v>0.27083333333333331</v>
      </c>
      <c r="L466" s="15">
        <v>0.75</v>
      </c>
      <c r="M466" s="15">
        <f>Tabela32[[#This Row],[Hr Chegada]]-Tabela32[[#This Row],[Hr Saida]]</f>
        <v>0.47916666666666669</v>
      </c>
      <c r="N466" s="4">
        <v>106643</v>
      </c>
      <c r="O466" s="4">
        <v>106674</v>
      </c>
      <c r="P466" s="4">
        <f>Tabela32[[#This Row],[Km Chegada]]-Tabela32[[#This Row],[Km Saída]]</f>
        <v>31</v>
      </c>
      <c r="Q466" s="4">
        <v>343</v>
      </c>
      <c r="R466" s="4">
        <v>8</v>
      </c>
      <c r="S466" s="4">
        <v>8</v>
      </c>
      <c r="T466" s="12">
        <f>Tabela32[[#This Row],[Entregas]]-Tabela32[[#This Row],[Realizadas]]</f>
        <v>0</v>
      </c>
      <c r="U466" s="18">
        <f>Tabela32[[#This Row],[Realizadas]]/Tabela32[[#This Row],[Entregas]]</f>
        <v>1</v>
      </c>
      <c r="V466" s="19" t="str">
        <f>IF(Tabela32[[#This Row],[% Entrega]]&gt;=96%,"Atendeu a Meta","Não Atendeu a Meta")</f>
        <v>Atendeu a Meta</v>
      </c>
      <c r="W466" s="4" t="s">
        <v>39</v>
      </c>
      <c r="X466" s="4">
        <v>0</v>
      </c>
      <c r="Y466" s="5">
        <v>0</v>
      </c>
    </row>
    <row r="467" spans="1:25" x14ac:dyDescent="0.25">
      <c r="A467" s="8">
        <v>46300</v>
      </c>
      <c r="B467" s="16">
        <f>YEAR(Tabela32[[#This Row],[Data]])</f>
        <v>2026</v>
      </c>
      <c r="C467" s="16">
        <f>MONTH(Tabela32[[#This Row],[Data]])</f>
        <v>10</v>
      </c>
      <c r="D467" s="4" t="s">
        <v>27</v>
      </c>
      <c r="E467" s="4">
        <v>1</v>
      </c>
      <c r="F467" s="4" t="str">
        <f>IFERROR(VLOOKUP(Tabela32[[#This Row],[Placa]],Planilha2!$A$1:$B$12,2,0),"")</f>
        <v>Rosinaldo</v>
      </c>
      <c r="G467" s="10">
        <v>2662.58</v>
      </c>
      <c r="H467" s="10">
        <v>66312.78</v>
      </c>
      <c r="I467" s="4">
        <v>527</v>
      </c>
      <c r="J467" s="17">
        <f>IFERROR(Tabela32[[#This Row],[Valor Frete]]/Tabela32[[#This Row],[Valor Mercadoria]],"")</f>
        <v>4.0151838001664233E-2</v>
      </c>
      <c r="K467" s="11">
        <v>0.29166666666666669</v>
      </c>
      <c r="L467" s="15">
        <v>0.4826388888888889</v>
      </c>
      <c r="M467" s="15">
        <f>Tabela32[[#This Row],[Hr Chegada]]-Tabela32[[#This Row],[Hr Saida]]</f>
        <v>0.19097222222222221</v>
      </c>
      <c r="N467" s="4">
        <v>292172</v>
      </c>
      <c r="O467" s="4">
        <v>292204</v>
      </c>
      <c r="P467" s="4">
        <f>Tabela32[[#This Row],[Km Chegada]]-Tabela32[[#This Row],[Km Saída]]</f>
        <v>32</v>
      </c>
      <c r="Q467" s="4">
        <v>71</v>
      </c>
      <c r="R467" s="4">
        <v>2</v>
      </c>
      <c r="S467" s="4">
        <v>2</v>
      </c>
      <c r="T467" s="12">
        <f>Tabela32[[#This Row],[Entregas]]-Tabela32[[#This Row],[Realizadas]]</f>
        <v>0</v>
      </c>
      <c r="U467" s="18">
        <f>Tabela32[[#This Row],[Realizadas]]/Tabela32[[#This Row],[Entregas]]</f>
        <v>1</v>
      </c>
      <c r="V467" s="19" t="str">
        <f>IF(Tabela32[[#This Row],[% Entrega]]&gt;=96%,"Atendeu a Meta","Não Atendeu a Meta")</f>
        <v>Atendeu a Meta</v>
      </c>
      <c r="W467" s="4" t="s">
        <v>40</v>
      </c>
      <c r="X467" s="4">
        <v>0</v>
      </c>
      <c r="Y467" s="5">
        <v>0</v>
      </c>
    </row>
    <row r="468" spans="1:25" x14ac:dyDescent="0.25">
      <c r="A468" s="8">
        <v>46300</v>
      </c>
      <c r="B468" s="16">
        <f>YEAR(Tabela32[[#This Row],[Data]])</f>
        <v>2026</v>
      </c>
      <c r="C468" s="16">
        <f>MONTH(Tabela32[[#This Row],[Data]])</f>
        <v>10</v>
      </c>
      <c r="D468" s="4" t="s">
        <v>36</v>
      </c>
      <c r="E468" s="4">
        <v>5</v>
      </c>
      <c r="F468" s="4" t="str">
        <f>IFERROR(VLOOKUP(Tabela32[[#This Row],[Placa]],Planilha2!$A$1:$B$12,2,0),"")</f>
        <v>Heremilton</v>
      </c>
      <c r="G468" s="10">
        <v>63334.46</v>
      </c>
      <c r="H468" s="10">
        <v>996731.26</v>
      </c>
      <c r="I468" s="4">
        <v>10926</v>
      </c>
      <c r="J468" s="17">
        <f>IFERROR(Tabela32[[#This Row],[Valor Frete]]/Tabela32[[#This Row],[Valor Mercadoria]],"")</f>
        <v>6.3542162809261143E-2</v>
      </c>
      <c r="K468" s="11">
        <v>0.27777777777777779</v>
      </c>
      <c r="L468" s="15">
        <v>0.81041666666666667</v>
      </c>
      <c r="M468" s="15">
        <f>Tabela32[[#This Row],[Hr Chegada]]-Tabela32[[#This Row],[Hr Saida]]</f>
        <v>0.53263888888888888</v>
      </c>
      <c r="N468" s="4">
        <v>367835</v>
      </c>
      <c r="O468" s="4">
        <v>367889</v>
      </c>
      <c r="P468" s="4">
        <f>Tabela32[[#This Row],[Km Chegada]]-Tabela32[[#This Row],[Km Saída]]</f>
        <v>54</v>
      </c>
      <c r="Q468" s="4">
        <v>1202</v>
      </c>
      <c r="R468" s="4">
        <v>33</v>
      </c>
      <c r="S468" s="4">
        <v>33</v>
      </c>
      <c r="T468" s="12">
        <f>Tabela32[[#This Row],[Entregas]]-Tabela32[[#This Row],[Realizadas]]</f>
        <v>0</v>
      </c>
      <c r="U468" s="18">
        <f>Tabela32[[#This Row],[Realizadas]]/Tabela32[[#This Row],[Entregas]]</f>
        <v>1</v>
      </c>
      <c r="V468" s="19" t="str">
        <f>IF(Tabela32[[#This Row],[% Entrega]]&gt;=96%,"Atendeu a Meta","Não Atendeu a Meta")</f>
        <v>Atendeu a Meta</v>
      </c>
      <c r="W468" s="4" t="s">
        <v>39</v>
      </c>
      <c r="X468" s="4">
        <v>0</v>
      </c>
      <c r="Y468" s="5">
        <v>0</v>
      </c>
    </row>
    <row r="469" spans="1:25" x14ac:dyDescent="0.25">
      <c r="A469" s="8">
        <v>46300</v>
      </c>
      <c r="B469" s="16">
        <f>YEAR(Tabela32[[#This Row],[Data]])</f>
        <v>2026</v>
      </c>
      <c r="C469" s="16">
        <f>MONTH(Tabela32[[#This Row],[Data]])</f>
        <v>10</v>
      </c>
      <c r="D469" s="4" t="s">
        <v>23</v>
      </c>
      <c r="E469" s="4">
        <v>3</v>
      </c>
      <c r="F469" s="4" t="str">
        <f>IFERROR(VLOOKUP(Tabela32[[#This Row],[Placa]],Planilha2!$A$1:$B$12,2,0),"")</f>
        <v>William</v>
      </c>
      <c r="G469" s="10">
        <v>10856.39</v>
      </c>
      <c r="H469" s="10">
        <v>151158.64000000001</v>
      </c>
      <c r="I469" s="4">
        <v>1531</v>
      </c>
      <c r="J469" s="17">
        <f>IFERROR(Tabela32[[#This Row],[Valor Frete]]/Tabela32[[#This Row],[Valor Mercadoria]],"")</f>
        <v>7.1821167483380369E-2</v>
      </c>
      <c r="K469" s="11">
        <v>0.29166666666666669</v>
      </c>
      <c r="L469" s="15">
        <v>0.70833333333333337</v>
      </c>
      <c r="M469" s="15">
        <f>Tabela32[[#This Row],[Hr Chegada]]-Tabela32[[#This Row],[Hr Saida]]</f>
        <v>0.41666666666666669</v>
      </c>
      <c r="N469" s="4">
        <v>126632</v>
      </c>
      <c r="O469" s="4">
        <v>126676</v>
      </c>
      <c r="P469" s="4">
        <f>Tabela32[[#This Row],[Km Chegada]]-Tabela32[[#This Row],[Km Saída]]</f>
        <v>44</v>
      </c>
      <c r="Q469" s="4">
        <v>312</v>
      </c>
      <c r="R469" s="4">
        <v>22</v>
      </c>
      <c r="S469" s="4">
        <v>22</v>
      </c>
      <c r="T469" s="12">
        <f>Tabela32[[#This Row],[Entregas]]-Tabela32[[#This Row],[Realizadas]]</f>
        <v>0</v>
      </c>
      <c r="U469" s="18">
        <f>Tabela32[[#This Row],[Realizadas]]/Tabela32[[#This Row],[Entregas]]</f>
        <v>1</v>
      </c>
      <c r="V469" s="19" t="str">
        <f>IF(Tabela32[[#This Row],[% Entrega]]&gt;=96%,"Atendeu a Meta","Não Atendeu a Meta")</f>
        <v>Atendeu a Meta</v>
      </c>
      <c r="W469" s="4" t="s">
        <v>39</v>
      </c>
      <c r="X469" s="4">
        <v>0</v>
      </c>
      <c r="Y469" s="5">
        <v>0</v>
      </c>
    </row>
    <row r="470" spans="1:25" x14ac:dyDescent="0.25">
      <c r="A470" s="8">
        <v>46300</v>
      </c>
      <c r="B470" s="16">
        <f>YEAR(Tabela32[[#This Row],[Data]])</f>
        <v>2026</v>
      </c>
      <c r="C470" s="16">
        <f>MONTH(Tabela32[[#This Row],[Data]])</f>
        <v>10</v>
      </c>
      <c r="D470" s="4" t="s">
        <v>33</v>
      </c>
      <c r="E470" s="4">
        <v>1</v>
      </c>
      <c r="F470" s="4" t="str">
        <f>IFERROR(VLOOKUP(Tabela32[[#This Row],[Placa]],Planilha2!$A$1:$B$12,2,0),"")</f>
        <v>Paulo</v>
      </c>
      <c r="G470" s="10">
        <v>1275.44</v>
      </c>
      <c r="H470" s="10">
        <v>15864.18</v>
      </c>
      <c r="I470" s="4">
        <v>137</v>
      </c>
      <c r="J470" s="17">
        <f>IFERROR(Tabela32[[#This Row],[Valor Frete]]/Tabela32[[#This Row],[Valor Mercadoria]],"")</f>
        <v>8.0397474057909077E-2</v>
      </c>
      <c r="K470" s="11">
        <v>0.3125</v>
      </c>
      <c r="L470" s="15">
        <v>0.6479166666666667</v>
      </c>
      <c r="M470" s="15">
        <f>Tabela32[[#This Row],[Hr Chegada]]-Tabela32[[#This Row],[Hr Saida]]</f>
        <v>0.3354166666666667</v>
      </c>
      <c r="N470" s="4">
        <v>156661</v>
      </c>
      <c r="O470" s="4">
        <v>156691</v>
      </c>
      <c r="P470" s="4">
        <f>Tabela32[[#This Row],[Km Chegada]]-Tabela32[[#This Row],[Km Saída]]</f>
        <v>30</v>
      </c>
      <c r="Q470" s="4">
        <v>76</v>
      </c>
      <c r="R470" s="4">
        <v>2</v>
      </c>
      <c r="S470" s="4">
        <v>2</v>
      </c>
      <c r="T470" s="12">
        <f>Tabela32[[#This Row],[Entregas]]-Tabela32[[#This Row],[Realizadas]]</f>
        <v>0</v>
      </c>
      <c r="U470" s="18">
        <f>Tabela32[[#This Row],[Realizadas]]/Tabela32[[#This Row],[Entregas]]</f>
        <v>1</v>
      </c>
      <c r="V470" s="19" t="str">
        <f>IF(Tabela32[[#This Row],[% Entrega]]&gt;=96%,"Atendeu a Meta","Não Atendeu a Meta")</f>
        <v>Atendeu a Meta</v>
      </c>
      <c r="W470" s="4" t="s">
        <v>43</v>
      </c>
      <c r="X470" s="4">
        <v>0</v>
      </c>
      <c r="Y470" s="5">
        <v>0</v>
      </c>
    </row>
    <row r="471" spans="1:25" x14ac:dyDescent="0.25">
      <c r="A471" s="8">
        <v>46300</v>
      </c>
      <c r="B471" s="16">
        <f>YEAR(Tabela32[[#This Row],[Data]])</f>
        <v>2026</v>
      </c>
      <c r="C471" s="16">
        <f>MONTH(Tabela32[[#This Row],[Data]])</f>
        <v>10</v>
      </c>
      <c r="D471" s="4" t="s">
        <v>31</v>
      </c>
      <c r="E471" s="4">
        <v>2</v>
      </c>
      <c r="F471" s="4" t="str">
        <f>IFERROR(VLOOKUP(Tabela32[[#This Row],[Placa]],Planilha2!$A$1:$B$12,2,0),"")</f>
        <v>Jerson</v>
      </c>
      <c r="G471" s="10">
        <v>12657.88</v>
      </c>
      <c r="H471" s="10">
        <v>263127.61</v>
      </c>
      <c r="I471" s="4">
        <v>245</v>
      </c>
      <c r="J471" s="17">
        <f>IFERROR(Tabela32[[#This Row],[Valor Frete]]/Tabela32[[#This Row],[Valor Mercadoria]],"")</f>
        <v>4.8105480074857973E-2</v>
      </c>
      <c r="K471" s="11">
        <v>0.27430555555555558</v>
      </c>
      <c r="L471" s="15">
        <v>0.79236111111111107</v>
      </c>
      <c r="M471" s="15">
        <f>Tabela32[[#This Row],[Hr Chegada]]-Tabela32[[#This Row],[Hr Saida]]</f>
        <v>0.51805555555555549</v>
      </c>
      <c r="N471" s="4">
        <v>281766</v>
      </c>
      <c r="O471" s="4">
        <v>281825</v>
      </c>
      <c r="P471" s="4">
        <f>Tabela32[[#This Row],[Km Chegada]]-Tabela32[[#This Row],[Km Saída]]</f>
        <v>59</v>
      </c>
      <c r="Q471" s="4">
        <v>245</v>
      </c>
      <c r="R471" s="4">
        <v>48</v>
      </c>
      <c r="S471" s="4">
        <v>47</v>
      </c>
      <c r="T471" s="12">
        <f>Tabela32[[#This Row],[Entregas]]-Tabela32[[#This Row],[Realizadas]]</f>
        <v>1</v>
      </c>
      <c r="U471" s="18">
        <f>Tabela32[[#This Row],[Realizadas]]/Tabela32[[#This Row],[Entregas]]</f>
        <v>0.97916666666666663</v>
      </c>
      <c r="V471" s="19" t="str">
        <f>IF(Tabela32[[#This Row],[% Entrega]]&gt;=96%,"Atendeu a Meta","Não Atendeu a Meta")</f>
        <v>Atendeu a Meta</v>
      </c>
      <c r="W471" s="4" t="s">
        <v>39</v>
      </c>
      <c r="X471" s="4">
        <v>5</v>
      </c>
      <c r="Y471" s="5" t="s">
        <v>93</v>
      </c>
    </row>
    <row r="472" spans="1:25" x14ac:dyDescent="0.25">
      <c r="A472" s="8">
        <v>46300</v>
      </c>
      <c r="B472" s="16">
        <f>YEAR(Tabela32[[#This Row],[Data]])</f>
        <v>2026</v>
      </c>
      <c r="C472" s="16">
        <f>MONTH(Tabela32[[#This Row],[Data]])</f>
        <v>10</v>
      </c>
      <c r="D472" s="4" t="s">
        <v>28</v>
      </c>
      <c r="E472" s="4">
        <v>1</v>
      </c>
      <c r="F472" s="4" t="str">
        <f>IFERROR(VLOOKUP(Tabela32[[#This Row],[Placa]],Planilha2!$A$1:$B$12,2,0),"")</f>
        <v>Edilson</v>
      </c>
      <c r="G472" s="10">
        <v>10169.49</v>
      </c>
      <c r="H472" s="10">
        <v>123211.28</v>
      </c>
      <c r="I472" s="4">
        <v>3496</v>
      </c>
      <c r="J472" s="17">
        <f>IFERROR(Tabela32[[#This Row],[Valor Frete]]/Tabela32[[#This Row],[Valor Mercadoria]],"")</f>
        <v>8.2537004728787819E-2</v>
      </c>
      <c r="K472" s="11">
        <v>0.27083333333333331</v>
      </c>
      <c r="L472" s="15">
        <v>0.44722222222222224</v>
      </c>
      <c r="M472" s="15">
        <f>Tabela32[[#This Row],[Hr Chegada]]-Tabela32[[#This Row],[Hr Saida]]</f>
        <v>0.17638888888888893</v>
      </c>
      <c r="N472" s="4">
        <v>106677</v>
      </c>
      <c r="O472" s="4">
        <v>106699</v>
      </c>
      <c r="P472" s="4">
        <f>Tabela32[[#This Row],[Km Chegada]]-Tabela32[[#This Row],[Km Saída]]</f>
        <v>22</v>
      </c>
      <c r="Q472" s="4">
        <v>307</v>
      </c>
      <c r="R472" s="4">
        <v>2</v>
      </c>
      <c r="S472" s="4">
        <v>2</v>
      </c>
      <c r="T472" s="12">
        <f>Tabela32[[#This Row],[Entregas]]-Tabela32[[#This Row],[Realizadas]]</f>
        <v>0</v>
      </c>
      <c r="U472" s="18">
        <f>Tabela32[[#This Row],[Realizadas]]/Tabela32[[#This Row],[Entregas]]</f>
        <v>1</v>
      </c>
      <c r="V472" s="19" t="str">
        <f>IF(Tabela32[[#This Row],[% Entrega]]&gt;=96%,"Atendeu a Meta","Não Atendeu a Meta")</f>
        <v>Atendeu a Meta</v>
      </c>
      <c r="W472" s="4" t="s">
        <v>43</v>
      </c>
      <c r="X472" s="4">
        <v>0</v>
      </c>
      <c r="Y472" s="5">
        <v>0</v>
      </c>
    </row>
    <row r="473" spans="1:25" x14ac:dyDescent="0.25">
      <c r="A473" s="8">
        <v>46300</v>
      </c>
      <c r="B473" s="16">
        <f>YEAR(Tabela32[[#This Row],[Data]])</f>
        <v>2026</v>
      </c>
      <c r="C473" s="16">
        <f>MONTH(Tabela32[[#This Row],[Data]])</f>
        <v>10</v>
      </c>
      <c r="D473" s="4" t="s">
        <v>53</v>
      </c>
      <c r="E473" s="4">
        <v>1</v>
      </c>
      <c r="F473" s="4" t="str">
        <f>IFERROR(VLOOKUP(Tabela32[[#This Row],[Placa]],Planilha2!$A$1:$B$12,2,0),"")</f>
        <v>Arnaldo</v>
      </c>
      <c r="G473" s="10">
        <v>9033.7900000000009</v>
      </c>
      <c r="H473" s="10">
        <v>153227.56</v>
      </c>
      <c r="I473" s="4">
        <v>1938</v>
      </c>
      <c r="J473" s="17">
        <f>IFERROR(Tabela32[[#This Row],[Valor Frete]]/Tabela32[[#This Row],[Valor Mercadoria]],"")</f>
        <v>5.8956691602998844E-2</v>
      </c>
      <c r="K473" s="11">
        <v>0.3263888888888889</v>
      </c>
      <c r="L473" s="15">
        <v>0.79166666666666663</v>
      </c>
      <c r="M473" s="15">
        <f>Tabela32[[#This Row],[Hr Chegada]]-Tabela32[[#This Row],[Hr Saida]]</f>
        <v>0.46527777777777773</v>
      </c>
      <c r="N473" s="4">
        <v>14508</v>
      </c>
      <c r="O473" s="4">
        <v>14572</v>
      </c>
      <c r="P473" s="4">
        <f>Tabela32[[#This Row],[Km Chegada]]-Tabela32[[#This Row],[Km Saída]]</f>
        <v>64</v>
      </c>
      <c r="Q473" s="4">
        <v>345</v>
      </c>
      <c r="R473" s="4">
        <v>22</v>
      </c>
      <c r="S473" s="4">
        <v>22</v>
      </c>
      <c r="T473" s="12">
        <f>Tabela32[[#This Row],[Entregas]]-Tabela32[[#This Row],[Realizadas]]</f>
        <v>0</v>
      </c>
      <c r="U473" s="18">
        <f>Tabela32[[#This Row],[Realizadas]]/Tabela32[[#This Row],[Entregas]]</f>
        <v>1</v>
      </c>
      <c r="V473" s="19" t="str">
        <f>IF(Tabela32[[#This Row],[% Entrega]]&gt;=96%,"Atendeu a Meta","Não Atendeu a Meta")</f>
        <v>Atendeu a Meta</v>
      </c>
      <c r="W473" s="4" t="s">
        <v>43</v>
      </c>
      <c r="X473" s="4">
        <v>1</v>
      </c>
      <c r="Y473" s="5">
        <v>10.38</v>
      </c>
    </row>
    <row r="474" spans="1:25" x14ac:dyDescent="0.25">
      <c r="A474" s="8">
        <v>46300</v>
      </c>
      <c r="B474" s="16">
        <f>YEAR(Tabela32[[#This Row],[Data]])</f>
        <v>2026</v>
      </c>
      <c r="C474" s="16">
        <f>MONTH(Tabela32[[#This Row],[Data]])</f>
        <v>10</v>
      </c>
      <c r="D474" s="4" t="s">
        <v>22</v>
      </c>
      <c r="E474" s="4">
        <v>5</v>
      </c>
      <c r="F474" s="4" t="str">
        <f>IFERROR(VLOOKUP(Tabela32[[#This Row],[Placa]],Planilha2!$A$1:$B$12,2,0),"")</f>
        <v>Juscelino</v>
      </c>
      <c r="G474" s="10">
        <v>14452.93</v>
      </c>
      <c r="H474" s="10">
        <v>116696.96000000001</v>
      </c>
      <c r="I474" s="4">
        <v>2197</v>
      </c>
      <c r="J474" s="17">
        <f>IFERROR(Tabela32[[#This Row],[Valor Frete]]/Tabela32[[#This Row],[Valor Mercadoria]],"")</f>
        <v>0.12385009858011725</v>
      </c>
      <c r="K474" s="11">
        <v>0.29166666666666669</v>
      </c>
      <c r="L474" s="15">
        <v>0.76388888888888884</v>
      </c>
      <c r="M474" s="15">
        <f>Tabela32[[#This Row],[Hr Chegada]]-Tabela32[[#This Row],[Hr Saida]]</f>
        <v>0.47222222222222215</v>
      </c>
      <c r="N474" s="4">
        <v>305860</v>
      </c>
      <c r="O474" s="4">
        <v>305906</v>
      </c>
      <c r="P474" s="4">
        <f>Tabela32[[#This Row],[Km Chegada]]-Tabela32[[#This Row],[Km Saída]]</f>
        <v>46</v>
      </c>
      <c r="Q474" s="4">
        <v>504</v>
      </c>
      <c r="R474" s="4">
        <v>16</v>
      </c>
      <c r="S474" s="4">
        <v>16</v>
      </c>
      <c r="T474" s="12">
        <f>Tabela32[[#This Row],[Entregas]]-Tabela32[[#This Row],[Realizadas]]</f>
        <v>0</v>
      </c>
      <c r="U474" s="18">
        <f>Tabela32[[#This Row],[Realizadas]]/Tabela32[[#This Row],[Entregas]]</f>
        <v>1</v>
      </c>
      <c r="V474" s="19" t="str">
        <f>IF(Tabela32[[#This Row],[% Entrega]]&gt;=96%,"Atendeu a Meta","Não Atendeu a Meta")</f>
        <v>Atendeu a Meta</v>
      </c>
      <c r="W474" s="4" t="s">
        <v>39</v>
      </c>
      <c r="X474" s="4">
        <v>4</v>
      </c>
      <c r="Y474" s="5" t="s">
        <v>87</v>
      </c>
    </row>
    <row r="475" spans="1:25" x14ac:dyDescent="0.25">
      <c r="A475" s="8">
        <v>46300</v>
      </c>
      <c r="B475" s="16">
        <f>YEAR(Tabela32[[#This Row],[Data]])</f>
        <v>2026</v>
      </c>
      <c r="C475" s="16">
        <f>MONTH(Tabela32[[#This Row],[Data]])</f>
        <v>10</v>
      </c>
      <c r="D475" s="4" t="s">
        <v>29</v>
      </c>
      <c r="E475" s="4">
        <v>5</v>
      </c>
      <c r="F475" s="4" t="str">
        <f>IFERROR(VLOOKUP(Tabela32[[#This Row],[Placa]],Planilha2!$A$1:$B$12,2,0),"")</f>
        <v>Sandro</v>
      </c>
      <c r="G475" s="10">
        <v>7520.67</v>
      </c>
      <c r="H475" s="10">
        <v>54089.18</v>
      </c>
      <c r="I475" s="4">
        <v>2768</v>
      </c>
      <c r="J475" s="17">
        <f>IFERROR(Tabela32[[#This Row],[Valor Frete]]/Tabela32[[#This Row],[Valor Mercadoria]],"")</f>
        <v>0.13904204131029532</v>
      </c>
      <c r="K475" s="11">
        <v>0.29166666666666669</v>
      </c>
      <c r="L475" s="15">
        <v>0.77430555555555558</v>
      </c>
      <c r="M475" s="15">
        <f>Tabela32[[#This Row],[Hr Chegada]]-Tabela32[[#This Row],[Hr Saida]]</f>
        <v>0.4826388888888889</v>
      </c>
      <c r="N475" s="4">
        <v>276566</v>
      </c>
      <c r="O475" s="4">
        <v>276623</v>
      </c>
      <c r="P475" s="4">
        <f>Tabela32[[#This Row],[Km Chegada]]-Tabela32[[#This Row],[Km Saída]]</f>
        <v>57</v>
      </c>
      <c r="Q475" s="4">
        <v>267</v>
      </c>
      <c r="R475" s="4">
        <v>5</v>
      </c>
      <c r="S475" s="4">
        <v>5</v>
      </c>
      <c r="T475" s="12">
        <f>Tabela32[[#This Row],[Entregas]]-Tabela32[[#This Row],[Realizadas]]</f>
        <v>0</v>
      </c>
      <c r="U475" s="18">
        <f>Tabela32[[#This Row],[Realizadas]]/Tabela32[[#This Row],[Entregas]]</f>
        <v>1</v>
      </c>
      <c r="V475" s="19" t="str">
        <f>IF(Tabela32[[#This Row],[% Entrega]]&gt;=96%,"Atendeu a Meta","Não Atendeu a Meta")</f>
        <v>Atendeu a Meta</v>
      </c>
      <c r="W475" s="4" t="s">
        <v>39</v>
      </c>
      <c r="X475" s="4">
        <v>0</v>
      </c>
      <c r="Y475" s="5">
        <v>0</v>
      </c>
    </row>
    <row r="476" spans="1:25" x14ac:dyDescent="0.25">
      <c r="A476" s="8">
        <v>46300</v>
      </c>
      <c r="B476" s="16">
        <f>YEAR(Tabela32[[#This Row],[Data]])</f>
        <v>2026</v>
      </c>
      <c r="C476" s="16">
        <f>MONTH(Tabela32[[#This Row],[Data]])</f>
        <v>10</v>
      </c>
      <c r="D476" s="4" t="s">
        <v>25</v>
      </c>
      <c r="E476" s="4">
        <v>1</v>
      </c>
      <c r="F476" s="4" t="str">
        <f>IFERROR(VLOOKUP(Tabela32[[#This Row],[Placa]],Planilha2!$A$1:$B$12,2,0),"")</f>
        <v>Gilberto</v>
      </c>
      <c r="G476" s="10">
        <v>3823.44</v>
      </c>
      <c r="H476" s="10">
        <v>69287.11</v>
      </c>
      <c r="I476" s="4">
        <v>405</v>
      </c>
      <c r="J476" s="17">
        <f>IFERROR(Tabela32[[#This Row],[Valor Frete]]/Tabela32[[#This Row],[Valor Mercadoria]],"")</f>
        <v>5.5182558487430054E-2</v>
      </c>
      <c r="K476" s="11">
        <v>0.3125</v>
      </c>
      <c r="L476" s="15">
        <v>0.79861111111111116</v>
      </c>
      <c r="M476" s="15">
        <f>Tabela32[[#This Row],[Hr Chegada]]-Tabela32[[#This Row],[Hr Saida]]</f>
        <v>0.48611111111111116</v>
      </c>
      <c r="N476" s="4">
        <v>120715</v>
      </c>
      <c r="O476" s="4">
        <v>120828</v>
      </c>
      <c r="P476" s="4">
        <f>Tabela32[[#This Row],[Km Chegada]]-Tabela32[[#This Row],[Km Saída]]</f>
        <v>113</v>
      </c>
      <c r="Q476" s="4">
        <v>115</v>
      </c>
      <c r="R476" s="4">
        <v>16</v>
      </c>
      <c r="S476" s="4">
        <v>16</v>
      </c>
      <c r="T476" s="12">
        <f>Tabela32[[#This Row],[Entregas]]-Tabela32[[#This Row],[Realizadas]]</f>
        <v>0</v>
      </c>
      <c r="U476" s="18">
        <f>Tabela32[[#This Row],[Realizadas]]/Tabela32[[#This Row],[Entregas]]</f>
        <v>1</v>
      </c>
      <c r="V476" s="19" t="str">
        <f>IF(Tabela32[[#This Row],[% Entrega]]&gt;=96%,"Atendeu a Meta","Não Atendeu a Meta")</f>
        <v>Atendeu a Meta</v>
      </c>
      <c r="W476" s="4" t="s">
        <v>40</v>
      </c>
      <c r="X476" s="4">
        <v>0</v>
      </c>
      <c r="Y476" s="5">
        <v>0</v>
      </c>
    </row>
    <row r="477" spans="1:25" x14ac:dyDescent="0.25">
      <c r="A477" s="8">
        <v>46300</v>
      </c>
      <c r="B477" s="16">
        <f>YEAR(Tabela32[[#This Row],[Data]])</f>
        <v>2026</v>
      </c>
      <c r="C477" s="16">
        <f>MONTH(Tabela32[[#This Row],[Data]])</f>
        <v>10</v>
      </c>
      <c r="D477" s="4" t="s">
        <v>35</v>
      </c>
      <c r="E477" s="4">
        <v>11</v>
      </c>
      <c r="F477" s="4" t="str">
        <f>IFERROR(VLOOKUP(Tabela32[[#This Row],[Placa]],Planilha2!$A$1:$B$12,2,0),"")</f>
        <v>Osvaldo</v>
      </c>
      <c r="G477" s="10">
        <v>13461.47</v>
      </c>
      <c r="H477" s="10">
        <v>199033</v>
      </c>
      <c r="I477" s="4">
        <v>2989</v>
      </c>
      <c r="J477" s="17">
        <f>IFERROR(Tabela32[[#This Row],[Valor Frete]]/Tabela32[[#This Row],[Valor Mercadoria]],"")</f>
        <v>6.7634362140951504E-2</v>
      </c>
      <c r="K477" s="11">
        <v>0.27083333333333331</v>
      </c>
      <c r="L477" s="15">
        <v>0.77777777777777779</v>
      </c>
      <c r="M477" s="15">
        <f>Tabela32[[#This Row],[Hr Chegada]]-Tabela32[[#This Row],[Hr Saida]]</f>
        <v>0.50694444444444442</v>
      </c>
      <c r="N477" s="4">
        <v>144186</v>
      </c>
      <c r="O477" s="4">
        <v>144311</v>
      </c>
      <c r="P477" s="4">
        <f>Tabela32[[#This Row],[Km Chegada]]-Tabela32[[#This Row],[Km Saída]]</f>
        <v>125</v>
      </c>
      <c r="Q477" s="4">
        <v>235</v>
      </c>
      <c r="R477" s="4">
        <v>22</v>
      </c>
      <c r="S477" s="4">
        <v>22</v>
      </c>
      <c r="T477" s="12">
        <f>Tabela32[[#This Row],[Entregas]]-Tabela32[[#This Row],[Realizadas]]</f>
        <v>0</v>
      </c>
      <c r="U477" s="18">
        <f>Tabela32[[#This Row],[Realizadas]]/Tabela32[[#This Row],[Entregas]]</f>
        <v>1</v>
      </c>
      <c r="V477" s="19" t="str">
        <f>IF(Tabela32[[#This Row],[% Entrega]]&gt;=96%,"Atendeu a Meta","Não Atendeu a Meta")</f>
        <v>Atendeu a Meta</v>
      </c>
      <c r="W477" s="4" t="s">
        <v>41</v>
      </c>
      <c r="X477" s="4">
        <v>0</v>
      </c>
      <c r="Y477" s="5">
        <v>0</v>
      </c>
    </row>
    <row r="478" spans="1:25" x14ac:dyDescent="0.25">
      <c r="A478" s="8">
        <v>46300</v>
      </c>
      <c r="B478" s="16">
        <f>YEAR(Tabela32[[#This Row],[Data]])</f>
        <v>2026</v>
      </c>
      <c r="C478" s="16">
        <f>MONTH(Tabela32[[#This Row],[Data]])</f>
        <v>10</v>
      </c>
      <c r="D478" s="4" t="s">
        <v>27</v>
      </c>
      <c r="E478" s="4">
        <v>4</v>
      </c>
      <c r="F478" s="4" t="str">
        <f>IFERROR(VLOOKUP(Tabela32[[#This Row],[Placa]],Planilha2!$A$1:$B$12,2,0),"")</f>
        <v>Rosinaldo</v>
      </c>
      <c r="G478" s="10">
        <v>2965.97</v>
      </c>
      <c r="H478" s="10">
        <v>40516.230000000003</v>
      </c>
      <c r="I478" s="4">
        <v>1109</v>
      </c>
      <c r="J478" s="17">
        <f>IFERROR(Tabela32[[#This Row],[Valor Frete]]/Tabela32[[#This Row],[Valor Mercadoria]],"")</f>
        <v>7.3204491138489425E-2</v>
      </c>
      <c r="K478" s="11">
        <v>0.56944444444444442</v>
      </c>
      <c r="L478" s="15">
        <v>0.74652777777777779</v>
      </c>
      <c r="M478" s="15">
        <f>Tabela32[[#This Row],[Hr Chegada]]-Tabela32[[#This Row],[Hr Saida]]</f>
        <v>0.17708333333333337</v>
      </c>
      <c r="N478" s="4">
        <v>292204</v>
      </c>
      <c r="O478" s="4">
        <v>292247</v>
      </c>
      <c r="P478" s="4">
        <f>Tabela32[[#This Row],[Km Chegada]]-Tabela32[[#This Row],[Km Saída]]</f>
        <v>43</v>
      </c>
      <c r="Q478" s="4">
        <v>202</v>
      </c>
      <c r="R478" s="4">
        <v>5</v>
      </c>
      <c r="S478" s="4">
        <v>5</v>
      </c>
      <c r="T478" s="12">
        <f>Tabela32[[#This Row],[Entregas]]-Tabela32[[#This Row],[Realizadas]]</f>
        <v>0</v>
      </c>
      <c r="U478" s="18">
        <f>Tabela32[[#This Row],[Realizadas]]/Tabela32[[#This Row],[Entregas]]</f>
        <v>1</v>
      </c>
      <c r="V478" s="19" t="str">
        <f>IF(Tabela32[[#This Row],[% Entrega]]&gt;=96%,"Atendeu a Meta","Não Atendeu a Meta")</f>
        <v>Atendeu a Meta</v>
      </c>
      <c r="W478" s="4" t="s">
        <v>39</v>
      </c>
      <c r="X478" s="4">
        <v>0</v>
      </c>
      <c r="Y478" s="5">
        <v>0</v>
      </c>
    </row>
    <row r="479" spans="1:25" x14ac:dyDescent="0.25">
      <c r="A479" s="8">
        <v>46298</v>
      </c>
      <c r="B479" s="16">
        <f>YEAR(Tabela32[[#This Row],[Data]])</f>
        <v>2026</v>
      </c>
      <c r="C479" s="16">
        <f>MONTH(Tabela32[[#This Row],[Data]])</f>
        <v>10</v>
      </c>
      <c r="D479" s="4" t="s">
        <v>35</v>
      </c>
      <c r="E479" s="4">
        <v>3</v>
      </c>
      <c r="F479" s="4" t="str">
        <f>IFERROR(VLOOKUP(Tabela32[[#This Row],[Placa]],Planilha2!$A$1:$B$12,2,0),"")</f>
        <v>Osvaldo</v>
      </c>
      <c r="G479" s="10">
        <v>13116.14</v>
      </c>
      <c r="H479" s="10">
        <v>179913.44</v>
      </c>
      <c r="I479" s="4">
        <v>2596</v>
      </c>
      <c r="J479" s="17">
        <f>IFERROR(Tabela32[[#This Row],[Valor Frete]]/Tabela32[[#This Row],[Valor Mercadoria]],"")</f>
        <v>7.2902502447843798E-2</v>
      </c>
      <c r="K479" s="11">
        <v>0.3125</v>
      </c>
      <c r="L479" s="15">
        <v>0.51388888888888884</v>
      </c>
      <c r="M479" s="15">
        <f>Tabela32[[#This Row],[Hr Chegada]]-Tabela32[[#This Row],[Hr Saida]]</f>
        <v>0.20138888888888884</v>
      </c>
      <c r="N479" s="4">
        <v>144128</v>
      </c>
      <c r="O479" s="4">
        <v>144168</v>
      </c>
      <c r="P479" s="4">
        <f>Tabela32[[#This Row],[Km Chegada]]-Tabela32[[#This Row],[Km Saída]]</f>
        <v>40</v>
      </c>
      <c r="Q479" s="4">
        <v>405</v>
      </c>
      <c r="R479" s="4">
        <v>8</v>
      </c>
      <c r="S479" s="4">
        <v>8</v>
      </c>
      <c r="T479" s="12">
        <f>Tabela32[[#This Row],[Entregas]]-Tabela32[[#This Row],[Realizadas]]</f>
        <v>0</v>
      </c>
      <c r="U479" s="18">
        <f>Tabela32[[#This Row],[Realizadas]]/Tabela32[[#This Row],[Entregas]]</f>
        <v>1</v>
      </c>
      <c r="V479" s="19" t="str">
        <f>IF(Tabela32[[#This Row],[% Entrega]]&gt;=96%,"Atendeu a Meta","Não Atendeu a Meta")</f>
        <v>Atendeu a Meta</v>
      </c>
      <c r="W479" s="4" t="s">
        <v>39</v>
      </c>
      <c r="X479" s="4">
        <v>0</v>
      </c>
      <c r="Y479" s="5">
        <v>0</v>
      </c>
    </row>
    <row r="480" spans="1:25" x14ac:dyDescent="0.25">
      <c r="A480" s="8">
        <v>46301</v>
      </c>
      <c r="B480" s="16">
        <f>YEAR(Tabela32[[#This Row],[Data]])</f>
        <v>2026</v>
      </c>
      <c r="C480" s="16">
        <f>MONTH(Tabela32[[#This Row],[Data]])</f>
        <v>10</v>
      </c>
      <c r="D480" s="4" t="s">
        <v>27</v>
      </c>
      <c r="E480" s="4">
        <v>1</v>
      </c>
      <c r="F480" s="4" t="str">
        <f>IFERROR(VLOOKUP(Tabela32[[#This Row],[Placa]],Planilha2!$A$1:$B$12,2,0),"")</f>
        <v>Rosinaldo</v>
      </c>
      <c r="G480" s="10">
        <v>1829.66</v>
      </c>
      <c r="H480" s="10">
        <v>25503.46</v>
      </c>
      <c r="I480" s="4">
        <v>118.5</v>
      </c>
      <c r="J480" s="17">
        <f>IFERROR(Tabela32[[#This Row],[Valor Frete]]/Tabela32[[#This Row],[Valor Mercadoria]],"")</f>
        <v>7.1741638193405927E-2</v>
      </c>
      <c r="K480" s="11">
        <v>0.29166666666666669</v>
      </c>
      <c r="L480" s="15">
        <v>0.56944444444444442</v>
      </c>
      <c r="M480" s="15">
        <f>Tabela32[[#This Row],[Hr Chegada]]-Tabela32[[#This Row],[Hr Saida]]</f>
        <v>0.27777777777777773</v>
      </c>
      <c r="N480" s="4">
        <v>292247</v>
      </c>
      <c r="O480" s="4">
        <v>292290</v>
      </c>
      <c r="P480" s="4">
        <f>Tabela32[[#This Row],[Km Chegada]]-Tabela32[[#This Row],[Km Saída]]</f>
        <v>43</v>
      </c>
      <c r="Q480" s="4">
        <v>51</v>
      </c>
      <c r="R480" s="4">
        <v>2</v>
      </c>
      <c r="S480" s="4">
        <v>2</v>
      </c>
      <c r="T480" s="12">
        <f>Tabela32[[#This Row],[Entregas]]-Tabela32[[#This Row],[Realizadas]]</f>
        <v>0</v>
      </c>
      <c r="U480" s="18">
        <f>Tabela32[[#This Row],[Realizadas]]/Tabela32[[#This Row],[Entregas]]</f>
        <v>1</v>
      </c>
      <c r="V480" s="19" t="str">
        <f>IF(Tabela32[[#This Row],[% Entrega]]&gt;=96%,"Atendeu a Meta","Não Atendeu a Meta")</f>
        <v>Atendeu a Meta</v>
      </c>
      <c r="W480" s="4" t="s">
        <v>40</v>
      </c>
      <c r="X480" s="4">
        <v>0</v>
      </c>
      <c r="Y480" s="5">
        <v>0</v>
      </c>
    </row>
    <row r="481" spans="1:25" x14ac:dyDescent="0.25">
      <c r="A481" s="8">
        <v>46301</v>
      </c>
      <c r="B481" s="16">
        <f>YEAR(Tabela32[[#This Row],[Data]])</f>
        <v>2026</v>
      </c>
      <c r="C481" s="16">
        <f>MONTH(Tabela32[[#This Row],[Data]])</f>
        <v>10</v>
      </c>
      <c r="D481" s="4" t="s">
        <v>27</v>
      </c>
      <c r="E481" s="4">
        <v>4</v>
      </c>
      <c r="F481" s="4" t="str">
        <f>IFERROR(VLOOKUP(Tabela32[[#This Row],[Placa]],Planilha2!$A$1:$B$12,2,0),"")</f>
        <v>Rosinaldo</v>
      </c>
      <c r="G481" s="10">
        <v>1270.51</v>
      </c>
      <c r="H481" s="10">
        <v>33344.06</v>
      </c>
      <c r="I481" s="4">
        <v>59</v>
      </c>
      <c r="J481" s="17">
        <f>IFERROR(Tabela32[[#This Row],[Valor Frete]]/Tabela32[[#This Row],[Valor Mercadoria]],"")</f>
        <v>3.8103038442229294E-2</v>
      </c>
      <c r="K481" s="11">
        <v>0.61458333333333337</v>
      </c>
      <c r="L481" s="15">
        <v>0.78472222222222221</v>
      </c>
      <c r="M481" s="15">
        <f>Tabela32[[#This Row],[Hr Chegada]]-Tabela32[[#This Row],[Hr Saida]]</f>
        <v>0.17013888888888884</v>
      </c>
      <c r="N481" s="4">
        <v>292290</v>
      </c>
      <c r="O481" s="4">
        <v>292343</v>
      </c>
      <c r="P481" s="4">
        <f>Tabela32[[#This Row],[Km Chegada]]-Tabela32[[#This Row],[Km Saída]]</f>
        <v>53</v>
      </c>
      <c r="Q481" s="4">
        <v>24</v>
      </c>
      <c r="R481" s="4">
        <v>6</v>
      </c>
      <c r="S481" s="4">
        <v>6</v>
      </c>
      <c r="T481" s="12">
        <f>Tabela32[[#This Row],[Entregas]]-Tabela32[[#This Row],[Realizadas]]</f>
        <v>0</v>
      </c>
      <c r="U481" s="18">
        <f>Tabela32[[#This Row],[Realizadas]]/Tabela32[[#This Row],[Entregas]]</f>
        <v>1</v>
      </c>
      <c r="V481" s="19" t="str">
        <f>IF(Tabela32[[#This Row],[% Entrega]]&gt;=96%,"Atendeu a Meta","Não Atendeu a Meta")</f>
        <v>Atendeu a Meta</v>
      </c>
      <c r="W481" s="4" t="s">
        <v>39</v>
      </c>
      <c r="X481" s="4">
        <v>0</v>
      </c>
      <c r="Y481" s="5">
        <v>0</v>
      </c>
    </row>
    <row r="482" spans="1:25" x14ac:dyDescent="0.25">
      <c r="A482" s="8">
        <v>46301</v>
      </c>
      <c r="B482" s="16">
        <f>YEAR(Tabela32[[#This Row],[Data]])</f>
        <v>2026</v>
      </c>
      <c r="C482" s="16">
        <f>MONTH(Tabela32[[#This Row],[Data]])</f>
        <v>10</v>
      </c>
      <c r="D482" s="4" t="s">
        <v>35</v>
      </c>
      <c r="E482" s="4">
        <v>11</v>
      </c>
      <c r="F482" s="4" t="str">
        <f>IFERROR(VLOOKUP(Tabela32[[#This Row],[Placa]],Planilha2!$A$1:$B$12,2,0),"")</f>
        <v>Osvaldo</v>
      </c>
      <c r="G482" s="10">
        <v>16301.71</v>
      </c>
      <c r="H482" s="10">
        <v>206976.8</v>
      </c>
      <c r="I482" s="4">
        <v>3472</v>
      </c>
      <c r="J482" s="17">
        <f>IFERROR(Tabela32[[#This Row],[Valor Frete]]/Tabela32[[#This Row],[Valor Mercadoria]],"")</f>
        <v>7.8761049547582146E-2</v>
      </c>
      <c r="K482" s="11">
        <v>0.27083333333333331</v>
      </c>
      <c r="L482" s="15">
        <v>0.75</v>
      </c>
      <c r="M482" s="15">
        <f>Tabela32[[#This Row],[Hr Chegada]]-Tabela32[[#This Row],[Hr Saida]]</f>
        <v>0.47916666666666669</v>
      </c>
      <c r="N482" s="4">
        <v>144311</v>
      </c>
      <c r="O482" s="4">
        <v>144455</v>
      </c>
      <c r="P482" s="4">
        <f>Tabela32[[#This Row],[Km Chegada]]-Tabela32[[#This Row],[Km Saída]]</f>
        <v>144</v>
      </c>
      <c r="Q482" s="4">
        <v>248</v>
      </c>
      <c r="R482" s="4">
        <v>31</v>
      </c>
      <c r="S482" s="4">
        <v>31</v>
      </c>
      <c r="T482" s="12">
        <f>Tabela32[[#This Row],[Entregas]]-Tabela32[[#This Row],[Realizadas]]</f>
        <v>0</v>
      </c>
      <c r="U482" s="18">
        <f>Tabela32[[#This Row],[Realizadas]]/Tabela32[[#This Row],[Entregas]]</f>
        <v>1</v>
      </c>
      <c r="V482" s="19" t="str">
        <f>IF(Tabela32[[#This Row],[% Entrega]]&gt;=96%,"Atendeu a Meta","Não Atendeu a Meta")</f>
        <v>Atendeu a Meta</v>
      </c>
      <c r="W482" s="4" t="s">
        <v>41</v>
      </c>
      <c r="X482" s="4">
        <v>0</v>
      </c>
      <c r="Y482" s="5" t="s">
        <v>75</v>
      </c>
    </row>
    <row r="483" spans="1:25" x14ac:dyDescent="0.25">
      <c r="A483" s="8">
        <v>46301</v>
      </c>
      <c r="B483" s="16">
        <f>YEAR(Tabela32[[#This Row],[Data]])</f>
        <v>2026</v>
      </c>
      <c r="C483" s="16">
        <f>MONTH(Tabela32[[#This Row],[Data]])</f>
        <v>10</v>
      </c>
      <c r="D483" s="4" t="s">
        <v>22</v>
      </c>
      <c r="E483" s="4">
        <v>5</v>
      </c>
      <c r="F483" s="4" t="str">
        <f>IFERROR(VLOOKUP(Tabela32[[#This Row],[Placa]],Planilha2!$A$1:$B$12,2,0),"")</f>
        <v>Juscelino</v>
      </c>
      <c r="G483" s="10">
        <v>10450.99</v>
      </c>
      <c r="H483" s="10">
        <v>122185.55</v>
      </c>
      <c r="I483" s="4">
        <v>1863</v>
      </c>
      <c r="J483" s="17">
        <f>IFERROR(Tabela32[[#This Row],[Valor Frete]]/Tabela32[[#This Row],[Valor Mercadoria]],"")</f>
        <v>8.5533764017103497E-2</v>
      </c>
      <c r="K483" s="11">
        <v>0.3125</v>
      </c>
      <c r="L483" s="15">
        <v>0.75416666666666665</v>
      </c>
      <c r="M483" s="15">
        <f>Tabela32[[#This Row],[Hr Chegada]]-Tabela32[[#This Row],[Hr Saida]]</f>
        <v>0.44166666666666665</v>
      </c>
      <c r="N483" s="4">
        <v>305906</v>
      </c>
      <c r="O483" s="4">
        <v>305983</v>
      </c>
      <c r="P483" s="4">
        <f>Tabela32[[#This Row],[Km Chegada]]-Tabela32[[#This Row],[Km Saída]]</f>
        <v>77</v>
      </c>
      <c r="Q483" s="4">
        <v>300</v>
      </c>
      <c r="R483" s="4">
        <v>25</v>
      </c>
      <c r="S483" s="4">
        <v>25</v>
      </c>
      <c r="T483" s="12">
        <f>Tabela32[[#This Row],[Entregas]]-Tabela32[[#This Row],[Realizadas]]</f>
        <v>0</v>
      </c>
      <c r="U483" s="18">
        <f>Tabela32[[#This Row],[Realizadas]]/Tabela32[[#This Row],[Entregas]]</f>
        <v>1</v>
      </c>
      <c r="V483" s="19" t="str">
        <f>IF(Tabela32[[#This Row],[% Entrega]]&gt;=96%,"Atendeu a Meta","Não Atendeu a Meta")</f>
        <v>Atendeu a Meta</v>
      </c>
      <c r="W483" s="4" t="s">
        <v>39</v>
      </c>
      <c r="X483" s="4">
        <v>0</v>
      </c>
      <c r="Y483" s="5">
        <v>0</v>
      </c>
    </row>
    <row r="484" spans="1:25" x14ac:dyDescent="0.25">
      <c r="A484" s="8">
        <v>46301</v>
      </c>
      <c r="B484" s="16">
        <f>YEAR(Tabela32[[#This Row],[Data]])</f>
        <v>2026</v>
      </c>
      <c r="C484" s="16">
        <f>MONTH(Tabela32[[#This Row],[Data]])</f>
        <v>10</v>
      </c>
      <c r="D484" s="4" t="s">
        <v>23</v>
      </c>
      <c r="E484" s="4">
        <v>3</v>
      </c>
      <c r="F484" s="4" t="str">
        <f>IFERROR(VLOOKUP(Tabela32[[#This Row],[Placa]],Planilha2!$A$1:$B$12,2,0),"")</f>
        <v>William</v>
      </c>
      <c r="G484" s="10">
        <v>14818.4</v>
      </c>
      <c r="H484" s="10">
        <v>270443.61</v>
      </c>
      <c r="I484" s="4">
        <v>3409</v>
      </c>
      <c r="J484" s="17">
        <f>IFERROR(Tabela32[[#This Row],[Valor Frete]]/Tabela32[[#This Row],[Valor Mercadoria]],"")</f>
        <v>5.4792938165556956E-2</v>
      </c>
      <c r="K484" s="11">
        <v>0.2986111111111111</v>
      </c>
      <c r="L484" s="15">
        <v>0.78125</v>
      </c>
      <c r="M484" s="15">
        <f>Tabela32[[#This Row],[Hr Chegada]]-Tabela32[[#This Row],[Hr Saida]]</f>
        <v>0.4826388888888889</v>
      </c>
      <c r="N484" s="4">
        <v>126676</v>
      </c>
      <c r="O484" s="4">
        <v>126743</v>
      </c>
      <c r="P484" s="4">
        <f>Tabela32[[#This Row],[Km Chegada]]-Tabela32[[#This Row],[Km Saída]]</f>
        <v>67</v>
      </c>
      <c r="Q484" s="4">
        <v>383</v>
      </c>
      <c r="R484" s="4">
        <v>23</v>
      </c>
      <c r="S484" s="4">
        <v>23</v>
      </c>
      <c r="T484" s="12">
        <f>Tabela32[[#This Row],[Entregas]]-Tabela32[[#This Row],[Realizadas]]</f>
        <v>0</v>
      </c>
      <c r="U484" s="18">
        <f>Tabela32[[#This Row],[Realizadas]]/Tabela32[[#This Row],[Entregas]]</f>
        <v>1</v>
      </c>
      <c r="V484" s="19" t="str">
        <f>IF(Tabela32[[#This Row],[% Entrega]]&gt;=96%,"Atendeu a Meta","Não Atendeu a Meta")</f>
        <v>Atendeu a Meta</v>
      </c>
      <c r="W484" s="4" t="s">
        <v>39</v>
      </c>
      <c r="X484" s="4">
        <v>0</v>
      </c>
      <c r="Y484" s="5">
        <v>0</v>
      </c>
    </row>
    <row r="485" spans="1:25" x14ac:dyDescent="0.25">
      <c r="A485" s="8">
        <v>46301</v>
      </c>
      <c r="B485" s="16">
        <f>YEAR(Tabela32[[#This Row],[Data]])</f>
        <v>2026</v>
      </c>
      <c r="C485" s="16">
        <f>MONTH(Tabela32[[#This Row],[Data]])</f>
        <v>10</v>
      </c>
      <c r="D485" s="4" t="s">
        <v>31</v>
      </c>
      <c r="E485" s="4">
        <v>2</v>
      </c>
      <c r="F485" s="4" t="str">
        <f>IFERROR(VLOOKUP(Tabela32[[#This Row],[Placa]],Planilha2!$A$1:$B$12,2,0),"")</f>
        <v>Jerson</v>
      </c>
      <c r="G485" s="10">
        <v>14479.26</v>
      </c>
      <c r="H485" s="10">
        <v>262607.09999999998</v>
      </c>
      <c r="I485" s="4">
        <v>2642</v>
      </c>
      <c r="J485" s="17">
        <f>IFERROR(Tabela32[[#This Row],[Valor Frete]]/Tabela32[[#This Row],[Valor Mercadoria]],"")</f>
        <v>5.513658998557161E-2</v>
      </c>
      <c r="K485" s="11">
        <v>0.27430555555555558</v>
      </c>
      <c r="L485" s="15">
        <v>0.82638888888888884</v>
      </c>
      <c r="M485" s="15">
        <f>Tabela32[[#This Row],[Hr Chegada]]-Tabela32[[#This Row],[Hr Saida]]</f>
        <v>0.55208333333333326</v>
      </c>
      <c r="N485" s="4">
        <v>281825</v>
      </c>
      <c r="O485" s="4">
        <v>281896</v>
      </c>
      <c r="P485" s="4">
        <f>Tabela32[[#This Row],[Km Chegada]]-Tabela32[[#This Row],[Km Saída]]</f>
        <v>71</v>
      </c>
      <c r="Q485" s="4">
        <v>336</v>
      </c>
      <c r="R485" s="4">
        <v>39</v>
      </c>
      <c r="S485" s="4">
        <v>39</v>
      </c>
      <c r="T485" s="12">
        <f>Tabela32[[#This Row],[Entregas]]-Tabela32[[#This Row],[Realizadas]]</f>
        <v>0</v>
      </c>
      <c r="U485" s="18">
        <f>Tabela32[[#This Row],[Realizadas]]/Tabela32[[#This Row],[Entregas]]</f>
        <v>1</v>
      </c>
      <c r="V485" s="19" t="str">
        <f>IF(Tabela32[[#This Row],[% Entrega]]&gt;=96%,"Atendeu a Meta","Não Atendeu a Meta")</f>
        <v>Atendeu a Meta</v>
      </c>
      <c r="W485" s="4" t="s">
        <v>39</v>
      </c>
      <c r="X485" s="4">
        <v>0</v>
      </c>
      <c r="Y485" s="5">
        <v>0</v>
      </c>
    </row>
    <row r="486" spans="1:25" x14ac:dyDescent="0.25">
      <c r="A486" s="8">
        <v>46301</v>
      </c>
      <c r="B486" s="16">
        <f>YEAR(Tabela32[[#This Row],[Data]])</f>
        <v>2026</v>
      </c>
      <c r="C486" s="16">
        <f>MONTH(Tabela32[[#This Row],[Data]])</f>
        <v>10</v>
      </c>
      <c r="D486" s="4" t="s">
        <v>29</v>
      </c>
      <c r="E486" s="4">
        <v>1</v>
      </c>
      <c r="F486" s="4" t="str">
        <f>IFERROR(VLOOKUP(Tabela32[[#This Row],[Placa]],Planilha2!$A$1:$B$12,2,0),"")</f>
        <v>Sandro</v>
      </c>
      <c r="G486" s="10">
        <v>8860.61</v>
      </c>
      <c r="H486" s="10">
        <v>175974.15</v>
      </c>
      <c r="I486" s="4">
        <v>1387</v>
      </c>
      <c r="J486" s="17">
        <f>IFERROR(Tabela32[[#This Row],[Valor Frete]]/Tabela32[[#This Row],[Valor Mercadoria]],"")</f>
        <v>5.0351770416279897E-2</v>
      </c>
      <c r="K486" s="11">
        <v>0.3125</v>
      </c>
      <c r="L486" s="15">
        <v>0.82152777777777775</v>
      </c>
      <c r="M486" s="15">
        <f>Tabela32[[#This Row],[Hr Chegada]]-Tabela32[[#This Row],[Hr Saida]]</f>
        <v>0.50902777777777775</v>
      </c>
      <c r="N486" s="4">
        <v>276623</v>
      </c>
      <c r="O486" s="4">
        <v>276772</v>
      </c>
      <c r="P486" s="4">
        <f>Tabela32[[#This Row],[Km Chegada]]-Tabela32[[#This Row],[Km Saída]]</f>
        <v>149</v>
      </c>
      <c r="Q486" s="4">
        <v>197</v>
      </c>
      <c r="R486" s="4">
        <v>26</v>
      </c>
      <c r="S486" s="4">
        <v>24</v>
      </c>
      <c r="T486" s="12">
        <f>Tabela32[[#This Row],[Entregas]]-Tabela32[[#This Row],[Realizadas]]</f>
        <v>2</v>
      </c>
      <c r="U486" s="18">
        <f>Tabela32[[#This Row],[Realizadas]]/Tabela32[[#This Row],[Entregas]]</f>
        <v>0.92307692307692313</v>
      </c>
      <c r="V486" s="19" t="str">
        <f>IF(Tabela32[[#This Row],[% Entrega]]&gt;=96%,"Atendeu a Meta","Não Atendeu a Meta")</f>
        <v>Não Atendeu a Meta</v>
      </c>
      <c r="W486" s="4" t="s">
        <v>62</v>
      </c>
      <c r="X486" s="4">
        <v>2</v>
      </c>
      <c r="Y486" s="5">
        <v>13.13</v>
      </c>
    </row>
    <row r="487" spans="1:25" x14ac:dyDescent="0.25">
      <c r="A487" s="8">
        <v>46301</v>
      </c>
      <c r="B487" s="16">
        <f>YEAR(Tabela32[[#This Row],[Data]])</f>
        <v>2026</v>
      </c>
      <c r="C487" s="16">
        <f>MONTH(Tabela32[[#This Row],[Data]])</f>
        <v>10</v>
      </c>
      <c r="D487" s="4" t="s">
        <v>28</v>
      </c>
      <c r="E487" s="4">
        <v>3</v>
      </c>
      <c r="F487" s="4" t="str">
        <f>IFERROR(VLOOKUP(Tabela32[[#This Row],[Placa]],Planilha2!$A$1:$B$12,2,0),"")</f>
        <v>Edilson</v>
      </c>
      <c r="G487" s="10">
        <v>14066.85</v>
      </c>
      <c r="H487" s="10">
        <v>62486.95</v>
      </c>
      <c r="I487" s="4">
        <v>6328</v>
      </c>
      <c r="J487" s="17">
        <f>IFERROR(Tabela32[[#This Row],[Valor Frete]]/Tabela32[[#This Row],[Valor Mercadoria]],"")</f>
        <v>0.22511660434698766</v>
      </c>
      <c r="K487" s="11">
        <v>0.27083333333333331</v>
      </c>
      <c r="L487" s="15">
        <v>0.65833333333333333</v>
      </c>
      <c r="M487" s="15">
        <f>Tabela32[[#This Row],[Hr Chegada]]-Tabela32[[#This Row],[Hr Saida]]</f>
        <v>0.38750000000000001</v>
      </c>
      <c r="N487" s="4">
        <v>106700</v>
      </c>
      <c r="O487" s="4">
        <v>106739</v>
      </c>
      <c r="P487" s="4">
        <f>Tabela32[[#This Row],[Km Chegada]]-Tabela32[[#This Row],[Km Saída]]</f>
        <v>39</v>
      </c>
      <c r="Q487" s="4">
        <v>410</v>
      </c>
      <c r="R487" s="4">
        <v>1</v>
      </c>
      <c r="S487" s="4">
        <v>1</v>
      </c>
      <c r="T487" s="12">
        <f>Tabela32[[#This Row],[Entregas]]-Tabela32[[#This Row],[Realizadas]]</f>
        <v>0</v>
      </c>
      <c r="U487" s="18">
        <f>Tabela32[[#This Row],[Realizadas]]/Tabela32[[#This Row],[Entregas]]</f>
        <v>1</v>
      </c>
      <c r="V487" s="19" t="str">
        <f>IF(Tabela32[[#This Row],[% Entrega]]&gt;=96%,"Atendeu a Meta","Não Atendeu a Meta")</f>
        <v>Atendeu a Meta</v>
      </c>
      <c r="W487" s="4" t="s">
        <v>39</v>
      </c>
      <c r="X487" s="4">
        <v>0</v>
      </c>
      <c r="Y487" s="5">
        <v>0</v>
      </c>
    </row>
    <row r="488" spans="1:25" x14ac:dyDescent="0.25">
      <c r="A488" s="8">
        <v>46301</v>
      </c>
      <c r="B488" s="16">
        <f>YEAR(Tabela32[[#This Row],[Data]])</f>
        <v>2026</v>
      </c>
      <c r="C488" s="16">
        <f>MONTH(Tabela32[[#This Row],[Data]])</f>
        <v>10</v>
      </c>
      <c r="D488" s="4" t="s">
        <v>33</v>
      </c>
      <c r="E488" s="4">
        <v>5</v>
      </c>
      <c r="F488" s="4" t="str">
        <f>IFERROR(VLOOKUP(Tabela32[[#This Row],[Placa]],Planilha2!$A$1:$B$12,2,0),"")</f>
        <v>Paulo</v>
      </c>
      <c r="G488" s="10">
        <v>855.67</v>
      </c>
      <c r="H488" s="10">
        <v>17364.759999999998</v>
      </c>
      <c r="I488" s="4">
        <v>59</v>
      </c>
      <c r="J488" s="17">
        <f>IFERROR(Tabela32[[#This Row],[Valor Frete]]/Tabela32[[#This Row],[Valor Mercadoria]],"")</f>
        <v>4.9276235317965815E-2</v>
      </c>
      <c r="K488" s="11">
        <v>0.29166666666666669</v>
      </c>
      <c r="L488" s="15">
        <v>0.71180555555555558</v>
      </c>
      <c r="M488" s="15">
        <f>Tabela32[[#This Row],[Hr Chegada]]-Tabela32[[#This Row],[Hr Saida]]</f>
        <v>0.4201388888888889</v>
      </c>
      <c r="N488" s="4">
        <v>156692</v>
      </c>
      <c r="O488" s="4">
        <v>156744</v>
      </c>
      <c r="P488" s="4">
        <f>Tabela32[[#This Row],[Km Chegada]]-Tabela32[[#This Row],[Km Saída]]</f>
        <v>52</v>
      </c>
      <c r="Q488" s="4">
        <v>45</v>
      </c>
      <c r="R488" s="4">
        <v>2</v>
      </c>
      <c r="S488" s="4">
        <v>2</v>
      </c>
      <c r="T488" s="12">
        <f>Tabela32[[#This Row],[Entregas]]-Tabela32[[#This Row],[Realizadas]]</f>
        <v>0</v>
      </c>
      <c r="U488" s="18">
        <f>Tabela32[[#This Row],[Realizadas]]/Tabela32[[#This Row],[Entregas]]</f>
        <v>1</v>
      </c>
      <c r="V488" s="19" t="str">
        <f>IF(Tabela32[[#This Row],[% Entrega]]&gt;=96%,"Atendeu a Meta","Não Atendeu a Meta")</f>
        <v>Atendeu a Meta</v>
      </c>
      <c r="W488" s="4" t="s">
        <v>39</v>
      </c>
      <c r="X488" s="4">
        <v>0</v>
      </c>
      <c r="Y488" s="5">
        <v>0</v>
      </c>
    </row>
    <row r="489" spans="1:25" x14ac:dyDescent="0.25">
      <c r="A489" s="8">
        <v>46301</v>
      </c>
      <c r="B489" s="16">
        <f>YEAR(Tabela32[[#This Row],[Data]])</f>
        <v>2026</v>
      </c>
      <c r="C489" s="16">
        <f>MONTH(Tabela32[[#This Row],[Data]])</f>
        <v>10</v>
      </c>
      <c r="D489" s="4" t="s">
        <v>53</v>
      </c>
      <c r="E489" s="4">
        <v>1</v>
      </c>
      <c r="F489" s="4" t="str">
        <f>IFERROR(VLOOKUP(Tabela32[[#This Row],[Placa]],Planilha2!$A$1:$B$12,2,0),"")</f>
        <v>Arnaldo</v>
      </c>
      <c r="G489" s="10">
        <v>4094.02</v>
      </c>
      <c r="H489" s="10">
        <v>45709.9</v>
      </c>
      <c r="I489" s="4">
        <v>797</v>
      </c>
      <c r="J489" s="17">
        <f>IFERROR(Tabela32[[#This Row],[Valor Frete]]/Tabela32[[#This Row],[Valor Mercadoria]],"")</f>
        <v>8.9565280169066216E-2</v>
      </c>
      <c r="K489" s="11">
        <v>0.2986111111111111</v>
      </c>
      <c r="L489" s="15">
        <v>0.67291666666666672</v>
      </c>
      <c r="M489" s="15">
        <f>Tabela32[[#This Row],[Hr Chegada]]-Tabela32[[#This Row],[Hr Saida]]</f>
        <v>0.37430555555555561</v>
      </c>
      <c r="N489" s="4">
        <v>14572</v>
      </c>
      <c r="O489" s="4">
        <v>14610</v>
      </c>
      <c r="P489" s="4">
        <f>Tabela32[[#This Row],[Km Chegada]]-Tabela32[[#This Row],[Km Saída]]</f>
        <v>38</v>
      </c>
      <c r="Q489" s="4">
        <v>116</v>
      </c>
      <c r="R489" s="4">
        <v>9</v>
      </c>
      <c r="S489" s="4">
        <v>9</v>
      </c>
      <c r="T489" s="12">
        <f>Tabela32[[#This Row],[Entregas]]-Tabela32[[#This Row],[Realizadas]]</f>
        <v>0</v>
      </c>
      <c r="U489" s="18">
        <f>Tabela32[[#This Row],[Realizadas]]/Tabela32[[#This Row],[Entregas]]</f>
        <v>1</v>
      </c>
      <c r="V489" s="19" t="str">
        <f>IF(Tabela32[[#This Row],[% Entrega]]&gt;=96%,"Atendeu a Meta","Não Atendeu a Meta")</f>
        <v>Atendeu a Meta</v>
      </c>
      <c r="W489" s="4" t="s">
        <v>43</v>
      </c>
      <c r="X489" s="4">
        <v>0</v>
      </c>
      <c r="Y489" s="5">
        <v>38</v>
      </c>
    </row>
    <row r="490" spans="1:25" x14ac:dyDescent="0.25">
      <c r="A490" s="8">
        <v>46302</v>
      </c>
      <c r="B490" s="16">
        <f>YEAR(Tabela32[[#This Row],[Data]])</f>
        <v>2026</v>
      </c>
      <c r="C490" s="16">
        <f>MONTH(Tabela32[[#This Row],[Data]])</f>
        <v>10</v>
      </c>
      <c r="D490" s="4" t="s">
        <v>33</v>
      </c>
      <c r="E490" s="4">
        <v>1</v>
      </c>
      <c r="F490" s="4" t="str">
        <f>IFERROR(VLOOKUP(Tabela32[[#This Row],[Placa]],Planilha2!$A$1:$B$12,2,0),"")</f>
        <v>Paulo</v>
      </c>
      <c r="G490" s="10">
        <v>2365.94</v>
      </c>
      <c r="H490" s="10">
        <v>79712.88</v>
      </c>
      <c r="I490" s="4">
        <v>147</v>
      </c>
      <c r="J490" s="17">
        <f>IFERROR(Tabela32[[#This Row],[Valor Frete]]/Tabela32[[#This Row],[Valor Mercadoria]],"")</f>
        <v>2.9680774298958962E-2</v>
      </c>
      <c r="K490" s="11">
        <v>0.3125</v>
      </c>
      <c r="L490" s="15">
        <v>0.46319444444444446</v>
      </c>
      <c r="M490" s="15">
        <f>Tabela32[[#This Row],[Hr Chegada]]-Tabela32[[#This Row],[Hr Saida]]</f>
        <v>0.15069444444444446</v>
      </c>
      <c r="N490" s="4">
        <v>156744</v>
      </c>
      <c r="O490" s="4">
        <v>156775</v>
      </c>
      <c r="P490" s="4">
        <f>Tabela32[[#This Row],[Km Chegada]]-Tabela32[[#This Row],[Km Saída]]</f>
        <v>31</v>
      </c>
      <c r="Q490" s="4">
        <v>79</v>
      </c>
      <c r="R490" s="4">
        <v>4</v>
      </c>
      <c r="S490" s="4">
        <v>4</v>
      </c>
      <c r="T490" s="12">
        <f>Tabela32[[#This Row],[Entregas]]-Tabela32[[#This Row],[Realizadas]]</f>
        <v>0</v>
      </c>
      <c r="U490" s="18">
        <f>Tabela32[[#This Row],[Realizadas]]/Tabela32[[#This Row],[Entregas]]</f>
        <v>1</v>
      </c>
      <c r="V490" s="19" t="str">
        <f>IF(Tabela32[[#This Row],[% Entrega]]&gt;=96%,"Atendeu a Meta","Não Atendeu a Meta")</f>
        <v>Atendeu a Meta</v>
      </c>
      <c r="W490" s="4" t="s">
        <v>40</v>
      </c>
      <c r="X490" s="4">
        <v>0</v>
      </c>
      <c r="Y490" s="5">
        <v>0</v>
      </c>
    </row>
    <row r="491" spans="1:25" x14ac:dyDescent="0.25">
      <c r="A491" s="8">
        <v>46302</v>
      </c>
      <c r="B491" s="16">
        <f>YEAR(Tabela32[[#This Row],[Data]])</f>
        <v>2026</v>
      </c>
      <c r="C491" s="16">
        <f>MONTH(Tabela32[[#This Row],[Data]])</f>
        <v>10</v>
      </c>
      <c r="D491" s="4" t="s">
        <v>37</v>
      </c>
      <c r="E491" s="4">
        <v>1</v>
      </c>
      <c r="F491" s="4" t="str">
        <f>IFERROR(VLOOKUP(Tabela32[[#This Row],[Placa]],Planilha2!$A$1:$B$12,2,0),"")</f>
        <v/>
      </c>
      <c r="G491" s="10">
        <v>167.72</v>
      </c>
      <c r="H491" s="10">
        <v>7965.96</v>
      </c>
      <c r="I491" s="4">
        <v>3</v>
      </c>
      <c r="J491" s="17">
        <f>IFERROR(Tabela32[[#This Row],[Valor Frete]]/Tabela32[[#This Row],[Valor Mercadoria]],"")</f>
        <v>2.1054587268828865E-2</v>
      </c>
      <c r="K491" s="11">
        <v>0.33333333333333331</v>
      </c>
      <c r="L491" s="15">
        <v>0.35416666666666669</v>
      </c>
      <c r="M491" s="15">
        <f>Tabela32[[#This Row],[Hr Chegada]]-Tabela32[[#This Row],[Hr Saida]]</f>
        <v>2.083333333333337E-2</v>
      </c>
      <c r="N491" s="4">
        <v>13146</v>
      </c>
      <c r="O491" s="4">
        <v>13147</v>
      </c>
      <c r="P491" s="4">
        <f>Tabela32[[#This Row],[Km Chegada]]-Tabela32[[#This Row],[Km Saída]]</f>
        <v>1</v>
      </c>
      <c r="Q491" s="4">
        <v>5</v>
      </c>
      <c r="R491" s="4">
        <v>1</v>
      </c>
      <c r="S491" s="4">
        <v>1</v>
      </c>
      <c r="T491" s="12">
        <f>Tabela32[[#This Row],[Entregas]]-Tabela32[[#This Row],[Realizadas]]</f>
        <v>0</v>
      </c>
      <c r="U491" s="18">
        <f>Tabela32[[#This Row],[Realizadas]]/Tabela32[[#This Row],[Entregas]]</f>
        <v>1</v>
      </c>
      <c r="V491" s="19" t="str">
        <f>IF(Tabela32[[#This Row],[% Entrega]]&gt;=96%,"Atendeu a Meta","Não Atendeu a Meta")</f>
        <v>Atendeu a Meta</v>
      </c>
      <c r="W491" s="4" t="s">
        <v>43</v>
      </c>
      <c r="X491" s="4">
        <v>0</v>
      </c>
      <c r="Y491" s="5">
        <v>0</v>
      </c>
    </row>
    <row r="492" spans="1:25" x14ac:dyDescent="0.25">
      <c r="A492" s="8">
        <v>46302</v>
      </c>
      <c r="B492" s="16">
        <f>YEAR(Tabela32[[#This Row],[Data]])</f>
        <v>2026</v>
      </c>
      <c r="C492" s="16">
        <f>MONTH(Tabela32[[#This Row],[Data]])</f>
        <v>10</v>
      </c>
      <c r="D492" s="4" t="s">
        <v>27</v>
      </c>
      <c r="E492" s="4">
        <v>1</v>
      </c>
      <c r="F492" s="4" t="str">
        <f>IFERROR(VLOOKUP(Tabela32[[#This Row],[Placa]],Planilha2!$A$1:$B$12,2,0),"")</f>
        <v>Rosinaldo</v>
      </c>
      <c r="G492" s="10">
        <v>3470.09</v>
      </c>
      <c r="H492" s="10">
        <v>47314.8</v>
      </c>
      <c r="I492" s="4">
        <v>709</v>
      </c>
      <c r="J492" s="17">
        <f>IFERROR(Tabela32[[#This Row],[Valor Frete]]/Tabela32[[#This Row],[Valor Mercadoria]],"")</f>
        <v>7.3340476975491814E-2</v>
      </c>
      <c r="K492" s="11">
        <v>0.29166666666666669</v>
      </c>
      <c r="L492" s="15">
        <v>0.49305555555555558</v>
      </c>
      <c r="M492" s="15">
        <f>Tabela32[[#This Row],[Hr Chegada]]-Tabela32[[#This Row],[Hr Saida]]</f>
        <v>0.2013888888888889</v>
      </c>
      <c r="N492" s="4">
        <v>292243</v>
      </c>
      <c r="O492" s="4">
        <v>292286</v>
      </c>
      <c r="P492" s="4">
        <f>Tabela32[[#This Row],[Km Chegada]]-Tabela32[[#This Row],[Km Saída]]</f>
        <v>43</v>
      </c>
      <c r="Q492" s="4">
        <v>1</v>
      </c>
      <c r="R492" s="4">
        <v>1</v>
      </c>
      <c r="S492" s="4">
        <v>1</v>
      </c>
      <c r="T492" s="12">
        <f>Tabela32[[#This Row],[Entregas]]-Tabela32[[#This Row],[Realizadas]]</f>
        <v>0</v>
      </c>
      <c r="U492" s="18">
        <f>Tabela32[[#This Row],[Realizadas]]/Tabela32[[#This Row],[Entregas]]</f>
        <v>1</v>
      </c>
      <c r="V492" s="19" t="str">
        <f>IF(Tabela32[[#This Row],[% Entrega]]&gt;=96%,"Atendeu a Meta","Não Atendeu a Meta")</f>
        <v>Atendeu a Meta</v>
      </c>
      <c r="W492" s="4" t="s">
        <v>40</v>
      </c>
      <c r="X492" s="4">
        <v>0</v>
      </c>
      <c r="Y492" s="5">
        <v>0</v>
      </c>
    </row>
    <row r="493" spans="1:25" x14ac:dyDescent="0.25">
      <c r="A493" s="8">
        <v>46302</v>
      </c>
      <c r="B493" s="16">
        <f>YEAR(Tabela32[[#This Row],[Data]])</f>
        <v>2026</v>
      </c>
      <c r="C493" s="16">
        <f>MONTH(Tabela32[[#This Row],[Data]])</f>
        <v>10</v>
      </c>
      <c r="D493" s="4" t="s">
        <v>28</v>
      </c>
      <c r="E493" s="4">
        <v>11</v>
      </c>
      <c r="F493" s="4" t="str">
        <f>IFERROR(VLOOKUP(Tabela32[[#This Row],[Placa]],Planilha2!$A$1:$B$12,2,0),"")</f>
        <v>Edilson</v>
      </c>
      <c r="G493" s="10">
        <v>10067.5</v>
      </c>
      <c r="H493" s="10">
        <v>190558.92</v>
      </c>
      <c r="I493" s="4">
        <v>1778</v>
      </c>
      <c r="J493" s="17">
        <f>IFERROR(Tabela32[[#This Row],[Valor Frete]]/Tabela32[[#This Row],[Valor Mercadoria]],"")</f>
        <v>5.2831428725561624E-2</v>
      </c>
      <c r="K493" s="11">
        <v>0.27083333333333331</v>
      </c>
      <c r="L493" s="15">
        <v>0.7270833333333333</v>
      </c>
      <c r="M493" s="15">
        <f>Tabela32[[#This Row],[Hr Chegada]]-Tabela32[[#This Row],[Hr Saida]]</f>
        <v>0.45624999999999999</v>
      </c>
      <c r="N493" s="4">
        <v>106739</v>
      </c>
      <c r="O493" s="4">
        <v>106901</v>
      </c>
      <c r="P493" s="4">
        <f>Tabela32[[#This Row],[Km Chegada]]-Tabela32[[#This Row],[Km Saída]]</f>
        <v>162</v>
      </c>
      <c r="Q493" s="4">
        <v>365</v>
      </c>
      <c r="R493" s="4">
        <v>21</v>
      </c>
      <c r="S493" s="4">
        <v>21</v>
      </c>
      <c r="T493" s="12">
        <f>Tabela32[[#This Row],[Entregas]]-Tabela32[[#This Row],[Realizadas]]</f>
        <v>0</v>
      </c>
      <c r="U493" s="18">
        <f>Tabela32[[#This Row],[Realizadas]]/Tabela32[[#This Row],[Entregas]]</f>
        <v>1</v>
      </c>
      <c r="V493" s="19" t="str">
        <f>IF(Tabela32[[#This Row],[% Entrega]]&gt;=96%,"Atendeu a Meta","Não Atendeu a Meta")</f>
        <v>Atendeu a Meta</v>
      </c>
      <c r="W493" s="4" t="s">
        <v>41</v>
      </c>
      <c r="X493" s="4">
        <v>0</v>
      </c>
      <c r="Y493" s="5">
        <v>0</v>
      </c>
    </row>
    <row r="494" spans="1:25" x14ac:dyDescent="0.25">
      <c r="A494" s="8">
        <v>46302</v>
      </c>
      <c r="B494" s="16">
        <f>YEAR(Tabela32[[#This Row],[Data]])</f>
        <v>2026</v>
      </c>
      <c r="C494" s="16">
        <f>MONTH(Tabela32[[#This Row],[Data]])</f>
        <v>10</v>
      </c>
      <c r="D494" s="4" t="s">
        <v>22</v>
      </c>
      <c r="E494" s="4">
        <v>5</v>
      </c>
      <c r="F494" s="4" t="str">
        <f>IFERROR(VLOOKUP(Tabela32[[#This Row],[Placa]],Planilha2!$A$1:$B$12,2,0),"")</f>
        <v>Juscelino</v>
      </c>
      <c r="G494" s="10">
        <v>6011.95</v>
      </c>
      <c r="H494" s="10">
        <v>83304.95</v>
      </c>
      <c r="I494" s="4">
        <v>1129</v>
      </c>
      <c r="J494" s="17">
        <f>IFERROR(Tabela32[[#This Row],[Valor Frete]]/Tabela32[[#This Row],[Valor Mercadoria]],"")</f>
        <v>7.2167980414129057E-2</v>
      </c>
      <c r="K494" s="11">
        <v>0.3125</v>
      </c>
      <c r="L494" s="15">
        <v>0.77430555555555558</v>
      </c>
      <c r="M494" s="15">
        <f>Tabela32[[#This Row],[Hr Chegada]]-Tabela32[[#This Row],[Hr Saida]]</f>
        <v>0.46180555555555558</v>
      </c>
      <c r="N494" s="4">
        <v>305983</v>
      </c>
      <c r="O494" s="4">
        <v>306071</v>
      </c>
      <c r="P494" s="4">
        <f>Tabela32[[#This Row],[Km Chegada]]-Tabela32[[#This Row],[Km Saída]]</f>
        <v>88</v>
      </c>
      <c r="Q494" s="4">
        <v>122</v>
      </c>
      <c r="R494" s="4">
        <v>24</v>
      </c>
      <c r="S494" s="4">
        <v>24</v>
      </c>
      <c r="T494" s="12">
        <f>Tabela32[[#This Row],[Entregas]]-Tabela32[[#This Row],[Realizadas]]</f>
        <v>0</v>
      </c>
      <c r="U494" s="18">
        <f>Tabela32[[#This Row],[Realizadas]]/Tabela32[[#This Row],[Entregas]]</f>
        <v>1</v>
      </c>
      <c r="V494" s="19" t="str">
        <f>IF(Tabela32[[#This Row],[% Entrega]]&gt;=96%,"Atendeu a Meta","Não Atendeu a Meta")</f>
        <v>Atendeu a Meta</v>
      </c>
      <c r="W494" s="4" t="s">
        <v>39</v>
      </c>
      <c r="X494" s="4">
        <v>0</v>
      </c>
      <c r="Y494" s="5">
        <v>0</v>
      </c>
    </row>
    <row r="495" spans="1:25" x14ac:dyDescent="0.25">
      <c r="A495" s="8">
        <v>46302</v>
      </c>
      <c r="B495" s="16">
        <f>YEAR(Tabela32[[#This Row],[Data]])</f>
        <v>2026</v>
      </c>
      <c r="C495" s="16">
        <f>MONTH(Tabela32[[#This Row],[Data]])</f>
        <v>10</v>
      </c>
      <c r="D495" s="4" t="s">
        <v>23</v>
      </c>
      <c r="E495" s="4">
        <v>3</v>
      </c>
      <c r="F495" s="4" t="str">
        <f>IFERROR(VLOOKUP(Tabela32[[#This Row],[Placa]],Planilha2!$A$1:$B$12,2,0),"")</f>
        <v>William</v>
      </c>
      <c r="G495" s="10">
        <v>10067.5</v>
      </c>
      <c r="H495" s="10">
        <v>190558.92</v>
      </c>
      <c r="I495" s="4">
        <v>1778</v>
      </c>
      <c r="J495" s="17">
        <f>IFERROR(Tabela32[[#This Row],[Valor Frete]]/Tabela32[[#This Row],[Valor Mercadoria]],"")</f>
        <v>5.2831428725561624E-2</v>
      </c>
      <c r="K495" s="11">
        <v>0.29166666666666669</v>
      </c>
      <c r="L495" s="15">
        <v>0.80763888888888891</v>
      </c>
      <c r="M495" s="15">
        <f>Tabela32[[#This Row],[Hr Chegada]]-Tabela32[[#This Row],[Hr Saida]]</f>
        <v>0.51597222222222228</v>
      </c>
      <c r="N495" s="4">
        <v>126743</v>
      </c>
      <c r="O495" s="4">
        <v>126810</v>
      </c>
      <c r="P495" s="4">
        <f>Tabela32[[#This Row],[Km Chegada]]-Tabela32[[#This Row],[Km Saída]]</f>
        <v>67</v>
      </c>
      <c r="Q495" s="4">
        <v>365</v>
      </c>
      <c r="R495" s="4">
        <v>21</v>
      </c>
      <c r="S495" s="4">
        <v>21</v>
      </c>
      <c r="T495" s="12">
        <f>Tabela32[[#This Row],[Entregas]]-Tabela32[[#This Row],[Realizadas]]</f>
        <v>0</v>
      </c>
      <c r="U495" s="18">
        <f>Tabela32[[#This Row],[Realizadas]]/Tabela32[[#This Row],[Entregas]]</f>
        <v>1</v>
      </c>
      <c r="V495" s="19" t="str">
        <f>IF(Tabela32[[#This Row],[% Entrega]]&gt;=96%,"Atendeu a Meta","Não Atendeu a Meta")</f>
        <v>Atendeu a Meta</v>
      </c>
      <c r="W495" s="4" t="s">
        <v>41</v>
      </c>
      <c r="X495" s="4">
        <v>0</v>
      </c>
      <c r="Y495" s="5">
        <v>0</v>
      </c>
    </row>
    <row r="496" spans="1:25" x14ac:dyDescent="0.25">
      <c r="A496" s="8">
        <v>46302</v>
      </c>
      <c r="B496" s="16">
        <f>YEAR(Tabela32[[#This Row],[Data]])</f>
        <v>2026</v>
      </c>
      <c r="C496" s="16">
        <f>MONTH(Tabela32[[#This Row],[Data]])</f>
        <v>10</v>
      </c>
      <c r="D496" s="4" t="s">
        <v>27</v>
      </c>
      <c r="E496" s="4">
        <v>1</v>
      </c>
      <c r="F496" s="4" t="str">
        <f>IFERROR(VLOOKUP(Tabela32[[#This Row],[Placa]],Planilha2!$A$1:$B$12,2,0),"")</f>
        <v>Rosinaldo</v>
      </c>
      <c r="G496" s="10">
        <v>729.95</v>
      </c>
      <c r="H496" s="10">
        <v>10884.6</v>
      </c>
      <c r="I496" s="4">
        <v>132</v>
      </c>
      <c r="J496" s="17">
        <f>IFERROR(Tabela32[[#This Row],[Valor Frete]]/Tabela32[[#This Row],[Valor Mercadoria]],"")</f>
        <v>6.7062638957793588E-2</v>
      </c>
      <c r="K496" s="11">
        <v>0.60416666666666663</v>
      </c>
      <c r="L496" s="15">
        <v>0.75</v>
      </c>
      <c r="M496" s="15">
        <f>Tabela32[[#This Row],[Hr Chegada]]-Tabela32[[#This Row],[Hr Saida]]</f>
        <v>0.14583333333333337</v>
      </c>
      <c r="N496" s="4">
        <v>292386</v>
      </c>
      <c r="O496" s="4">
        <v>292433</v>
      </c>
      <c r="P496" s="4">
        <f>Tabela32[[#This Row],[Km Chegada]]-Tabela32[[#This Row],[Km Saída]]</f>
        <v>47</v>
      </c>
      <c r="Q496" s="4">
        <v>29</v>
      </c>
      <c r="R496" s="4">
        <v>4</v>
      </c>
      <c r="S496" s="4">
        <v>4</v>
      </c>
      <c r="T496" s="12">
        <f>Tabela32[[#This Row],[Entregas]]-Tabela32[[#This Row],[Realizadas]]</f>
        <v>0</v>
      </c>
      <c r="U496" s="18">
        <f>Tabela32[[#This Row],[Realizadas]]/Tabela32[[#This Row],[Entregas]]</f>
        <v>1</v>
      </c>
      <c r="V496" s="19" t="str">
        <f>IF(Tabela32[[#This Row],[% Entrega]]&gt;=96%,"Atendeu a Meta","Não Atendeu a Meta")</f>
        <v>Atendeu a Meta</v>
      </c>
      <c r="W496" s="4" t="s">
        <v>43</v>
      </c>
      <c r="X496" s="4">
        <v>0</v>
      </c>
      <c r="Y496" s="5">
        <v>0</v>
      </c>
    </row>
    <row r="497" spans="1:25" x14ac:dyDescent="0.25">
      <c r="A497" s="8">
        <v>46302</v>
      </c>
      <c r="B497" s="16">
        <f>YEAR(Tabela32[[#This Row],[Data]])</f>
        <v>2026</v>
      </c>
      <c r="C497" s="16">
        <f>MONTH(Tabela32[[#This Row],[Data]])</f>
        <v>10</v>
      </c>
      <c r="D497" s="4" t="s">
        <v>29</v>
      </c>
      <c r="E497" s="4">
        <v>1</v>
      </c>
      <c r="F497" s="4" t="str">
        <f>IFERROR(VLOOKUP(Tabela32[[#This Row],[Placa]],Planilha2!$A$1:$B$12,2,0),"")</f>
        <v>Sandro</v>
      </c>
      <c r="G497" s="10">
        <v>10417.92</v>
      </c>
      <c r="H497" s="10">
        <v>311725.05</v>
      </c>
      <c r="I497" s="4">
        <v>2131</v>
      </c>
      <c r="J497" s="17">
        <f>IFERROR(Tabela32[[#This Row],[Valor Frete]]/Tabela32[[#This Row],[Valor Mercadoria]],"")</f>
        <v>3.3420220800349537E-2</v>
      </c>
      <c r="K497" s="11">
        <v>0.29166666666666669</v>
      </c>
      <c r="L497" s="15">
        <v>0.74375000000000002</v>
      </c>
      <c r="M497" s="15">
        <f>Tabela32[[#This Row],[Hr Chegada]]-Tabela32[[#This Row],[Hr Saida]]</f>
        <v>0.45208333333333334</v>
      </c>
      <c r="N497" s="4">
        <v>276772</v>
      </c>
      <c r="O497" s="4">
        <v>276802</v>
      </c>
      <c r="P497" s="4">
        <f>Tabela32[[#This Row],[Km Chegada]]-Tabela32[[#This Row],[Km Saída]]</f>
        <v>30</v>
      </c>
      <c r="Q497" s="4">
        <v>4</v>
      </c>
      <c r="R497" s="4">
        <v>2</v>
      </c>
      <c r="S497" s="4">
        <v>2</v>
      </c>
      <c r="T497" s="12">
        <f>Tabela32[[#This Row],[Entregas]]-Tabela32[[#This Row],[Realizadas]]</f>
        <v>0</v>
      </c>
      <c r="U497" s="18">
        <f>Tabela32[[#This Row],[Realizadas]]/Tabela32[[#This Row],[Entregas]]</f>
        <v>1</v>
      </c>
      <c r="V497" s="19" t="str">
        <f>IF(Tabela32[[#This Row],[% Entrega]]&gt;=96%,"Atendeu a Meta","Não Atendeu a Meta")</f>
        <v>Atendeu a Meta</v>
      </c>
      <c r="W497" s="4" t="s">
        <v>40</v>
      </c>
      <c r="X497" s="4">
        <v>0</v>
      </c>
      <c r="Y497" s="5">
        <v>0</v>
      </c>
    </row>
    <row r="498" spans="1:25" x14ac:dyDescent="0.25">
      <c r="A498" s="8">
        <v>46302</v>
      </c>
      <c r="B498" s="16">
        <f>YEAR(Tabela32[[#This Row],[Data]])</f>
        <v>2026</v>
      </c>
      <c r="C498" s="16">
        <f>MONTH(Tabela32[[#This Row],[Data]])</f>
        <v>10</v>
      </c>
      <c r="D498" s="4" t="s">
        <v>31</v>
      </c>
      <c r="E498" s="4">
        <v>2</v>
      </c>
      <c r="F498" s="4" t="str">
        <f>IFERROR(VLOOKUP(Tabela32[[#This Row],[Placa]],Planilha2!$A$1:$B$12,2,0),"")</f>
        <v>Jerson</v>
      </c>
      <c r="G498" s="10">
        <v>12598.62</v>
      </c>
      <c r="H498" s="10">
        <v>233879.14</v>
      </c>
      <c r="I498" s="4">
        <v>2926</v>
      </c>
      <c r="J498" s="17">
        <f>IFERROR(Tabela32[[#This Row],[Valor Frete]]/Tabela32[[#This Row],[Valor Mercadoria]],"")</f>
        <v>5.386807904287659E-2</v>
      </c>
      <c r="K498" s="11">
        <v>0.27430555555555558</v>
      </c>
      <c r="L498" s="15">
        <v>0.80208333333333337</v>
      </c>
      <c r="M498" s="15">
        <f>Tabela32[[#This Row],[Hr Chegada]]-Tabela32[[#This Row],[Hr Saida]]</f>
        <v>0.52777777777777779</v>
      </c>
      <c r="N498" s="4">
        <v>281896</v>
      </c>
      <c r="O498" s="4">
        <v>281963</v>
      </c>
      <c r="P498" s="4">
        <f>Tabela32[[#This Row],[Km Chegada]]-Tabela32[[#This Row],[Km Saída]]</f>
        <v>67</v>
      </c>
      <c r="Q498" s="4">
        <v>312</v>
      </c>
      <c r="R498" s="4">
        <v>42</v>
      </c>
      <c r="S498" s="4">
        <v>42</v>
      </c>
      <c r="T498" s="12">
        <f>Tabela32[[#This Row],[Entregas]]-Tabela32[[#This Row],[Realizadas]]</f>
        <v>0</v>
      </c>
      <c r="U498" s="18">
        <f>Tabela32[[#This Row],[Realizadas]]/Tabela32[[#This Row],[Entregas]]</f>
        <v>1</v>
      </c>
      <c r="V498" s="19" t="str">
        <f>IF(Tabela32[[#This Row],[% Entrega]]&gt;=96%,"Atendeu a Meta","Não Atendeu a Meta")</f>
        <v>Atendeu a Meta</v>
      </c>
      <c r="W498" s="4" t="s">
        <v>39</v>
      </c>
      <c r="X498" s="4">
        <v>0</v>
      </c>
      <c r="Y498" s="5">
        <v>0</v>
      </c>
    </row>
    <row r="499" spans="1:25" x14ac:dyDescent="0.25">
      <c r="A499" s="8">
        <v>46302</v>
      </c>
      <c r="B499" s="16">
        <f>YEAR(Tabela32[[#This Row],[Data]])</f>
        <v>2026</v>
      </c>
      <c r="C499" s="16">
        <f>MONTH(Tabela32[[#This Row],[Data]])</f>
        <v>10</v>
      </c>
      <c r="D499" s="4" t="s">
        <v>53</v>
      </c>
      <c r="E499" s="4">
        <v>1</v>
      </c>
      <c r="F499" s="4" t="str">
        <f>IFERROR(VLOOKUP(Tabela32[[#This Row],[Placa]],Planilha2!$A$1:$B$12,2,0),"")</f>
        <v>Arnaldo</v>
      </c>
      <c r="G499" s="10">
        <v>8325.74</v>
      </c>
      <c r="H499" s="10">
        <v>207414.54</v>
      </c>
      <c r="I499" s="4">
        <v>3398</v>
      </c>
      <c r="J499" s="17">
        <f>IFERROR(Tabela32[[#This Row],[Valor Frete]]/Tabela32[[#This Row],[Valor Mercadoria]],"")</f>
        <v>4.0140580308400751E-2</v>
      </c>
      <c r="K499" s="11">
        <v>0.5625</v>
      </c>
      <c r="L499" s="15">
        <v>0.84236111111111112</v>
      </c>
      <c r="M499" s="15">
        <f>Tabela32[[#This Row],[Hr Chegada]]-Tabela32[[#This Row],[Hr Saida]]</f>
        <v>0.27986111111111112</v>
      </c>
      <c r="N499" s="4">
        <v>14610</v>
      </c>
      <c r="O499" s="4">
        <v>14721</v>
      </c>
      <c r="P499" s="4">
        <f>Tabela32[[#This Row],[Km Chegada]]-Tabela32[[#This Row],[Km Saída]]</f>
        <v>111</v>
      </c>
      <c r="Q499" s="4">
        <v>730</v>
      </c>
      <c r="R499" s="4">
        <v>17</v>
      </c>
      <c r="S499" s="4">
        <v>17</v>
      </c>
      <c r="T499" s="12">
        <f>Tabela32[[#This Row],[Entregas]]-Tabela32[[#This Row],[Realizadas]]</f>
        <v>0</v>
      </c>
      <c r="U499" s="18">
        <f>Tabela32[[#This Row],[Realizadas]]/Tabela32[[#This Row],[Entregas]]</f>
        <v>1</v>
      </c>
      <c r="V499" s="19" t="str">
        <f>IF(Tabela32[[#This Row],[% Entrega]]&gt;=96%,"Atendeu a Meta","Não Atendeu a Meta")</f>
        <v>Atendeu a Meta</v>
      </c>
      <c r="W499" s="4" t="s">
        <v>39</v>
      </c>
      <c r="X499" s="4">
        <v>0</v>
      </c>
      <c r="Y499" s="5">
        <v>0</v>
      </c>
    </row>
    <row r="500" spans="1:25" x14ac:dyDescent="0.25">
      <c r="A500" s="8">
        <v>46302</v>
      </c>
      <c r="B500" s="16">
        <f>YEAR(Tabela32[[#This Row],[Data]])</f>
        <v>2026</v>
      </c>
      <c r="C500" s="16">
        <f>MONTH(Tabela32[[#This Row],[Data]])</f>
        <v>10</v>
      </c>
      <c r="D500" s="4" t="s">
        <v>35</v>
      </c>
      <c r="E500" s="4">
        <v>1</v>
      </c>
      <c r="F500" s="4" t="str">
        <f>IFERROR(VLOOKUP(Tabela32[[#This Row],[Placa]],Planilha2!$A$1:$B$12,2,0),"")</f>
        <v>Osvaldo</v>
      </c>
      <c r="G500" s="10">
        <v>2147.7199999999998</v>
      </c>
      <c r="H500" s="10">
        <v>35039.72</v>
      </c>
      <c r="I500" s="4">
        <v>369</v>
      </c>
      <c r="J500" s="17">
        <f>IFERROR(Tabela32[[#This Row],[Valor Frete]]/Tabela32[[#This Row],[Valor Mercadoria]],"")</f>
        <v>6.129386878662272E-2</v>
      </c>
      <c r="K500" s="11">
        <v>0.3125</v>
      </c>
      <c r="L500" s="15">
        <v>0.71250000000000002</v>
      </c>
      <c r="M500" s="15">
        <f>Tabela32[[#This Row],[Hr Chegada]]-Tabela32[[#This Row],[Hr Saida]]</f>
        <v>0.4</v>
      </c>
      <c r="N500" s="4">
        <v>144455</v>
      </c>
      <c r="O500" s="4">
        <v>144536</v>
      </c>
      <c r="P500" s="4">
        <f>Tabela32[[#This Row],[Km Chegada]]-Tabela32[[#This Row],[Km Saída]]</f>
        <v>81</v>
      </c>
      <c r="Q500" s="4">
        <v>92</v>
      </c>
      <c r="R500" s="4">
        <v>9</v>
      </c>
      <c r="S500" s="4">
        <v>9</v>
      </c>
      <c r="T500" s="12">
        <f>Tabela32[[#This Row],[Entregas]]-Tabela32[[#This Row],[Realizadas]]</f>
        <v>0</v>
      </c>
      <c r="U500" s="18">
        <f>Tabela32[[#This Row],[Realizadas]]/Tabela32[[#This Row],[Entregas]]</f>
        <v>1</v>
      </c>
      <c r="V500" s="19" t="str">
        <f>IF(Tabela32[[#This Row],[% Entrega]]&gt;=96%,"Atendeu a Meta","Não Atendeu a Meta")</f>
        <v>Atendeu a Meta</v>
      </c>
      <c r="W500" s="4" t="s">
        <v>43</v>
      </c>
      <c r="X500" s="4">
        <v>0</v>
      </c>
      <c r="Y500" s="5">
        <v>0</v>
      </c>
    </row>
    <row r="501" spans="1:25" x14ac:dyDescent="0.25">
      <c r="A501" s="8">
        <v>46302</v>
      </c>
      <c r="B501" s="16">
        <f>YEAR(Tabela32[[#This Row],[Data]])</f>
        <v>2026</v>
      </c>
      <c r="C501" s="16">
        <f>MONTH(Tabela32[[#This Row],[Data]])</f>
        <v>10</v>
      </c>
      <c r="D501" s="4" t="s">
        <v>33</v>
      </c>
      <c r="E501" s="4">
        <v>3</v>
      </c>
      <c r="F501" s="4" t="str">
        <f>IFERROR(VLOOKUP(Tabela32[[#This Row],[Placa]],Planilha2!$A$1:$B$12,2,0),"")</f>
        <v>Paulo</v>
      </c>
      <c r="G501" s="10">
        <v>2201.44</v>
      </c>
      <c r="H501" s="10">
        <v>44417.4</v>
      </c>
      <c r="I501" s="4">
        <v>373</v>
      </c>
      <c r="J501" s="17">
        <f>IFERROR(Tabela32[[#This Row],[Valor Frete]]/Tabela32[[#This Row],[Valor Mercadoria]],"")</f>
        <v>4.9562558817040171E-2</v>
      </c>
      <c r="K501" s="11">
        <v>0.47916666666666669</v>
      </c>
      <c r="L501" s="15">
        <v>0.71319444444444446</v>
      </c>
      <c r="M501" s="15">
        <f>Tabela32[[#This Row],[Hr Chegada]]-Tabela32[[#This Row],[Hr Saida]]</f>
        <v>0.23402777777777778</v>
      </c>
      <c r="N501" s="4">
        <v>156775</v>
      </c>
      <c r="O501" s="4">
        <v>156830</v>
      </c>
      <c r="P501" s="4">
        <f>Tabela32[[#This Row],[Km Chegada]]-Tabela32[[#This Row],[Km Saída]]</f>
        <v>55</v>
      </c>
      <c r="Q501" s="4">
        <v>54</v>
      </c>
      <c r="R501" s="4">
        <v>14</v>
      </c>
      <c r="S501" s="4">
        <v>14</v>
      </c>
      <c r="T501" s="12">
        <f>Tabela32[[#This Row],[Entregas]]-Tabela32[[#This Row],[Realizadas]]</f>
        <v>0</v>
      </c>
      <c r="U501" s="18">
        <f>Tabela32[[#This Row],[Realizadas]]/Tabela32[[#This Row],[Entregas]]</f>
        <v>1</v>
      </c>
      <c r="V501" s="19" t="str">
        <f>IF(Tabela32[[#This Row],[% Entrega]]&gt;=96%,"Atendeu a Meta","Não Atendeu a Meta")</f>
        <v>Atendeu a Meta</v>
      </c>
      <c r="W501" s="4" t="s">
        <v>39</v>
      </c>
      <c r="X501" s="4">
        <v>0</v>
      </c>
      <c r="Y501" s="5">
        <v>0</v>
      </c>
    </row>
    <row r="502" spans="1:25" x14ac:dyDescent="0.25">
      <c r="A502" s="8">
        <v>46303</v>
      </c>
      <c r="B502" s="16">
        <f>YEAR(Tabela32[[#This Row],[Data]])</f>
        <v>2026</v>
      </c>
      <c r="C502" s="16">
        <f>MONTH(Tabela32[[#This Row],[Data]])</f>
        <v>10</v>
      </c>
      <c r="D502" s="4" t="s">
        <v>36</v>
      </c>
      <c r="E502" s="4">
        <v>5</v>
      </c>
      <c r="F502" s="4" t="str">
        <f>IFERROR(VLOOKUP(Tabela32[[#This Row],[Placa]],Planilha2!$A$1:$B$12,2,0),"")</f>
        <v>Heremilton</v>
      </c>
      <c r="G502" s="10">
        <v>54917.27</v>
      </c>
      <c r="H502" s="10">
        <v>795207.48</v>
      </c>
      <c r="I502" s="4">
        <v>9760</v>
      </c>
      <c r="J502" s="17">
        <f>IFERROR(Tabela32[[#This Row],[Valor Frete]]/Tabela32[[#This Row],[Valor Mercadoria]],"")</f>
        <v>6.9060303607808113E-2</v>
      </c>
      <c r="K502" s="11">
        <v>0.27986111111111112</v>
      </c>
      <c r="L502" s="15">
        <v>0.83333333333333337</v>
      </c>
      <c r="M502" s="15">
        <f>Tabela32[[#This Row],[Hr Chegada]]-Tabela32[[#This Row],[Hr Saida]]</f>
        <v>0.55347222222222225</v>
      </c>
      <c r="N502" s="4">
        <v>368062</v>
      </c>
      <c r="O502" s="4">
        <v>368100</v>
      </c>
      <c r="P502" s="4">
        <f>Tabela32[[#This Row],[Km Chegada]]-Tabela32[[#This Row],[Km Saída]]</f>
        <v>38</v>
      </c>
      <c r="Q502" s="4">
        <v>1948</v>
      </c>
      <c r="R502" s="4">
        <v>34</v>
      </c>
      <c r="S502" s="4">
        <v>34</v>
      </c>
      <c r="T502" s="12">
        <f>Tabela32[[#This Row],[Entregas]]-Tabela32[[#This Row],[Realizadas]]</f>
        <v>0</v>
      </c>
      <c r="U502" s="18">
        <f>Tabela32[[#This Row],[Realizadas]]/Tabela32[[#This Row],[Entregas]]</f>
        <v>1</v>
      </c>
      <c r="V502" s="19" t="str">
        <f>IF(Tabela32[[#This Row],[% Entrega]]&gt;=96%,"Atendeu a Meta","Não Atendeu a Meta")</f>
        <v>Atendeu a Meta</v>
      </c>
      <c r="W502" s="4" t="s">
        <v>39</v>
      </c>
      <c r="X502" s="4">
        <v>0</v>
      </c>
      <c r="Y502" s="5">
        <v>0</v>
      </c>
    </row>
    <row r="503" spans="1:25" x14ac:dyDescent="0.25">
      <c r="A503" s="8">
        <v>46303</v>
      </c>
      <c r="B503" s="16">
        <f>YEAR(Tabela32[[#This Row],[Data]])</f>
        <v>2026</v>
      </c>
      <c r="C503" s="16">
        <f>MONTH(Tabela32[[#This Row],[Data]])</f>
        <v>10</v>
      </c>
      <c r="D503" s="4" t="s">
        <v>28</v>
      </c>
      <c r="E503" s="4">
        <v>11</v>
      </c>
      <c r="F503" s="4" t="str">
        <f>IFERROR(VLOOKUP(Tabela32[[#This Row],[Placa]],Planilha2!$A$1:$B$12,2,0),"")</f>
        <v>Edilson</v>
      </c>
      <c r="G503" s="10">
        <v>12215.24</v>
      </c>
      <c r="H503" s="10">
        <v>320378.76</v>
      </c>
      <c r="I503" s="4">
        <v>5773</v>
      </c>
      <c r="J503" s="17">
        <f>IFERROR(Tabela32[[#This Row],[Valor Frete]]/Tabela32[[#This Row],[Valor Mercadoria]],"")</f>
        <v>3.8127496342142034E-2</v>
      </c>
      <c r="K503" s="11">
        <v>0.27083333333333331</v>
      </c>
      <c r="L503" s="15">
        <v>0.70833333333333337</v>
      </c>
      <c r="M503" s="15">
        <f>Tabela32[[#This Row],[Hr Chegada]]-Tabela32[[#This Row],[Hr Saida]]</f>
        <v>0.43750000000000006</v>
      </c>
      <c r="N503" s="4">
        <v>106902</v>
      </c>
      <c r="O503" s="4">
        <v>107024</v>
      </c>
      <c r="P503" s="4">
        <f>Tabela32[[#This Row],[Km Chegada]]-Tabela32[[#This Row],[Km Saída]]</f>
        <v>122</v>
      </c>
      <c r="Q503" s="4">
        <v>12</v>
      </c>
      <c r="R503" s="4">
        <v>2</v>
      </c>
      <c r="S503" s="4">
        <v>2</v>
      </c>
      <c r="T503" s="12">
        <f>Tabela32[[#This Row],[Entregas]]-Tabela32[[#This Row],[Realizadas]]</f>
        <v>0</v>
      </c>
      <c r="U503" s="18">
        <f>Tabela32[[#This Row],[Realizadas]]/Tabela32[[#This Row],[Entregas]]</f>
        <v>1</v>
      </c>
      <c r="V503" s="19" t="str">
        <f>IF(Tabela32[[#This Row],[% Entrega]]&gt;=96%,"Atendeu a Meta","Não Atendeu a Meta")</f>
        <v>Atendeu a Meta</v>
      </c>
      <c r="W503" s="4" t="s">
        <v>41</v>
      </c>
      <c r="X503" s="4">
        <v>0</v>
      </c>
      <c r="Y503" s="5">
        <v>0</v>
      </c>
    </row>
    <row r="504" spans="1:25" x14ac:dyDescent="0.25">
      <c r="A504" s="8">
        <v>46303</v>
      </c>
      <c r="B504" s="16">
        <f>YEAR(Tabela32[[#This Row],[Data]])</f>
        <v>2026</v>
      </c>
      <c r="C504" s="16">
        <f>MONTH(Tabela32[[#This Row],[Data]])</f>
        <v>10</v>
      </c>
      <c r="D504" s="4" t="s">
        <v>53</v>
      </c>
      <c r="E504" s="4">
        <v>1</v>
      </c>
      <c r="F504" s="4" t="str">
        <f>IFERROR(VLOOKUP(Tabela32[[#This Row],[Placa]],Planilha2!$A$1:$B$12,2,0),"")</f>
        <v>Arnaldo</v>
      </c>
      <c r="G504" s="10">
        <v>14427.01</v>
      </c>
      <c r="H504" s="10">
        <v>287130.32</v>
      </c>
      <c r="I504" s="4">
        <v>4484</v>
      </c>
      <c r="J504" s="17">
        <f>IFERROR(Tabela32[[#This Row],[Valor Frete]]/Tabela32[[#This Row],[Valor Mercadoria]],"")</f>
        <v>5.0245512212015786E-2</v>
      </c>
      <c r="K504" s="11">
        <v>0.31944444444444442</v>
      </c>
      <c r="L504" s="15">
        <v>0.4861111111111111</v>
      </c>
      <c r="M504" s="15">
        <f>Tabela32[[#This Row],[Hr Chegada]]-Tabela32[[#This Row],[Hr Saida]]</f>
        <v>0.16666666666666669</v>
      </c>
      <c r="N504" s="4">
        <v>14722</v>
      </c>
      <c r="O504" s="4">
        <v>14745</v>
      </c>
      <c r="P504" s="4">
        <f>Tabela32[[#This Row],[Km Chegada]]-Tabela32[[#This Row],[Km Saída]]</f>
        <v>23</v>
      </c>
      <c r="Q504" s="4">
        <v>15</v>
      </c>
      <c r="R504" s="4">
        <v>2</v>
      </c>
      <c r="S504" s="4">
        <v>2</v>
      </c>
      <c r="T504" s="12">
        <f>Tabela32[[#This Row],[Entregas]]-Tabela32[[#This Row],[Realizadas]]</f>
        <v>0</v>
      </c>
      <c r="U504" s="18">
        <f>Tabela32[[#This Row],[Realizadas]]/Tabela32[[#This Row],[Entregas]]</f>
        <v>1</v>
      </c>
      <c r="V504" s="19" t="str">
        <f>IF(Tabela32[[#This Row],[% Entrega]]&gt;=96%,"Atendeu a Meta","Não Atendeu a Meta")</f>
        <v>Atendeu a Meta</v>
      </c>
      <c r="W504" s="4" t="s">
        <v>43</v>
      </c>
      <c r="X504" s="4">
        <v>0</v>
      </c>
      <c r="Y504" s="5">
        <v>38.380000000000003</v>
      </c>
    </row>
    <row r="505" spans="1:25" x14ac:dyDescent="0.25">
      <c r="A505" s="8">
        <v>46303</v>
      </c>
      <c r="B505" s="16">
        <f>YEAR(Tabela32[[#This Row],[Data]])</f>
        <v>2026</v>
      </c>
      <c r="C505" s="16">
        <f>MONTH(Tabela32[[#This Row],[Data]])</f>
        <v>10</v>
      </c>
      <c r="D505" s="4" t="s">
        <v>22</v>
      </c>
      <c r="E505" s="4">
        <v>5</v>
      </c>
      <c r="F505" s="4" t="str">
        <f>IFERROR(VLOOKUP(Tabela32[[#This Row],[Placa]],Planilha2!$A$1:$B$12,2,0),"")</f>
        <v>Juscelino</v>
      </c>
      <c r="G505" s="10">
        <v>6355.51</v>
      </c>
      <c r="H505" s="10">
        <v>68977.039999999994</v>
      </c>
      <c r="I505" s="4">
        <v>754</v>
      </c>
      <c r="J505" s="17">
        <f>IFERROR(Tabela32[[#This Row],[Valor Frete]]/Tabela32[[#This Row],[Valor Mercadoria]],"")</f>
        <v>9.2139500332284491E-2</v>
      </c>
      <c r="K505" s="11">
        <v>0.3125</v>
      </c>
      <c r="L505" s="15">
        <v>0.77013888888888893</v>
      </c>
      <c r="M505" s="15">
        <f>Tabela32[[#This Row],[Hr Chegada]]-Tabela32[[#This Row],[Hr Saida]]</f>
        <v>0.45763888888888893</v>
      </c>
      <c r="N505" s="4">
        <v>306072</v>
      </c>
      <c r="O505" s="4">
        <v>306160</v>
      </c>
      <c r="P505" s="4">
        <f>Tabela32[[#This Row],[Km Chegada]]-Tabela32[[#This Row],[Km Saída]]</f>
        <v>88</v>
      </c>
      <c r="Q505" s="4">
        <v>165</v>
      </c>
      <c r="R505" s="4">
        <v>22</v>
      </c>
      <c r="S505" s="4">
        <v>22</v>
      </c>
      <c r="T505" s="12">
        <f>Tabela32[[#This Row],[Entregas]]-Tabela32[[#This Row],[Realizadas]]</f>
        <v>0</v>
      </c>
      <c r="U505" s="18">
        <f>Tabela32[[#This Row],[Realizadas]]/Tabela32[[#This Row],[Entregas]]</f>
        <v>1</v>
      </c>
      <c r="V505" s="19" t="str">
        <f>IF(Tabela32[[#This Row],[% Entrega]]&gt;=96%,"Atendeu a Meta","Não Atendeu a Meta")</f>
        <v>Atendeu a Meta</v>
      </c>
      <c r="W505" s="4" t="s">
        <v>39</v>
      </c>
      <c r="X505" s="4">
        <v>0</v>
      </c>
      <c r="Y505" s="5">
        <v>0</v>
      </c>
    </row>
    <row r="506" spans="1:25" x14ac:dyDescent="0.25">
      <c r="A506" s="8">
        <v>46303</v>
      </c>
      <c r="B506" s="16">
        <f>YEAR(Tabela32[[#This Row],[Data]])</f>
        <v>2026</v>
      </c>
      <c r="C506" s="16">
        <f>MONTH(Tabela32[[#This Row],[Data]])</f>
        <v>10</v>
      </c>
      <c r="D506" s="4" t="s">
        <v>29</v>
      </c>
      <c r="E506" s="4">
        <v>3</v>
      </c>
      <c r="F506" s="4" t="str">
        <f>IFERROR(VLOOKUP(Tabela32[[#This Row],[Placa]],Planilha2!$A$1:$B$12,2,0),"")</f>
        <v>Sandro</v>
      </c>
      <c r="G506" s="10">
        <v>4102.62</v>
      </c>
      <c r="H506" s="10">
        <v>113588.33</v>
      </c>
      <c r="I506" s="4">
        <v>609</v>
      </c>
      <c r="J506" s="17">
        <f>IFERROR(Tabela32[[#This Row],[Valor Frete]]/Tabela32[[#This Row],[Valor Mercadoria]],"")</f>
        <v>3.6118323070688685E-2</v>
      </c>
      <c r="K506" s="11">
        <v>0.29166666666666669</v>
      </c>
      <c r="L506" s="15">
        <v>0.72222222222222221</v>
      </c>
      <c r="M506" s="15">
        <f>Tabela32[[#This Row],[Hr Chegada]]-Tabela32[[#This Row],[Hr Saida]]</f>
        <v>0.43055555555555552</v>
      </c>
      <c r="N506" s="4">
        <v>276802</v>
      </c>
      <c r="O506" s="4">
        <v>276851</v>
      </c>
      <c r="P506" s="4">
        <f>Tabela32[[#This Row],[Km Chegada]]-Tabela32[[#This Row],[Km Saída]]</f>
        <v>49</v>
      </c>
      <c r="Q506" s="4">
        <v>136</v>
      </c>
      <c r="R506" s="4">
        <v>14</v>
      </c>
      <c r="S506" s="4">
        <v>14</v>
      </c>
      <c r="T506" s="12">
        <f>Tabela32[[#This Row],[Entregas]]-Tabela32[[#This Row],[Realizadas]]</f>
        <v>0</v>
      </c>
      <c r="U506" s="18">
        <f>Tabela32[[#This Row],[Realizadas]]/Tabela32[[#This Row],[Entregas]]</f>
        <v>1</v>
      </c>
      <c r="V506" s="19" t="str">
        <f>IF(Tabela32[[#This Row],[% Entrega]]&gt;=96%,"Atendeu a Meta","Não Atendeu a Meta")</f>
        <v>Atendeu a Meta</v>
      </c>
      <c r="W506" s="4" t="s">
        <v>39</v>
      </c>
      <c r="X506" s="4">
        <v>0</v>
      </c>
      <c r="Y506" s="5">
        <v>0</v>
      </c>
    </row>
    <row r="507" spans="1:25" x14ac:dyDescent="0.25">
      <c r="A507" s="8">
        <v>46303</v>
      </c>
      <c r="B507" s="16">
        <f>YEAR(Tabela32[[#This Row],[Data]])</f>
        <v>2026</v>
      </c>
      <c r="C507" s="16">
        <f>MONTH(Tabela32[[#This Row],[Data]])</f>
        <v>10</v>
      </c>
      <c r="D507" s="4" t="s">
        <v>27</v>
      </c>
      <c r="E507" s="4">
        <v>1</v>
      </c>
      <c r="F507" s="4" t="str">
        <f>IFERROR(VLOOKUP(Tabela32[[#This Row],[Placa]],Planilha2!$A$1:$B$12,2,0),"")</f>
        <v>Rosinaldo</v>
      </c>
      <c r="G507" s="10">
        <v>6839.32</v>
      </c>
      <c r="H507" s="10">
        <v>90468.19</v>
      </c>
      <c r="I507" s="4">
        <v>1530</v>
      </c>
      <c r="J507" s="17">
        <f>IFERROR(Tabela32[[#This Row],[Valor Frete]]/Tabela32[[#This Row],[Valor Mercadoria]],"")</f>
        <v>7.5599169166532448E-2</v>
      </c>
      <c r="K507" s="11">
        <v>0.3125</v>
      </c>
      <c r="L507" s="15">
        <v>0.69513888888888886</v>
      </c>
      <c r="M507" s="15">
        <f>Tabela32[[#This Row],[Hr Chegada]]-Tabela32[[#This Row],[Hr Saida]]</f>
        <v>0.38263888888888886</v>
      </c>
      <c r="N507" s="4">
        <v>292433</v>
      </c>
      <c r="O507" s="4">
        <v>292474</v>
      </c>
      <c r="P507" s="4">
        <f>Tabela32[[#This Row],[Km Chegada]]-Tabela32[[#This Row],[Km Saída]]</f>
        <v>41</v>
      </c>
      <c r="Q507" s="4">
        <v>125</v>
      </c>
      <c r="R507" s="4">
        <v>18</v>
      </c>
      <c r="S507" s="4">
        <v>18</v>
      </c>
      <c r="T507" s="12">
        <f>Tabela32[[#This Row],[Entregas]]-Tabela32[[#This Row],[Realizadas]]</f>
        <v>0</v>
      </c>
      <c r="U507" s="18">
        <f>Tabela32[[#This Row],[Realizadas]]/Tabela32[[#This Row],[Entregas]]</f>
        <v>1</v>
      </c>
      <c r="V507" s="19" t="str">
        <f>IF(Tabela32[[#This Row],[% Entrega]]&gt;=96%,"Atendeu a Meta","Não Atendeu a Meta")</f>
        <v>Atendeu a Meta</v>
      </c>
      <c r="W507" s="4" t="s">
        <v>43</v>
      </c>
      <c r="X507" s="4">
        <v>0</v>
      </c>
      <c r="Y507" s="5">
        <v>0</v>
      </c>
    </row>
    <row r="508" spans="1:25" x14ac:dyDescent="0.25">
      <c r="A508" s="8">
        <v>46303</v>
      </c>
      <c r="B508" s="16">
        <f>YEAR(Tabela32[[#This Row],[Data]])</f>
        <v>2026</v>
      </c>
      <c r="C508" s="16">
        <f>MONTH(Tabela32[[#This Row],[Data]])</f>
        <v>10</v>
      </c>
      <c r="D508" s="4" t="s">
        <v>35</v>
      </c>
      <c r="E508" s="4">
        <v>11</v>
      </c>
      <c r="F508" s="4" t="str">
        <f>IFERROR(VLOOKUP(Tabela32[[#This Row],[Placa]],Planilha2!$A$1:$B$12,2,0),"")</f>
        <v>Osvaldo</v>
      </c>
      <c r="G508" s="10">
        <v>12692.21</v>
      </c>
      <c r="H508" s="10">
        <v>202839.55</v>
      </c>
      <c r="I508" s="4">
        <v>1938</v>
      </c>
      <c r="J508" s="17">
        <f>IFERROR(Tabela32[[#This Row],[Valor Frete]]/Tabela32[[#This Row],[Valor Mercadoria]],"")</f>
        <v>6.2572659030253219E-2</v>
      </c>
      <c r="K508" s="11">
        <v>0.27777777777777779</v>
      </c>
      <c r="L508" s="15">
        <v>0.74444444444444446</v>
      </c>
      <c r="M508" s="15">
        <f>Tabela32[[#This Row],[Hr Chegada]]-Tabela32[[#This Row],[Hr Saida]]</f>
        <v>0.46666666666666667</v>
      </c>
      <c r="N508" s="4">
        <v>144536</v>
      </c>
      <c r="O508" s="4">
        <v>144677</v>
      </c>
      <c r="P508" s="4">
        <f>Tabela32[[#This Row],[Km Chegada]]-Tabela32[[#This Row],[Km Saída]]</f>
        <v>141</v>
      </c>
      <c r="Q508" s="4">
        <v>325</v>
      </c>
      <c r="R508" s="4">
        <v>34</v>
      </c>
      <c r="S508" s="4">
        <v>34</v>
      </c>
      <c r="T508" s="12">
        <f>Tabela32[[#This Row],[Entregas]]-Tabela32[[#This Row],[Realizadas]]</f>
        <v>0</v>
      </c>
      <c r="U508" s="18">
        <f>Tabela32[[#This Row],[Realizadas]]/Tabela32[[#This Row],[Entregas]]</f>
        <v>1</v>
      </c>
      <c r="V508" s="19" t="str">
        <f>IF(Tabela32[[#This Row],[% Entrega]]&gt;=96%,"Atendeu a Meta","Não Atendeu a Meta")</f>
        <v>Atendeu a Meta</v>
      </c>
      <c r="W508" s="4" t="s">
        <v>41</v>
      </c>
      <c r="X508" s="4">
        <v>0</v>
      </c>
      <c r="Y508" s="5">
        <v>38.380000000000003</v>
      </c>
    </row>
    <row r="509" spans="1:25" x14ac:dyDescent="0.25">
      <c r="A509" s="8">
        <v>46303</v>
      </c>
      <c r="B509" s="16">
        <f>YEAR(Tabela32[[#This Row],[Data]])</f>
        <v>2026</v>
      </c>
      <c r="C509" s="16">
        <f>MONTH(Tabela32[[#This Row],[Data]])</f>
        <v>10</v>
      </c>
      <c r="D509" s="4" t="s">
        <v>23</v>
      </c>
      <c r="E509" s="4">
        <v>3</v>
      </c>
      <c r="F509" s="4" t="str">
        <f>IFERROR(VLOOKUP(Tabela32[[#This Row],[Placa]],Planilha2!$A$1:$B$12,2,0),"")</f>
        <v>William</v>
      </c>
      <c r="G509" s="10">
        <v>5759.81</v>
      </c>
      <c r="H509" s="10">
        <v>111313.76</v>
      </c>
      <c r="I509" s="4">
        <v>795</v>
      </c>
      <c r="J509" s="17">
        <f>IFERROR(Tabela32[[#This Row],[Valor Frete]]/Tabela32[[#This Row],[Valor Mercadoria]],"")</f>
        <v>5.174391737373709E-2</v>
      </c>
      <c r="K509" s="11">
        <v>0.3125</v>
      </c>
      <c r="L509" s="15">
        <v>0.70833333333333337</v>
      </c>
      <c r="M509" s="15">
        <f>Tabela32[[#This Row],[Hr Chegada]]-Tabela32[[#This Row],[Hr Saida]]</f>
        <v>0.39583333333333337</v>
      </c>
      <c r="N509" s="4">
        <v>126810</v>
      </c>
      <c r="O509" s="4">
        <v>126860</v>
      </c>
      <c r="P509" s="4">
        <f>Tabela32[[#This Row],[Km Chegada]]-Tabela32[[#This Row],[Km Saída]]</f>
        <v>50</v>
      </c>
      <c r="Q509" s="4">
        <v>104</v>
      </c>
      <c r="R509" s="4">
        <v>17</v>
      </c>
      <c r="S509" s="4">
        <v>17</v>
      </c>
      <c r="T509" s="12">
        <f>Tabela32[[#This Row],[Entregas]]-Tabela32[[#This Row],[Realizadas]]</f>
        <v>0</v>
      </c>
      <c r="U509" s="18">
        <f>Tabela32[[#This Row],[Realizadas]]/Tabela32[[#This Row],[Entregas]]</f>
        <v>1</v>
      </c>
      <c r="V509" s="19" t="str">
        <f>IF(Tabela32[[#This Row],[% Entrega]]&gt;=96%,"Atendeu a Meta","Não Atendeu a Meta")</f>
        <v>Atendeu a Meta</v>
      </c>
      <c r="W509" s="4" t="s">
        <v>39</v>
      </c>
      <c r="X509" s="4">
        <v>0</v>
      </c>
      <c r="Y509" s="5">
        <v>0</v>
      </c>
    </row>
    <row r="510" spans="1:25" x14ac:dyDescent="0.25">
      <c r="A510" s="8">
        <v>46303</v>
      </c>
      <c r="B510" s="16">
        <f>YEAR(Tabela32[[#This Row],[Data]])</f>
        <v>2026</v>
      </c>
      <c r="C510" s="16">
        <f>MONTH(Tabela32[[#This Row],[Data]])</f>
        <v>10</v>
      </c>
      <c r="D510" s="4" t="s">
        <v>33</v>
      </c>
      <c r="E510" s="4">
        <v>1</v>
      </c>
      <c r="F510" s="4" t="str">
        <f>IFERROR(VLOOKUP(Tabela32[[#This Row],[Placa]],Planilha2!$A$1:$B$12,2,0),"")</f>
        <v>Paulo</v>
      </c>
      <c r="G510" s="10">
        <v>3075.28</v>
      </c>
      <c r="H510" s="10">
        <v>41356.01</v>
      </c>
      <c r="I510" s="4">
        <v>620</v>
      </c>
      <c r="J510" s="17">
        <f>IFERROR(Tabela32[[#This Row],[Valor Frete]]/Tabela32[[#This Row],[Valor Mercadoria]],"")</f>
        <v>7.4361138804251187E-2</v>
      </c>
      <c r="K510" s="11">
        <v>0.33333333333333331</v>
      </c>
      <c r="L510" s="15">
        <v>0.71944444444444444</v>
      </c>
      <c r="M510" s="15">
        <f>Tabela32[[#This Row],[Hr Chegada]]-Tabela32[[#This Row],[Hr Saida]]</f>
        <v>0.38611111111111113</v>
      </c>
      <c r="N510" s="4">
        <v>156830</v>
      </c>
      <c r="O510" s="4">
        <v>157003</v>
      </c>
      <c r="P510" s="4">
        <f>Tabela32[[#This Row],[Km Chegada]]-Tabela32[[#This Row],[Km Saída]]</f>
        <v>173</v>
      </c>
      <c r="Q510" s="4">
        <v>138</v>
      </c>
      <c r="R510" s="4">
        <v>12</v>
      </c>
      <c r="S510" s="4">
        <v>12</v>
      </c>
      <c r="T510" s="12">
        <f>Tabela32[[#This Row],[Entregas]]-Tabela32[[#This Row],[Realizadas]]</f>
        <v>0</v>
      </c>
      <c r="U510" s="18">
        <f>Tabela32[[#This Row],[Realizadas]]/Tabela32[[#This Row],[Entregas]]</f>
        <v>1</v>
      </c>
      <c r="V510" s="19" t="str">
        <f>IF(Tabela32[[#This Row],[% Entrega]]&gt;=96%,"Atendeu a Meta","Não Atendeu a Meta")</f>
        <v>Atendeu a Meta</v>
      </c>
      <c r="W510" s="4" t="s">
        <v>43</v>
      </c>
      <c r="X510" s="4">
        <v>0</v>
      </c>
      <c r="Y510" s="5">
        <v>0</v>
      </c>
    </row>
    <row r="511" spans="1:25" x14ac:dyDescent="0.25">
      <c r="A511" s="8">
        <v>46303</v>
      </c>
      <c r="B511" s="16">
        <f>YEAR(Tabela32[[#This Row],[Data]])</f>
        <v>2026</v>
      </c>
      <c r="C511" s="16">
        <f>MONTH(Tabela32[[#This Row],[Data]])</f>
        <v>10</v>
      </c>
      <c r="D511" s="4" t="s">
        <v>53</v>
      </c>
      <c r="E511" s="4">
        <v>1</v>
      </c>
      <c r="F511" s="4" t="str">
        <f>IFERROR(VLOOKUP(Tabela32[[#This Row],[Placa]],Planilha2!$A$1:$B$12,2,0),"")</f>
        <v>Arnaldo</v>
      </c>
      <c r="G511" s="10">
        <v>12050.21</v>
      </c>
      <c r="H511" s="10">
        <v>206944.9</v>
      </c>
      <c r="I511" s="4">
        <v>5981</v>
      </c>
      <c r="J511" s="17">
        <f>IFERROR(Tabela32[[#This Row],[Valor Frete]]/Tabela32[[#This Row],[Valor Mercadoria]],"")</f>
        <v>5.8229074502440019E-2</v>
      </c>
      <c r="K511" s="11">
        <v>0.65625</v>
      </c>
      <c r="L511" s="15">
        <v>0.69791666666666663</v>
      </c>
      <c r="M511" s="15">
        <f>Tabela32[[#This Row],[Hr Chegada]]-Tabela32[[#This Row],[Hr Saida]]</f>
        <v>4.166666666666663E-2</v>
      </c>
      <c r="N511" s="4">
        <v>14745</v>
      </c>
      <c r="O511" s="4">
        <v>14754</v>
      </c>
      <c r="P511" s="4">
        <f>Tabela32[[#This Row],[Km Chegada]]-Tabela32[[#This Row],[Km Saída]]</f>
        <v>9</v>
      </c>
      <c r="Q511" s="4">
        <v>588</v>
      </c>
      <c r="R511" s="4">
        <v>3</v>
      </c>
      <c r="S511" s="4">
        <v>0</v>
      </c>
      <c r="T511" s="12">
        <f>Tabela32[[#This Row],[Entregas]]-Tabela32[[#This Row],[Realizadas]]</f>
        <v>3</v>
      </c>
      <c r="U511" s="18">
        <f>Tabela32[[#This Row],[Realizadas]]/Tabela32[[#This Row],[Entregas]]</f>
        <v>0</v>
      </c>
      <c r="V511" s="19" t="str">
        <f>IF(Tabela32[[#This Row],[% Entrega]]&gt;=96%,"Atendeu a Meta","Não Atendeu a Meta")</f>
        <v>Não Atendeu a Meta</v>
      </c>
      <c r="W511" s="4" t="s">
        <v>62</v>
      </c>
      <c r="X511" s="4">
        <v>3</v>
      </c>
      <c r="Y511" s="5" t="s">
        <v>68</v>
      </c>
    </row>
    <row r="512" spans="1:25" x14ac:dyDescent="0.25">
      <c r="A512" s="8">
        <v>46304</v>
      </c>
      <c r="B512" s="16">
        <f>YEAR(Tabela32[[#This Row],[Data]])</f>
        <v>2026</v>
      </c>
      <c r="C512" s="16">
        <f>MONTH(Tabela32[[#This Row],[Data]])</f>
        <v>10</v>
      </c>
      <c r="D512" s="4" t="s">
        <v>28</v>
      </c>
      <c r="E512" s="4">
        <v>5</v>
      </c>
      <c r="F512" s="4" t="str">
        <f>IFERROR(VLOOKUP(Tabela32[[#This Row],[Placa]],Planilha2!$A$1:$B$12,2,0),"")</f>
        <v>Edilson</v>
      </c>
      <c r="G512" s="10">
        <v>3572.31</v>
      </c>
      <c r="H512" s="10">
        <v>71910.12</v>
      </c>
      <c r="I512" s="4">
        <v>1494</v>
      </c>
      <c r="J512" s="17">
        <f>IFERROR(Tabela32[[#This Row],[Valor Frete]]/Tabela32[[#This Row],[Valor Mercadoria]],"")</f>
        <v>4.9677430659272992E-2</v>
      </c>
      <c r="K512" s="11">
        <v>0.27083333333333331</v>
      </c>
      <c r="L512" s="15">
        <v>0.70833333333333337</v>
      </c>
      <c r="M512" s="15">
        <f>Tabela32[[#This Row],[Hr Chegada]]-Tabela32[[#This Row],[Hr Saida]]</f>
        <v>0.43750000000000006</v>
      </c>
      <c r="N512" s="4">
        <v>107024</v>
      </c>
      <c r="O512" s="4">
        <v>107076</v>
      </c>
      <c r="P512" s="4">
        <f>Tabela32[[#This Row],[Km Chegada]]-Tabela32[[#This Row],[Km Saída]]</f>
        <v>52</v>
      </c>
      <c r="Q512" s="4">
        <v>10</v>
      </c>
      <c r="R512" s="4">
        <v>9</v>
      </c>
      <c r="S512" s="4">
        <v>9</v>
      </c>
      <c r="T512" s="12">
        <f>Tabela32[[#This Row],[Entregas]]-Tabela32[[#This Row],[Realizadas]]</f>
        <v>0</v>
      </c>
      <c r="U512" s="18">
        <f>Tabela32[[#This Row],[Realizadas]]/Tabela32[[#This Row],[Entregas]]</f>
        <v>1</v>
      </c>
      <c r="V512" s="19" t="str">
        <f>IF(Tabela32[[#This Row],[% Entrega]]&gt;=96%,"Atendeu a Meta","Não Atendeu a Meta")</f>
        <v>Atendeu a Meta</v>
      </c>
      <c r="W512" s="4" t="s">
        <v>39</v>
      </c>
      <c r="X512" s="4">
        <v>0</v>
      </c>
      <c r="Y512" s="5">
        <v>0</v>
      </c>
    </row>
    <row r="513" spans="1:25" x14ac:dyDescent="0.25">
      <c r="A513" s="8">
        <v>46304</v>
      </c>
      <c r="B513" s="16">
        <f>YEAR(Tabela32[[#This Row],[Data]])</f>
        <v>2026</v>
      </c>
      <c r="C513" s="16">
        <f>MONTH(Tabela32[[#This Row],[Data]])</f>
        <v>10</v>
      </c>
      <c r="D513" s="4" t="s">
        <v>27</v>
      </c>
      <c r="E513" s="4">
        <v>1</v>
      </c>
      <c r="F513" s="4" t="str">
        <f>IFERROR(VLOOKUP(Tabela32[[#This Row],[Placa]],Planilha2!$A$1:$B$12,2,0),"")</f>
        <v>Rosinaldo</v>
      </c>
      <c r="G513" s="10">
        <v>8073.15</v>
      </c>
      <c r="H513" s="10">
        <v>152901.45000000001</v>
      </c>
      <c r="I513" s="4">
        <v>1519</v>
      </c>
      <c r="J513" s="17">
        <f>IFERROR(Tabela32[[#This Row],[Valor Frete]]/Tabela32[[#This Row],[Valor Mercadoria]],"")</f>
        <v>5.2799695490134323E-2</v>
      </c>
      <c r="K513" s="11">
        <v>0.3125</v>
      </c>
      <c r="L513" s="15">
        <v>0.73819444444444449</v>
      </c>
      <c r="M513" s="15">
        <f>Tabela32[[#This Row],[Hr Chegada]]-Tabela32[[#This Row],[Hr Saida]]</f>
        <v>0.42569444444444449</v>
      </c>
      <c r="N513" s="4">
        <v>292474</v>
      </c>
      <c r="O513" s="4">
        <v>292517</v>
      </c>
      <c r="P513" s="4">
        <f>Tabela32[[#This Row],[Km Chegada]]-Tabela32[[#This Row],[Km Saída]]</f>
        <v>43</v>
      </c>
      <c r="Q513" s="4">
        <v>147</v>
      </c>
      <c r="R513" s="4">
        <v>18</v>
      </c>
      <c r="S513" s="4">
        <v>18</v>
      </c>
      <c r="T513" s="12">
        <f>Tabela32[[#This Row],[Entregas]]-Tabela32[[#This Row],[Realizadas]]</f>
        <v>0</v>
      </c>
      <c r="U513" s="18">
        <f>Tabela32[[#This Row],[Realizadas]]/Tabela32[[#This Row],[Entregas]]</f>
        <v>1</v>
      </c>
      <c r="V513" s="19" t="str">
        <f>IF(Tabela32[[#This Row],[% Entrega]]&gt;=96%,"Atendeu a Meta","Não Atendeu a Meta")</f>
        <v>Atendeu a Meta</v>
      </c>
      <c r="W513" s="4" t="s">
        <v>43</v>
      </c>
      <c r="X513" s="4">
        <v>0</v>
      </c>
      <c r="Y513" s="5">
        <v>38</v>
      </c>
    </row>
    <row r="514" spans="1:25" x14ac:dyDescent="0.25">
      <c r="A514" s="8">
        <v>46304</v>
      </c>
      <c r="B514" s="16">
        <f>YEAR(Tabela32[[#This Row],[Data]])</f>
        <v>2026</v>
      </c>
      <c r="C514" s="16">
        <f>MONTH(Tabela32[[#This Row],[Data]])</f>
        <v>10</v>
      </c>
      <c r="D514" s="4" t="s">
        <v>53</v>
      </c>
      <c r="E514" s="4">
        <v>1</v>
      </c>
      <c r="F514" s="4" t="str">
        <f>IFERROR(VLOOKUP(Tabela32[[#This Row],[Placa]],Planilha2!$A$1:$B$12,2,0),"")</f>
        <v>Arnaldo</v>
      </c>
      <c r="G514" s="10">
        <v>12152.4</v>
      </c>
      <c r="H514" s="10">
        <v>207808.59</v>
      </c>
      <c r="I514" s="4">
        <v>5993</v>
      </c>
      <c r="J514" s="17">
        <f>IFERROR(Tabela32[[#This Row],[Valor Frete]]/Tabela32[[#This Row],[Valor Mercadoria]],"")</f>
        <v>5.8478814566808812E-2</v>
      </c>
      <c r="K514" s="11">
        <v>0.30486111111111114</v>
      </c>
      <c r="L514" s="15">
        <v>0.75138888888888888</v>
      </c>
      <c r="M514" s="15">
        <f>Tabela32[[#This Row],[Hr Chegada]]-Tabela32[[#This Row],[Hr Saida]]</f>
        <v>0.44652777777777775</v>
      </c>
      <c r="N514" s="4">
        <v>14754</v>
      </c>
      <c r="O514" s="4">
        <v>14782</v>
      </c>
      <c r="P514" s="4">
        <f>Tabela32[[#This Row],[Km Chegada]]-Tabela32[[#This Row],[Km Saída]]</f>
        <v>28</v>
      </c>
      <c r="Q514" s="4">
        <v>15</v>
      </c>
      <c r="R514" s="4">
        <v>4</v>
      </c>
      <c r="S514" s="4">
        <v>4</v>
      </c>
      <c r="T514" s="12">
        <f>Tabela32[[#This Row],[Entregas]]-Tabela32[[#This Row],[Realizadas]]</f>
        <v>0</v>
      </c>
      <c r="U514" s="18">
        <f>Tabela32[[#This Row],[Realizadas]]/Tabela32[[#This Row],[Entregas]]</f>
        <v>1</v>
      </c>
      <c r="V514" s="19" t="str">
        <f>IF(Tabela32[[#This Row],[% Entrega]]&gt;=96%,"Atendeu a Meta","Não Atendeu a Meta")</f>
        <v>Atendeu a Meta</v>
      </c>
      <c r="W514" s="4" t="s">
        <v>62</v>
      </c>
      <c r="X514" s="4">
        <v>0</v>
      </c>
      <c r="Y514" s="5">
        <v>38</v>
      </c>
    </row>
    <row r="515" spans="1:25" x14ac:dyDescent="0.25">
      <c r="A515" s="8">
        <v>46304</v>
      </c>
      <c r="B515" s="16">
        <f>YEAR(Tabela32[[#This Row],[Data]])</f>
        <v>2026</v>
      </c>
      <c r="C515" s="16">
        <f>MONTH(Tabela32[[#This Row],[Data]])</f>
        <v>10</v>
      </c>
      <c r="D515" s="4" t="s">
        <v>35</v>
      </c>
      <c r="E515" s="4">
        <v>11</v>
      </c>
      <c r="F515" s="4" t="str">
        <f>IFERROR(VLOOKUP(Tabela32[[#This Row],[Placa]],Planilha2!$A$1:$B$12,2,0),"")</f>
        <v>Osvaldo</v>
      </c>
      <c r="G515" s="10">
        <v>8387.43</v>
      </c>
      <c r="H515" s="10">
        <v>168450.99</v>
      </c>
      <c r="I515" s="4">
        <v>1174</v>
      </c>
      <c r="J515" s="17">
        <f>IFERROR(Tabela32[[#This Row],[Valor Frete]]/Tabela32[[#This Row],[Valor Mercadoria]],"")</f>
        <v>4.9791515027605364E-2</v>
      </c>
      <c r="K515" s="11">
        <v>0.27083333333333331</v>
      </c>
      <c r="L515" s="15">
        <v>0.75138888888888888</v>
      </c>
      <c r="M515" s="15">
        <f>Tabela32[[#This Row],[Hr Chegada]]-Tabela32[[#This Row],[Hr Saida]]</f>
        <v>0.48055555555555557</v>
      </c>
      <c r="N515" s="4">
        <v>144677</v>
      </c>
      <c r="O515" s="4">
        <v>144822</v>
      </c>
      <c r="P515" s="4">
        <f>Tabela32[[#This Row],[Km Chegada]]-Tabela32[[#This Row],[Km Saída]]</f>
        <v>145</v>
      </c>
      <c r="Q515" s="4">
        <v>143</v>
      </c>
      <c r="R515" s="4">
        <v>16</v>
      </c>
      <c r="S515" s="4">
        <v>15</v>
      </c>
      <c r="T515" s="12">
        <f>Tabela32[[#This Row],[Entregas]]-Tabela32[[#This Row],[Realizadas]]</f>
        <v>1</v>
      </c>
      <c r="U515" s="18">
        <f>Tabela32[[#This Row],[Realizadas]]/Tabela32[[#This Row],[Entregas]]</f>
        <v>0.9375</v>
      </c>
      <c r="V515" s="19" t="str">
        <f>IF(Tabela32[[#This Row],[% Entrega]]&gt;=96%,"Atendeu a Meta","Não Atendeu a Meta")</f>
        <v>Não Atendeu a Meta</v>
      </c>
      <c r="W515" s="4" t="s">
        <v>41</v>
      </c>
      <c r="X515" s="4">
        <v>1</v>
      </c>
      <c r="Y515" s="5">
        <v>13</v>
      </c>
    </row>
    <row r="516" spans="1:25" x14ac:dyDescent="0.25">
      <c r="A516" s="8">
        <v>46304</v>
      </c>
      <c r="B516" s="16">
        <f>YEAR(Tabela32[[#This Row],[Data]])</f>
        <v>2026</v>
      </c>
      <c r="C516" s="16">
        <f>MONTH(Tabela32[[#This Row],[Data]])</f>
        <v>10</v>
      </c>
      <c r="D516" s="4" t="s">
        <v>31</v>
      </c>
      <c r="E516" s="4">
        <v>2</v>
      </c>
      <c r="F516" s="4" t="str">
        <f>IFERROR(VLOOKUP(Tabela32[[#This Row],[Placa]],Planilha2!$A$1:$B$12,2,0),"")</f>
        <v>Jerson</v>
      </c>
      <c r="G516" s="10">
        <v>12325.53</v>
      </c>
      <c r="H516" s="10">
        <v>176127.26</v>
      </c>
      <c r="I516" s="4">
        <v>3129</v>
      </c>
      <c r="J516" s="17">
        <f>IFERROR(Tabela32[[#This Row],[Valor Frete]]/Tabela32[[#This Row],[Valor Mercadoria]],"")</f>
        <v>6.9980819550590864E-2</v>
      </c>
      <c r="K516" s="11">
        <v>0.27777777777777779</v>
      </c>
      <c r="L516" s="15">
        <v>0.79236111111111107</v>
      </c>
      <c r="M516" s="15">
        <f>Tabela32[[#This Row],[Hr Chegada]]-Tabela32[[#This Row],[Hr Saida]]</f>
        <v>0.51458333333333328</v>
      </c>
      <c r="N516" s="4">
        <v>281964</v>
      </c>
      <c r="O516" s="4">
        <v>282029</v>
      </c>
      <c r="P516" s="4">
        <f>Tabela32[[#This Row],[Km Chegada]]-Tabela32[[#This Row],[Km Saída]]</f>
        <v>65</v>
      </c>
      <c r="Q516" s="4">
        <v>304</v>
      </c>
      <c r="R516" s="4">
        <v>34</v>
      </c>
      <c r="S516" s="4">
        <v>34</v>
      </c>
      <c r="T516" s="12">
        <f>Tabela32[[#This Row],[Entregas]]-Tabela32[[#This Row],[Realizadas]]</f>
        <v>0</v>
      </c>
      <c r="U516" s="18">
        <f>Tabela32[[#This Row],[Realizadas]]/Tabela32[[#This Row],[Entregas]]</f>
        <v>1</v>
      </c>
      <c r="V516" s="19" t="str">
        <f>IF(Tabela32[[#This Row],[% Entrega]]&gt;=96%,"Atendeu a Meta","Não Atendeu a Meta")</f>
        <v>Atendeu a Meta</v>
      </c>
      <c r="W516" s="4" t="s">
        <v>39</v>
      </c>
      <c r="X516" s="4">
        <v>0</v>
      </c>
      <c r="Y516" s="5">
        <v>0</v>
      </c>
    </row>
    <row r="517" spans="1:25" x14ac:dyDescent="0.25">
      <c r="A517" s="8">
        <v>46304</v>
      </c>
      <c r="B517" s="16">
        <f>YEAR(Tabela32[[#This Row],[Data]])</f>
        <v>2026</v>
      </c>
      <c r="C517" s="16">
        <f>MONTH(Tabela32[[#This Row],[Data]])</f>
        <v>10</v>
      </c>
      <c r="D517" s="4" t="s">
        <v>23</v>
      </c>
      <c r="E517" s="4">
        <v>3</v>
      </c>
      <c r="F517" s="4" t="str">
        <f>IFERROR(VLOOKUP(Tabela32[[#This Row],[Placa]],Planilha2!$A$1:$B$12,2,0),"")</f>
        <v>William</v>
      </c>
      <c r="G517" s="10">
        <v>6192.89</v>
      </c>
      <c r="H517" s="10">
        <v>142671.84</v>
      </c>
      <c r="I517" s="4">
        <v>1141</v>
      </c>
      <c r="J517" s="17">
        <f>IFERROR(Tabela32[[#This Row],[Valor Frete]]/Tabela32[[#This Row],[Valor Mercadoria]],"")</f>
        <v>4.3406533482711097E-2</v>
      </c>
      <c r="K517" s="11">
        <v>0.29166666666666669</v>
      </c>
      <c r="L517" s="15">
        <v>0.8041666666666667</v>
      </c>
      <c r="M517" s="15">
        <f>Tabela32[[#This Row],[Hr Chegada]]-Tabela32[[#This Row],[Hr Saida]]</f>
        <v>0.51249999999999996</v>
      </c>
      <c r="N517" s="4">
        <v>126860</v>
      </c>
      <c r="O517" s="4">
        <v>126935</v>
      </c>
      <c r="P517" s="4">
        <f>Tabela32[[#This Row],[Km Chegada]]-Tabela32[[#This Row],[Km Saída]]</f>
        <v>75</v>
      </c>
      <c r="Q517" s="4">
        <v>169</v>
      </c>
      <c r="R517" s="4">
        <v>19</v>
      </c>
      <c r="S517" s="4">
        <v>17</v>
      </c>
      <c r="T517" s="12">
        <f>Tabela32[[#This Row],[Entregas]]-Tabela32[[#This Row],[Realizadas]]</f>
        <v>2</v>
      </c>
      <c r="U517" s="18">
        <f>Tabela32[[#This Row],[Realizadas]]/Tabela32[[#This Row],[Entregas]]</f>
        <v>0.89473684210526316</v>
      </c>
      <c r="V517" s="19" t="str">
        <f>IF(Tabela32[[#This Row],[% Entrega]]&gt;=96%,"Atendeu a Meta","Não Atendeu a Meta")</f>
        <v>Não Atendeu a Meta</v>
      </c>
      <c r="W517" s="4" t="s">
        <v>39</v>
      </c>
      <c r="X517" s="4">
        <v>4</v>
      </c>
      <c r="Y517" s="5" t="s">
        <v>94</v>
      </c>
    </row>
    <row r="518" spans="1:25" x14ac:dyDescent="0.25">
      <c r="A518" s="8">
        <v>46304</v>
      </c>
      <c r="B518" s="16">
        <f>YEAR(Tabela32[[#This Row],[Data]])</f>
        <v>2026</v>
      </c>
      <c r="C518" s="16">
        <f>MONTH(Tabela32[[#This Row],[Data]])</f>
        <v>10</v>
      </c>
      <c r="D518" s="4" t="s">
        <v>22</v>
      </c>
      <c r="E518" s="4">
        <v>5</v>
      </c>
      <c r="F518" s="4" t="str">
        <f>IFERROR(VLOOKUP(Tabela32[[#This Row],[Placa]],Planilha2!$A$1:$B$12,2,0),"")</f>
        <v>Juscelino</v>
      </c>
      <c r="G518" s="10">
        <v>11542.94</v>
      </c>
      <c r="H518" s="10">
        <v>248336.8</v>
      </c>
      <c r="I518" s="4">
        <v>2574</v>
      </c>
      <c r="J518" s="17">
        <f>IFERROR(Tabela32[[#This Row],[Valor Frete]]/Tabela32[[#This Row],[Valor Mercadoria]],"")</f>
        <v>4.6480988721768181E-2</v>
      </c>
      <c r="K518" s="11">
        <v>0.3125</v>
      </c>
      <c r="L518" s="15">
        <v>0.80069444444444449</v>
      </c>
      <c r="M518" s="15">
        <f>Tabela32[[#This Row],[Hr Chegada]]-Tabela32[[#This Row],[Hr Saida]]</f>
        <v>0.48819444444444449</v>
      </c>
      <c r="N518" s="4">
        <v>306160</v>
      </c>
      <c r="O518" s="4">
        <v>306240</v>
      </c>
      <c r="P518" s="4">
        <f>Tabela32[[#This Row],[Km Chegada]]-Tabela32[[#This Row],[Km Saída]]</f>
        <v>80</v>
      </c>
      <c r="Q518" s="4">
        <v>358</v>
      </c>
      <c r="R518" s="4">
        <v>37</v>
      </c>
      <c r="S518" s="4">
        <v>37</v>
      </c>
      <c r="T518" s="12">
        <f>Tabela32[[#This Row],[Entregas]]-Tabela32[[#This Row],[Realizadas]]</f>
        <v>0</v>
      </c>
      <c r="U518" s="18">
        <f>Tabela32[[#This Row],[Realizadas]]/Tabela32[[#This Row],[Entregas]]</f>
        <v>1</v>
      </c>
      <c r="V518" s="19" t="str">
        <f>IF(Tabela32[[#This Row],[% Entrega]]&gt;=96%,"Atendeu a Meta","Não Atendeu a Meta")</f>
        <v>Atendeu a Meta</v>
      </c>
      <c r="W518" s="4" t="s">
        <v>39</v>
      </c>
      <c r="X518" s="4">
        <v>0</v>
      </c>
      <c r="Y518" s="5">
        <v>0</v>
      </c>
    </row>
    <row r="519" spans="1:25" x14ac:dyDescent="0.25">
      <c r="A519" s="8">
        <v>46304</v>
      </c>
      <c r="B519" s="16">
        <f>YEAR(Tabela32[[#This Row],[Data]])</f>
        <v>2026</v>
      </c>
      <c r="C519" s="16">
        <f>MONTH(Tabela32[[#This Row],[Data]])</f>
        <v>10</v>
      </c>
      <c r="D519" s="4" t="s">
        <v>29</v>
      </c>
      <c r="E519" s="4">
        <v>1</v>
      </c>
      <c r="F519" s="4" t="str">
        <f>IFERROR(VLOOKUP(Tabela32[[#This Row],[Placa]],Planilha2!$A$1:$B$12,2,0),"")</f>
        <v>Sandro</v>
      </c>
      <c r="G519" s="10">
        <v>4983.6400000000003</v>
      </c>
      <c r="H519" s="10">
        <v>129842.06</v>
      </c>
      <c r="I519" s="4">
        <v>956</v>
      </c>
      <c r="J519" s="17">
        <f>IFERROR(Tabela32[[#This Row],[Valor Frete]]/Tabela32[[#This Row],[Valor Mercadoria]],"")</f>
        <v>3.8382323878718504E-2</v>
      </c>
      <c r="K519" s="11">
        <v>0.29166666666666669</v>
      </c>
      <c r="L519" s="15">
        <v>0.72222222222222221</v>
      </c>
      <c r="M519" s="15">
        <f>Tabela32[[#This Row],[Hr Chegada]]-Tabela32[[#This Row],[Hr Saida]]</f>
        <v>0.43055555555555552</v>
      </c>
      <c r="N519" s="4">
        <v>276851</v>
      </c>
      <c r="O519" s="4">
        <v>276917</v>
      </c>
      <c r="P519" s="4">
        <f>Tabela32[[#This Row],[Km Chegada]]-Tabela32[[#This Row],[Km Saída]]</f>
        <v>66</v>
      </c>
      <c r="Q519" s="4">
        <v>166</v>
      </c>
      <c r="R519" s="4">
        <v>6</v>
      </c>
      <c r="S519" s="4">
        <v>6</v>
      </c>
      <c r="T519" s="12">
        <f>Tabela32[[#This Row],[Entregas]]-Tabela32[[#This Row],[Realizadas]]</f>
        <v>0</v>
      </c>
      <c r="U519" s="18">
        <f>Tabela32[[#This Row],[Realizadas]]/Tabela32[[#This Row],[Entregas]]</f>
        <v>1</v>
      </c>
      <c r="V519" s="19" t="str">
        <f>IF(Tabela32[[#This Row],[% Entrega]]&gt;=96%,"Atendeu a Meta","Não Atendeu a Meta")</f>
        <v>Atendeu a Meta</v>
      </c>
      <c r="W519" s="4" t="s">
        <v>43</v>
      </c>
      <c r="X519" s="4">
        <v>0</v>
      </c>
      <c r="Y519" s="5">
        <v>38.380000000000003</v>
      </c>
    </row>
    <row r="520" spans="1:25" x14ac:dyDescent="0.25">
      <c r="A520" s="8">
        <v>46304</v>
      </c>
      <c r="B520" s="16">
        <f>YEAR(Tabela32[[#This Row],[Data]])</f>
        <v>2026</v>
      </c>
      <c r="C520" s="16">
        <f>MONTH(Tabela32[[#This Row],[Data]])</f>
        <v>10</v>
      </c>
      <c r="D520" s="4" t="s">
        <v>25</v>
      </c>
      <c r="E520" s="4">
        <v>1</v>
      </c>
      <c r="F520" s="4" t="str">
        <f>IFERROR(VLOOKUP(Tabela32[[#This Row],[Placa]],Planilha2!$A$1:$B$12,2,0),"")</f>
        <v>Gilberto</v>
      </c>
      <c r="G520" s="10">
        <v>6869.81</v>
      </c>
      <c r="H520" s="10">
        <v>158166.76</v>
      </c>
      <c r="I520" s="4">
        <v>3125</v>
      </c>
      <c r="J520" s="17">
        <f>IFERROR(Tabela32[[#This Row],[Valor Frete]]/Tabela32[[#This Row],[Valor Mercadoria]],"")</f>
        <v>4.3433968047395043E-2</v>
      </c>
      <c r="K520" s="11">
        <v>0.3125</v>
      </c>
      <c r="L520" s="15">
        <v>0.70416666666666672</v>
      </c>
      <c r="M520" s="15">
        <f>Tabela32[[#This Row],[Hr Chegada]]-Tabela32[[#This Row],[Hr Saida]]</f>
        <v>0.39166666666666672</v>
      </c>
      <c r="N520" s="4">
        <v>120909</v>
      </c>
      <c r="O520" s="4">
        <v>120939</v>
      </c>
      <c r="P520" s="4">
        <f>Tabela32[[#This Row],[Km Chegada]]-Tabela32[[#This Row],[Km Saída]]</f>
        <v>30</v>
      </c>
      <c r="Q520" s="4">
        <v>967</v>
      </c>
      <c r="R520" s="4">
        <v>8</v>
      </c>
      <c r="S520" s="4">
        <v>8</v>
      </c>
      <c r="T520" s="12">
        <f>Tabela32[[#This Row],[Entregas]]-Tabela32[[#This Row],[Realizadas]]</f>
        <v>0</v>
      </c>
      <c r="U520" s="18">
        <f>Tabela32[[#This Row],[Realizadas]]/Tabela32[[#This Row],[Entregas]]</f>
        <v>1</v>
      </c>
      <c r="V520" s="19" t="str">
        <f>IF(Tabela32[[#This Row],[% Entrega]]&gt;=96%,"Atendeu a Meta","Não Atendeu a Meta")</f>
        <v>Atendeu a Meta</v>
      </c>
      <c r="W520" s="4" t="s">
        <v>43</v>
      </c>
      <c r="X520" s="4">
        <v>0</v>
      </c>
      <c r="Y520" s="5">
        <v>0</v>
      </c>
    </row>
    <row r="521" spans="1:25" x14ac:dyDescent="0.25">
      <c r="A521" s="8">
        <v>46304</v>
      </c>
      <c r="B521" s="16">
        <f>YEAR(Tabela32[[#This Row],[Data]])</f>
        <v>2026</v>
      </c>
      <c r="C521" s="16">
        <f>MONTH(Tabela32[[#This Row],[Data]])</f>
        <v>10</v>
      </c>
      <c r="D521" s="4" t="s">
        <v>33</v>
      </c>
      <c r="E521" s="4">
        <v>1</v>
      </c>
      <c r="F521" s="4" t="str">
        <f>IFERROR(VLOOKUP(Tabela32[[#This Row],[Placa]],Planilha2!$A$1:$B$12,2,0),"")</f>
        <v>Paulo</v>
      </c>
      <c r="G521" s="10">
        <v>2841.14</v>
      </c>
      <c r="H521" s="10">
        <v>25089.89</v>
      </c>
      <c r="I521" s="4">
        <v>164</v>
      </c>
      <c r="J521" s="17">
        <f>IFERROR(Tabela32[[#This Row],[Valor Frete]]/Tabela32[[#This Row],[Valor Mercadoria]],"")</f>
        <v>0.11323843986561918</v>
      </c>
      <c r="K521" s="11">
        <v>0.29166666666666669</v>
      </c>
      <c r="L521" s="15">
        <v>0.67500000000000004</v>
      </c>
      <c r="M521" s="15">
        <f>Tabela32[[#This Row],[Hr Chegada]]-Tabela32[[#This Row],[Hr Saida]]</f>
        <v>0.38333333333333336</v>
      </c>
      <c r="N521" s="4">
        <v>157003</v>
      </c>
      <c r="O521" s="4">
        <v>157065</v>
      </c>
      <c r="P521" s="4">
        <f>Tabela32[[#This Row],[Km Chegada]]-Tabela32[[#This Row],[Km Saída]]</f>
        <v>62</v>
      </c>
      <c r="Q521" s="4">
        <v>30</v>
      </c>
      <c r="R521" s="4">
        <v>3</v>
      </c>
      <c r="S521" s="4">
        <v>3</v>
      </c>
      <c r="T521" s="12">
        <f>Tabela32[[#This Row],[Entregas]]-Tabela32[[#This Row],[Realizadas]]</f>
        <v>0</v>
      </c>
      <c r="U521" s="18">
        <f>Tabela32[[#This Row],[Realizadas]]/Tabela32[[#This Row],[Entregas]]</f>
        <v>1</v>
      </c>
      <c r="V521" s="19" t="str">
        <f>IF(Tabela32[[#This Row],[% Entrega]]&gt;=96%,"Atendeu a Meta","Não Atendeu a Meta")</f>
        <v>Atendeu a Meta</v>
      </c>
      <c r="W521" s="4" t="s">
        <v>40</v>
      </c>
      <c r="X521" s="4">
        <v>0</v>
      </c>
      <c r="Y521" s="5">
        <v>0</v>
      </c>
    </row>
    <row r="522" spans="1:25" x14ac:dyDescent="0.25">
      <c r="A522" s="8">
        <v>46305</v>
      </c>
      <c r="B522" s="16">
        <f>YEAR(Tabela32[[#This Row],[Data]])</f>
        <v>2026</v>
      </c>
      <c r="C522" s="16">
        <f>MONTH(Tabela32[[#This Row],[Data]])</f>
        <v>10</v>
      </c>
      <c r="D522" s="4" t="s">
        <v>33</v>
      </c>
      <c r="E522" s="4">
        <v>1</v>
      </c>
      <c r="F522" s="4" t="str">
        <f>IFERROR(VLOOKUP(Tabela32[[#This Row],[Placa]],Planilha2!$A$1:$B$12,2,0),"")</f>
        <v>Paulo</v>
      </c>
      <c r="G522" s="10">
        <v>2473.9499999999998</v>
      </c>
      <c r="H522" s="10">
        <v>29026.86</v>
      </c>
      <c r="I522" s="4">
        <v>208</v>
      </c>
      <c r="J522" s="17">
        <f>IFERROR(Tabela32[[#This Row],[Valor Frete]]/Tabela32[[#This Row],[Valor Mercadoria]],"")</f>
        <v>8.5229680371903802E-2</v>
      </c>
      <c r="K522" s="11">
        <v>0.33333333333333331</v>
      </c>
      <c r="L522" s="15">
        <v>0.5</v>
      </c>
      <c r="M522" s="15">
        <f>Tabela32[[#This Row],[Hr Chegada]]-Tabela32[[#This Row],[Hr Saida]]</f>
        <v>0.16666666666666669</v>
      </c>
      <c r="N522" s="4">
        <v>157065</v>
      </c>
      <c r="O522" s="4">
        <v>157101</v>
      </c>
      <c r="P522" s="4">
        <f>Tabela32[[#This Row],[Km Chegada]]-Tabela32[[#This Row],[Km Saída]]</f>
        <v>36</v>
      </c>
      <c r="Q522" s="4">
        <v>23</v>
      </c>
      <c r="R522" s="4">
        <v>13</v>
      </c>
      <c r="S522" s="4">
        <v>13</v>
      </c>
      <c r="T522" s="12">
        <f>Tabela32[[#This Row],[Entregas]]-Tabela32[[#This Row],[Realizadas]]</f>
        <v>0</v>
      </c>
      <c r="U522" s="18">
        <f>Tabela32[[#This Row],[Realizadas]]/Tabela32[[#This Row],[Entregas]]</f>
        <v>1</v>
      </c>
      <c r="V522" s="19" t="str">
        <f>IF(Tabela32[[#This Row],[% Entrega]]&gt;=96%,"Atendeu a Meta","Não Atendeu a Meta")</f>
        <v>Atendeu a Meta</v>
      </c>
      <c r="W522" s="4" t="s">
        <v>43</v>
      </c>
      <c r="X522" s="4">
        <v>0</v>
      </c>
      <c r="Y522" s="5">
        <v>0</v>
      </c>
    </row>
    <row r="523" spans="1:25" x14ac:dyDescent="0.25">
      <c r="A523" s="8">
        <v>46308</v>
      </c>
      <c r="B523" s="16">
        <f>YEAR(Tabela32[[#This Row],[Data]])</f>
        <v>2026</v>
      </c>
      <c r="C523" s="16">
        <f>MONTH(Tabela32[[#This Row],[Data]])</f>
        <v>10</v>
      </c>
      <c r="D523" s="4" t="s">
        <v>33</v>
      </c>
      <c r="E523" s="4">
        <v>1</v>
      </c>
      <c r="F523" s="4" t="str">
        <f>IFERROR(VLOOKUP(Tabela32[[#This Row],[Placa]],Planilha2!$A$1:$B$12,2,0),"")</f>
        <v>Paulo</v>
      </c>
      <c r="G523" s="10">
        <v>3617.26</v>
      </c>
      <c r="H523" s="10">
        <v>114238.16</v>
      </c>
      <c r="I523" s="4">
        <v>995</v>
      </c>
      <c r="J523" s="17">
        <f>IFERROR(Tabela32[[#This Row],[Valor Frete]]/Tabela32[[#This Row],[Valor Mercadoria]],"")</f>
        <v>3.1664200473817156E-2</v>
      </c>
      <c r="K523" s="11">
        <v>0.33333333333333331</v>
      </c>
      <c r="L523" s="15">
        <v>0.80138888888888893</v>
      </c>
      <c r="M523" s="15">
        <f>Tabela32[[#This Row],[Hr Chegada]]-Tabela32[[#This Row],[Hr Saida]]</f>
        <v>0.46805555555555561</v>
      </c>
      <c r="N523" s="4">
        <v>157124</v>
      </c>
      <c r="O523" s="4">
        <v>157213</v>
      </c>
      <c r="P523" s="4">
        <f>Tabela32[[#This Row],[Km Chegada]]-Tabela32[[#This Row],[Km Saída]]</f>
        <v>89</v>
      </c>
      <c r="Q523" s="4">
        <v>128</v>
      </c>
      <c r="R523" s="4">
        <v>10</v>
      </c>
      <c r="S523" s="4">
        <v>10</v>
      </c>
      <c r="T523" s="12">
        <f>Tabela32[[#This Row],[Entregas]]-Tabela32[[#This Row],[Realizadas]]</f>
        <v>0</v>
      </c>
      <c r="U523" s="18">
        <f>Tabela32[[#This Row],[Realizadas]]/Tabela32[[#This Row],[Entregas]]</f>
        <v>1</v>
      </c>
      <c r="V523" s="19" t="str">
        <f>IF(Tabela32[[#This Row],[% Entrega]]&gt;=96%,"Atendeu a Meta","Não Atendeu a Meta")</f>
        <v>Atendeu a Meta</v>
      </c>
      <c r="W523" s="4" t="s">
        <v>43</v>
      </c>
      <c r="X523" s="4">
        <v>0</v>
      </c>
      <c r="Y523" s="5">
        <v>0</v>
      </c>
    </row>
    <row r="524" spans="1:25" x14ac:dyDescent="0.25">
      <c r="A524" s="8">
        <v>46308</v>
      </c>
      <c r="B524" s="16">
        <f>YEAR(Tabela32[[#This Row],[Data]])</f>
        <v>2026</v>
      </c>
      <c r="C524" s="16">
        <f>MONTH(Tabela32[[#This Row],[Data]])</f>
        <v>10</v>
      </c>
      <c r="D524" s="4" t="s">
        <v>35</v>
      </c>
      <c r="E524" s="4">
        <v>2</v>
      </c>
      <c r="F524" s="4" t="str">
        <f>IFERROR(VLOOKUP(Tabela32[[#This Row],[Placa]],Planilha2!$A$1:$B$12,2,0),"")</f>
        <v>Osvaldo</v>
      </c>
      <c r="G524" s="10">
        <v>13755.73</v>
      </c>
      <c r="H524" s="10">
        <v>261029.64</v>
      </c>
      <c r="I524" s="4">
        <v>2586</v>
      </c>
      <c r="J524" s="17">
        <f>IFERROR(Tabela32[[#This Row],[Valor Frete]]/Tabela32[[#This Row],[Valor Mercadoria]],"")</f>
        <v>5.2697961810007472E-2</v>
      </c>
      <c r="K524" s="11">
        <v>0.27083333333333331</v>
      </c>
      <c r="L524" s="15">
        <v>0.74097222222222225</v>
      </c>
      <c r="M524" s="15">
        <f>Tabela32[[#This Row],[Hr Chegada]]-Tabela32[[#This Row],[Hr Saida]]</f>
        <v>0.47013888888888894</v>
      </c>
      <c r="N524" s="4">
        <v>144822</v>
      </c>
      <c r="O524" s="4">
        <v>144874</v>
      </c>
      <c r="P524" s="4">
        <f>Tabela32[[#This Row],[Km Chegada]]-Tabela32[[#This Row],[Km Saída]]</f>
        <v>52</v>
      </c>
      <c r="Q524" s="4">
        <v>359</v>
      </c>
      <c r="R524" s="4">
        <v>38</v>
      </c>
      <c r="S524" s="4">
        <v>28</v>
      </c>
      <c r="T524" s="12">
        <f>Tabela32[[#This Row],[Entregas]]-Tabela32[[#This Row],[Realizadas]]</f>
        <v>10</v>
      </c>
      <c r="U524" s="18">
        <f>Tabela32[[#This Row],[Realizadas]]/Tabela32[[#This Row],[Entregas]]</f>
        <v>0.73684210526315785</v>
      </c>
      <c r="V524" s="19" t="str">
        <f>IF(Tabela32[[#This Row],[% Entrega]]&gt;=96%,"Atendeu a Meta","Não Atendeu a Meta")</f>
        <v>Não Atendeu a Meta</v>
      </c>
      <c r="W524" s="4" t="s">
        <v>39</v>
      </c>
      <c r="X524" s="4">
        <v>10</v>
      </c>
      <c r="Y524" s="5" t="s">
        <v>95</v>
      </c>
    </row>
    <row r="525" spans="1:25" x14ac:dyDescent="0.25">
      <c r="A525" s="8">
        <v>46308</v>
      </c>
      <c r="B525" s="16">
        <f>YEAR(Tabela32[[#This Row],[Data]])</f>
        <v>2026</v>
      </c>
      <c r="C525" s="16">
        <f>MONTH(Tabela32[[#This Row],[Data]])</f>
        <v>10</v>
      </c>
      <c r="D525" s="4" t="s">
        <v>96</v>
      </c>
      <c r="E525" s="4">
        <v>1</v>
      </c>
      <c r="F525" s="4" t="str">
        <f>IFERROR(VLOOKUP(Tabela32[[#This Row],[Placa]],Planilha2!$A$1:$B$12,2,0),"")</f>
        <v>Manoel</v>
      </c>
      <c r="G525" s="10">
        <v>303.91000000000003</v>
      </c>
      <c r="H525" s="10">
        <v>3447.53</v>
      </c>
      <c r="I525" s="4">
        <v>55</v>
      </c>
      <c r="J525" s="17">
        <f>IFERROR(Tabela32[[#This Row],[Valor Frete]]/Tabela32[[#This Row],[Valor Mercadoria]],"")</f>
        <v>8.8152967486867406E-2</v>
      </c>
      <c r="K525" s="11">
        <v>0.3125</v>
      </c>
      <c r="L525" s="15">
        <v>0.5</v>
      </c>
      <c r="M525" s="15">
        <f>Tabela32[[#This Row],[Hr Chegada]]-Tabela32[[#This Row],[Hr Saida]]</f>
        <v>0.1875</v>
      </c>
      <c r="N525" s="4">
        <v>63919</v>
      </c>
      <c r="O525" s="4">
        <v>63949</v>
      </c>
      <c r="P525" s="4">
        <f>Tabela32[[#This Row],[Km Chegada]]-Tabela32[[#This Row],[Km Saída]]</f>
        <v>30</v>
      </c>
      <c r="Q525" s="4">
        <v>6</v>
      </c>
      <c r="R525" s="4">
        <v>1</v>
      </c>
      <c r="S525" s="4">
        <v>1</v>
      </c>
      <c r="T525" s="12">
        <f>Tabela32[[#This Row],[Entregas]]-Tabela32[[#This Row],[Realizadas]]</f>
        <v>0</v>
      </c>
      <c r="U525" s="18">
        <f>Tabela32[[#This Row],[Realizadas]]/Tabela32[[#This Row],[Entregas]]</f>
        <v>1</v>
      </c>
      <c r="V525" s="19" t="str">
        <f>IF(Tabela32[[#This Row],[% Entrega]]&gt;=96%,"Atendeu a Meta","Não Atendeu a Meta")</f>
        <v>Atendeu a Meta</v>
      </c>
      <c r="W525" s="4" t="s">
        <v>43</v>
      </c>
      <c r="X525" s="4">
        <v>0</v>
      </c>
      <c r="Y525" s="5">
        <v>0</v>
      </c>
    </row>
    <row r="526" spans="1:25" x14ac:dyDescent="0.25">
      <c r="A526" s="8">
        <v>46308</v>
      </c>
      <c r="B526" s="16">
        <f>YEAR(Tabela32[[#This Row],[Data]])</f>
        <v>2026</v>
      </c>
      <c r="C526" s="16">
        <f>MONTH(Tabela32[[#This Row],[Data]])</f>
        <v>10</v>
      </c>
      <c r="D526" s="4" t="s">
        <v>28</v>
      </c>
      <c r="E526" s="4">
        <v>11</v>
      </c>
      <c r="F526" s="4" t="str">
        <f>IFERROR(VLOOKUP(Tabela32[[#This Row],[Placa]],Planilha2!$A$1:$B$12,2,0),"")</f>
        <v>Edilson</v>
      </c>
      <c r="G526" s="10">
        <v>18965.39</v>
      </c>
      <c r="H526" s="10">
        <v>491416.8</v>
      </c>
      <c r="I526" s="4">
        <v>2888</v>
      </c>
      <c r="J526" s="17">
        <f>IFERROR(Tabela32[[#This Row],[Valor Frete]]/Tabela32[[#This Row],[Valor Mercadoria]],"")</f>
        <v>3.8593287815963967E-2</v>
      </c>
      <c r="K526" s="11">
        <v>0.27083333333333331</v>
      </c>
      <c r="L526" s="15">
        <v>0.78333333333333333</v>
      </c>
      <c r="M526" s="15">
        <f>Tabela32[[#This Row],[Hr Chegada]]-Tabela32[[#This Row],[Hr Saida]]</f>
        <v>0.51249999999999996</v>
      </c>
      <c r="N526" s="4">
        <v>107056</v>
      </c>
      <c r="O526" s="4">
        <v>107222</v>
      </c>
      <c r="P526" s="4">
        <f>Tabela32[[#This Row],[Km Chegada]]-Tabela32[[#This Row],[Km Saída]]</f>
        <v>166</v>
      </c>
      <c r="Q526" s="4">
        <v>230</v>
      </c>
      <c r="R526" s="4">
        <v>24</v>
      </c>
      <c r="S526" s="4">
        <v>24</v>
      </c>
      <c r="T526" s="12">
        <f>Tabela32[[#This Row],[Entregas]]-Tabela32[[#This Row],[Realizadas]]</f>
        <v>0</v>
      </c>
      <c r="U526" s="18">
        <f>Tabela32[[#This Row],[Realizadas]]/Tabela32[[#This Row],[Entregas]]</f>
        <v>1</v>
      </c>
      <c r="V526" s="19" t="str">
        <f>IF(Tabela32[[#This Row],[% Entrega]]&gt;=96%,"Atendeu a Meta","Não Atendeu a Meta")</f>
        <v>Atendeu a Meta</v>
      </c>
      <c r="W526" s="4" t="s">
        <v>41</v>
      </c>
      <c r="X526" s="4">
        <v>2</v>
      </c>
      <c r="Y526" s="5" t="s">
        <v>97</v>
      </c>
    </row>
    <row r="527" spans="1:25" x14ac:dyDescent="0.25">
      <c r="A527" s="8">
        <v>46308</v>
      </c>
      <c r="B527" s="16">
        <f>YEAR(Tabela32[[#This Row],[Data]])</f>
        <v>2026</v>
      </c>
      <c r="C527" s="16">
        <f>MONTH(Tabela32[[#This Row],[Data]])</f>
        <v>10</v>
      </c>
      <c r="D527" s="4" t="s">
        <v>23</v>
      </c>
      <c r="E527" s="4">
        <v>5</v>
      </c>
      <c r="F527" s="4" t="str">
        <f>IFERROR(VLOOKUP(Tabela32[[#This Row],[Placa]],Planilha2!$A$1:$B$12,2,0),"")</f>
        <v>William</v>
      </c>
      <c r="G527" s="10">
        <v>9205</v>
      </c>
      <c r="H527" s="10">
        <v>119510.17</v>
      </c>
      <c r="I527" s="4">
        <v>918</v>
      </c>
      <c r="J527" s="17">
        <f>IFERROR(Tabela32[[#This Row],[Valor Frete]]/Tabela32[[#This Row],[Valor Mercadoria]],"")</f>
        <v>7.7022733713791897E-2</v>
      </c>
      <c r="K527" s="11">
        <v>0.29166666666666669</v>
      </c>
      <c r="L527" s="15">
        <v>0.70138888888888884</v>
      </c>
      <c r="M527" s="15">
        <f>Tabela32[[#This Row],[Hr Chegada]]-Tabela32[[#This Row],[Hr Saida]]</f>
        <v>0.40972222222222215</v>
      </c>
      <c r="N527" s="4">
        <v>126935</v>
      </c>
      <c r="O527" s="4">
        <v>127015</v>
      </c>
      <c r="P527" s="4">
        <f>Tabela32[[#This Row],[Km Chegada]]-Tabela32[[#This Row],[Km Saída]]</f>
        <v>80</v>
      </c>
      <c r="Q527" s="4">
        <v>119</v>
      </c>
      <c r="R527" s="4">
        <v>24</v>
      </c>
      <c r="S527" s="4">
        <v>23</v>
      </c>
      <c r="T527" s="12">
        <f>Tabela32[[#This Row],[Entregas]]-Tabela32[[#This Row],[Realizadas]]</f>
        <v>1</v>
      </c>
      <c r="U527" s="18">
        <f>Tabela32[[#This Row],[Realizadas]]/Tabela32[[#This Row],[Entregas]]</f>
        <v>0.95833333333333337</v>
      </c>
      <c r="V527" s="19" t="str">
        <f>IF(Tabela32[[#This Row],[% Entrega]]&gt;=96%,"Atendeu a Meta","Não Atendeu a Meta")</f>
        <v>Não Atendeu a Meta</v>
      </c>
      <c r="W527" s="4" t="s">
        <v>39</v>
      </c>
      <c r="X527" s="4">
        <v>1</v>
      </c>
      <c r="Y527" s="5">
        <v>13</v>
      </c>
    </row>
    <row r="528" spans="1:25" x14ac:dyDescent="0.25">
      <c r="A528" s="8">
        <v>46308</v>
      </c>
      <c r="B528" s="16">
        <f>YEAR(Tabela32[[#This Row],[Data]])</f>
        <v>2026</v>
      </c>
      <c r="C528" s="16">
        <f>MONTH(Tabela32[[#This Row],[Data]])</f>
        <v>10</v>
      </c>
      <c r="D528" s="4" t="s">
        <v>27</v>
      </c>
      <c r="E528" s="4">
        <v>1</v>
      </c>
      <c r="F528" s="4" t="str">
        <f>IFERROR(VLOOKUP(Tabela32[[#This Row],[Placa]],Planilha2!$A$1:$B$12,2,0),"")</f>
        <v>Rosinaldo</v>
      </c>
      <c r="G528" s="10">
        <v>3047.73</v>
      </c>
      <c r="H528" s="10">
        <v>50931.76</v>
      </c>
      <c r="I528" s="4">
        <v>1047</v>
      </c>
      <c r="J528" s="17">
        <f>IFERROR(Tabela32[[#This Row],[Valor Frete]]/Tabela32[[#This Row],[Valor Mercadoria]],"")</f>
        <v>5.9839479334701962E-2</v>
      </c>
      <c r="K528" s="11">
        <v>0.29166666666666669</v>
      </c>
      <c r="L528" s="15">
        <v>0.70833333333333337</v>
      </c>
      <c r="M528" s="15">
        <f>Tabela32[[#This Row],[Hr Chegada]]-Tabela32[[#This Row],[Hr Saida]]</f>
        <v>0.41666666666666669</v>
      </c>
      <c r="N528" s="4">
        <v>292517</v>
      </c>
      <c r="O528" s="4">
        <v>292552</v>
      </c>
      <c r="P528" s="4">
        <f>Tabela32[[#This Row],[Km Chegada]]-Tabela32[[#This Row],[Km Saída]]</f>
        <v>35</v>
      </c>
      <c r="Q528" s="4">
        <v>97</v>
      </c>
      <c r="R528" s="4">
        <v>4</v>
      </c>
      <c r="S528" s="4">
        <v>4</v>
      </c>
      <c r="T528" s="12">
        <f>Tabela32[[#This Row],[Entregas]]-Tabela32[[#This Row],[Realizadas]]</f>
        <v>0</v>
      </c>
      <c r="U528" s="18">
        <f>Tabela32[[#This Row],[Realizadas]]/Tabela32[[#This Row],[Entregas]]</f>
        <v>1</v>
      </c>
      <c r="V528" s="19" t="str">
        <f>IF(Tabela32[[#This Row],[% Entrega]]&gt;=96%,"Atendeu a Meta","Não Atendeu a Meta")</f>
        <v>Atendeu a Meta</v>
      </c>
      <c r="W528" s="4" t="s">
        <v>43</v>
      </c>
      <c r="X528" s="4">
        <v>0</v>
      </c>
      <c r="Y528" s="5">
        <v>0</v>
      </c>
    </row>
    <row r="529" spans="1:25" x14ac:dyDescent="0.25">
      <c r="A529" s="8">
        <v>46308</v>
      </c>
      <c r="B529" s="16">
        <f>YEAR(Tabela32[[#This Row],[Data]])</f>
        <v>2026</v>
      </c>
      <c r="C529" s="16">
        <f>MONTH(Tabela32[[#This Row],[Data]])</f>
        <v>10</v>
      </c>
      <c r="D529" s="4" t="s">
        <v>31</v>
      </c>
      <c r="E529" s="4">
        <v>3</v>
      </c>
      <c r="F529" s="4" t="str">
        <f>IFERROR(VLOOKUP(Tabela32[[#This Row],[Placa]],Planilha2!$A$1:$B$12,2,0),"")</f>
        <v>Jerson</v>
      </c>
      <c r="G529" s="10">
        <v>9400.43</v>
      </c>
      <c r="H529" s="10">
        <v>191038.47</v>
      </c>
      <c r="I529" s="4">
        <v>1711</v>
      </c>
      <c r="J529" s="17">
        <f>IFERROR(Tabela32[[#This Row],[Valor Frete]]/Tabela32[[#This Row],[Valor Mercadoria]],"")</f>
        <v>4.9207000035123814E-2</v>
      </c>
      <c r="K529" s="11">
        <v>0.33333333333333331</v>
      </c>
      <c r="L529" s="15">
        <v>0.79513888888888884</v>
      </c>
      <c r="M529" s="15">
        <f>Tabela32[[#This Row],[Hr Chegada]]-Tabela32[[#This Row],[Hr Saida]]</f>
        <v>0.46180555555555552</v>
      </c>
      <c r="N529" s="4">
        <v>282030</v>
      </c>
      <c r="O529" s="4">
        <v>282098</v>
      </c>
      <c r="P529" s="4">
        <f>Tabela32[[#This Row],[Km Chegada]]-Tabela32[[#This Row],[Km Saída]]</f>
        <v>68</v>
      </c>
      <c r="Q529" s="4">
        <v>257</v>
      </c>
      <c r="R529" s="4">
        <v>22</v>
      </c>
      <c r="S529" s="4">
        <v>15</v>
      </c>
      <c r="T529" s="12">
        <f>Tabela32[[#This Row],[Entregas]]-Tabela32[[#This Row],[Realizadas]]</f>
        <v>7</v>
      </c>
      <c r="U529" s="18">
        <f>Tabela32[[#This Row],[Realizadas]]/Tabela32[[#This Row],[Entregas]]</f>
        <v>0.68181818181818177</v>
      </c>
      <c r="V529" s="19" t="str">
        <f>IF(Tabela32[[#This Row],[% Entrega]]&gt;=96%,"Atendeu a Meta","Não Atendeu a Meta")</f>
        <v>Não Atendeu a Meta</v>
      </c>
      <c r="W529" s="4" t="s">
        <v>39</v>
      </c>
      <c r="X529" s="4">
        <v>8</v>
      </c>
      <c r="Y529" s="5" t="s">
        <v>98</v>
      </c>
    </row>
    <row r="530" spans="1:25" x14ac:dyDescent="0.25">
      <c r="A530" s="8">
        <v>46308</v>
      </c>
      <c r="B530" s="16">
        <f>YEAR(Tabela32[[#This Row],[Data]])</f>
        <v>2026</v>
      </c>
      <c r="C530" s="16">
        <f>MONTH(Tabela32[[#This Row],[Data]])</f>
        <v>10</v>
      </c>
      <c r="D530" s="4" t="s">
        <v>22</v>
      </c>
      <c r="E530" s="4">
        <v>1</v>
      </c>
      <c r="F530" s="4" t="str">
        <f>IFERROR(VLOOKUP(Tabela32[[#This Row],[Placa]],Planilha2!$A$1:$B$12,2,0),"")</f>
        <v>Juscelino</v>
      </c>
      <c r="G530" s="10">
        <v>7143.37</v>
      </c>
      <c r="H530" s="10">
        <v>170266.68</v>
      </c>
      <c r="I530" s="4">
        <v>2088</v>
      </c>
      <c r="J530" s="17">
        <f>IFERROR(Tabela32[[#This Row],[Valor Frete]]/Tabela32[[#This Row],[Valor Mercadoria]],"")</f>
        <v>4.1954010027093966E-2</v>
      </c>
      <c r="K530" s="11">
        <v>0.3125</v>
      </c>
      <c r="L530" s="15">
        <v>0.87013888888888891</v>
      </c>
      <c r="M530" s="15">
        <f>Tabela32[[#This Row],[Hr Chegada]]-Tabela32[[#This Row],[Hr Saida]]</f>
        <v>0.55763888888888891</v>
      </c>
      <c r="N530" s="4">
        <v>306252</v>
      </c>
      <c r="O530" s="4">
        <v>306371</v>
      </c>
      <c r="P530" s="4">
        <f>Tabela32[[#This Row],[Km Chegada]]-Tabela32[[#This Row],[Km Saída]]</f>
        <v>119</v>
      </c>
      <c r="Q530" s="4">
        <v>131</v>
      </c>
      <c r="R530" s="4">
        <v>20</v>
      </c>
      <c r="S530" s="4">
        <v>14</v>
      </c>
      <c r="T530" s="12">
        <f>Tabela32[[#This Row],[Entregas]]-Tabela32[[#This Row],[Realizadas]]</f>
        <v>6</v>
      </c>
      <c r="U530" s="18">
        <f>Tabela32[[#This Row],[Realizadas]]/Tabela32[[#This Row],[Entregas]]</f>
        <v>0.7</v>
      </c>
      <c r="V530" s="19" t="str">
        <f>IF(Tabela32[[#This Row],[% Entrega]]&gt;=96%,"Atendeu a Meta","Não Atendeu a Meta")</f>
        <v>Não Atendeu a Meta</v>
      </c>
      <c r="W530" s="4" t="s">
        <v>43</v>
      </c>
      <c r="X530" s="4">
        <v>6</v>
      </c>
      <c r="Y530" s="5" t="s">
        <v>99</v>
      </c>
    </row>
    <row r="531" spans="1:25" x14ac:dyDescent="0.25">
      <c r="A531" s="8">
        <v>46308</v>
      </c>
      <c r="B531" s="16">
        <f>YEAR(Tabela32[[#This Row],[Data]])</f>
        <v>2026</v>
      </c>
      <c r="C531" s="16">
        <f>MONTH(Tabela32[[#This Row],[Data]])</f>
        <v>10</v>
      </c>
      <c r="D531" s="4" t="s">
        <v>25</v>
      </c>
      <c r="E531" s="4">
        <v>4</v>
      </c>
      <c r="F531" s="4" t="str">
        <f>IFERROR(VLOOKUP(Tabela32[[#This Row],[Placa]],Planilha2!$A$1:$B$12,2,0),"")</f>
        <v>Gilberto</v>
      </c>
      <c r="G531" s="10">
        <v>1999.41</v>
      </c>
      <c r="H531" s="10">
        <v>47673.84</v>
      </c>
      <c r="I531" s="4">
        <v>775</v>
      </c>
      <c r="J531" s="17">
        <f>IFERROR(Tabela32[[#This Row],[Valor Frete]]/Tabela32[[#This Row],[Valor Mercadoria]],"")</f>
        <v>4.1939352902975728E-2</v>
      </c>
      <c r="K531" s="11">
        <v>0.3125</v>
      </c>
      <c r="L531" s="15">
        <v>0.75694444444444442</v>
      </c>
      <c r="M531" s="15">
        <f>Tabela32[[#This Row],[Hr Chegada]]-Tabela32[[#This Row],[Hr Saida]]</f>
        <v>0.44444444444444442</v>
      </c>
      <c r="N531" s="4">
        <v>120940</v>
      </c>
      <c r="O531" s="4">
        <v>120995</v>
      </c>
      <c r="P531" s="4">
        <f>Tabela32[[#This Row],[Km Chegada]]-Tabela32[[#This Row],[Km Saída]]</f>
        <v>55</v>
      </c>
      <c r="Q531" s="4">
        <v>175</v>
      </c>
      <c r="R531" s="4">
        <v>10</v>
      </c>
      <c r="S531" s="4">
        <v>10</v>
      </c>
      <c r="T531" s="12">
        <f>Tabela32[[#This Row],[Entregas]]-Tabela32[[#This Row],[Realizadas]]</f>
        <v>0</v>
      </c>
      <c r="U531" s="18">
        <f>Tabela32[[#This Row],[Realizadas]]/Tabela32[[#This Row],[Entregas]]</f>
        <v>1</v>
      </c>
      <c r="V531" s="19" t="str">
        <f>IF(Tabela32[[#This Row],[% Entrega]]&gt;=96%,"Atendeu a Meta","Não Atendeu a Meta")</f>
        <v>Atendeu a Meta</v>
      </c>
      <c r="W531" s="4" t="s">
        <v>39</v>
      </c>
      <c r="X531" s="4">
        <v>0</v>
      </c>
      <c r="Y531" s="5">
        <v>0</v>
      </c>
    </row>
    <row r="532" spans="1:25" x14ac:dyDescent="0.25">
      <c r="A532" s="8">
        <v>46308</v>
      </c>
      <c r="B532" s="16">
        <f>YEAR(Tabela32[[#This Row],[Data]])</f>
        <v>2026</v>
      </c>
      <c r="C532" s="16">
        <f>MONTH(Tabela32[[#This Row],[Data]])</f>
        <v>10</v>
      </c>
      <c r="D532" s="4" t="s">
        <v>29</v>
      </c>
      <c r="E532" s="4">
        <v>1</v>
      </c>
      <c r="F532" s="4" t="str">
        <f>IFERROR(VLOOKUP(Tabela32[[#This Row],[Placa]],Planilha2!$A$1:$B$12,2,0),"")</f>
        <v>Sandro</v>
      </c>
      <c r="G532" s="10">
        <v>6267.12</v>
      </c>
      <c r="H532" s="10">
        <v>365974.7</v>
      </c>
      <c r="I532" s="4">
        <v>618</v>
      </c>
      <c r="J532" s="17">
        <f>IFERROR(Tabela32[[#This Row],[Valor Frete]]/Tabela32[[#This Row],[Valor Mercadoria]],"")</f>
        <v>1.712446242868701E-2</v>
      </c>
      <c r="K532" s="11">
        <v>0.29166666666666669</v>
      </c>
      <c r="L532" s="15">
        <v>0.76041666666666663</v>
      </c>
      <c r="M532" s="15">
        <f>Tabela32[[#This Row],[Hr Chegada]]-Tabela32[[#This Row],[Hr Saida]]</f>
        <v>0.46874999999999994</v>
      </c>
      <c r="N532" s="4">
        <v>276917</v>
      </c>
      <c r="O532" s="4">
        <v>276963</v>
      </c>
      <c r="P532" s="4">
        <f>Tabela32[[#This Row],[Km Chegada]]-Tabela32[[#This Row],[Km Saída]]</f>
        <v>46</v>
      </c>
      <c r="Q532" s="4">
        <v>167</v>
      </c>
      <c r="R532" s="4">
        <v>7</v>
      </c>
      <c r="S532" s="4">
        <v>7</v>
      </c>
      <c r="T532" s="12">
        <f>Tabela32[[#This Row],[Entregas]]-Tabela32[[#This Row],[Realizadas]]</f>
        <v>0</v>
      </c>
      <c r="U532" s="18">
        <f>Tabela32[[#This Row],[Realizadas]]/Tabela32[[#This Row],[Entregas]]</f>
        <v>1</v>
      </c>
      <c r="V532" s="19" t="str">
        <f>IF(Tabela32[[#This Row],[% Entrega]]&gt;=96%,"Atendeu a Meta","Não Atendeu a Meta")</f>
        <v>Atendeu a Meta</v>
      </c>
      <c r="W532" s="4" t="s">
        <v>40</v>
      </c>
      <c r="X532" s="4">
        <v>0</v>
      </c>
      <c r="Y532" s="5">
        <v>0</v>
      </c>
    </row>
    <row r="533" spans="1:25" x14ac:dyDescent="0.25">
      <c r="A533" s="8">
        <v>46308</v>
      </c>
      <c r="B533" s="16">
        <f>YEAR(Tabela32[[#This Row],[Data]])</f>
        <v>2026</v>
      </c>
      <c r="C533" s="16">
        <f>MONTH(Tabela32[[#This Row],[Data]])</f>
        <v>10</v>
      </c>
      <c r="D533" s="4" t="s">
        <v>53</v>
      </c>
      <c r="E533" s="4">
        <v>3</v>
      </c>
      <c r="F533" s="4" t="str">
        <f>IFERROR(VLOOKUP(Tabela32[[#This Row],[Placa]],Planilha2!$A$1:$B$12,2,0),"")</f>
        <v>Arnaldo</v>
      </c>
      <c r="G533" s="10">
        <v>7340.19</v>
      </c>
      <c r="H533" s="10">
        <v>77754.899999999994</v>
      </c>
      <c r="I533" s="4">
        <v>2073</v>
      </c>
      <c r="J533" s="17">
        <f>IFERROR(Tabela32[[#This Row],[Valor Frete]]/Tabela32[[#This Row],[Valor Mercadoria]],"")</f>
        <v>9.440163899638479E-2</v>
      </c>
      <c r="K533" s="11">
        <v>0.3125</v>
      </c>
      <c r="L533" s="15">
        <v>0.76388888888888884</v>
      </c>
      <c r="M533" s="15">
        <f>Tabela32[[#This Row],[Hr Chegada]]-Tabela32[[#This Row],[Hr Saida]]</f>
        <v>0.45138888888888884</v>
      </c>
      <c r="N533" s="4">
        <v>14782</v>
      </c>
      <c r="O533" s="4">
        <v>14835</v>
      </c>
      <c r="P533" s="4">
        <f>Tabela32[[#This Row],[Km Chegada]]-Tabela32[[#This Row],[Km Saída]]</f>
        <v>53</v>
      </c>
      <c r="Q533" s="4">
        <v>106</v>
      </c>
      <c r="R533" s="4">
        <v>14</v>
      </c>
      <c r="S533" s="4">
        <v>14</v>
      </c>
      <c r="T533" s="12">
        <f>Tabela32[[#This Row],[Entregas]]-Tabela32[[#This Row],[Realizadas]]</f>
        <v>0</v>
      </c>
      <c r="U533" s="18">
        <f>Tabela32[[#This Row],[Realizadas]]/Tabela32[[#This Row],[Entregas]]</f>
        <v>1</v>
      </c>
      <c r="V533" s="19" t="str">
        <f>IF(Tabela32[[#This Row],[% Entrega]]&gt;=96%,"Atendeu a Meta","Não Atendeu a Meta")</f>
        <v>Atendeu a Meta</v>
      </c>
      <c r="W533" s="4" t="s">
        <v>39</v>
      </c>
      <c r="X533" s="4">
        <v>0</v>
      </c>
      <c r="Y533" s="5">
        <v>0</v>
      </c>
    </row>
    <row r="534" spans="1:25" x14ac:dyDescent="0.25">
      <c r="A534" s="8">
        <v>46309</v>
      </c>
      <c r="B534" s="16">
        <f>YEAR(Tabela32[[#This Row],[Data]])</f>
        <v>2026</v>
      </c>
      <c r="C534" s="16">
        <f>MONTH(Tabela32[[#This Row],[Data]])</f>
        <v>10</v>
      </c>
      <c r="D534" s="4" t="s">
        <v>33</v>
      </c>
      <c r="E534" s="4">
        <v>1</v>
      </c>
      <c r="F534" s="4" t="str">
        <f>IFERROR(VLOOKUP(Tabela32[[#This Row],[Placa]],Planilha2!$A$1:$B$12,2,0),"")</f>
        <v>Paulo</v>
      </c>
      <c r="G534" s="10">
        <v>1098.01</v>
      </c>
      <c r="H534" s="10">
        <v>20422.439999999999</v>
      </c>
      <c r="I534" s="4">
        <v>46</v>
      </c>
      <c r="J534" s="17">
        <f>IFERROR(Tabela32[[#This Row],[Valor Frete]]/Tabela32[[#This Row],[Valor Mercadoria]],"")</f>
        <v>5.3764878241777184E-2</v>
      </c>
      <c r="K534" s="11">
        <v>0.3125</v>
      </c>
      <c r="L534" s="15">
        <v>0.46527777777777779</v>
      </c>
      <c r="M534" s="15">
        <f>Tabela32[[#This Row],[Hr Chegada]]-Tabela32[[#This Row],[Hr Saida]]</f>
        <v>0.15277777777777779</v>
      </c>
      <c r="N534" s="4">
        <v>157213</v>
      </c>
      <c r="O534" s="4">
        <v>157244</v>
      </c>
      <c r="P534" s="4">
        <f>Tabela32[[#This Row],[Km Chegada]]-Tabela32[[#This Row],[Km Saída]]</f>
        <v>31</v>
      </c>
      <c r="Q534" s="4">
        <v>13</v>
      </c>
      <c r="R534" s="4">
        <v>2</v>
      </c>
      <c r="S534" s="4">
        <v>2</v>
      </c>
      <c r="T534" s="12">
        <f>Tabela32[[#This Row],[Entregas]]-Tabela32[[#This Row],[Realizadas]]</f>
        <v>0</v>
      </c>
      <c r="U534" s="18">
        <f>Tabela32[[#This Row],[Realizadas]]/Tabela32[[#This Row],[Entregas]]</f>
        <v>1</v>
      </c>
      <c r="V534" s="19" t="str">
        <f>IF(Tabela32[[#This Row],[% Entrega]]&gt;=96%,"Atendeu a Meta","Não Atendeu a Meta")</f>
        <v>Atendeu a Meta</v>
      </c>
      <c r="W534" s="4" t="s">
        <v>40</v>
      </c>
      <c r="X534" s="4">
        <v>0</v>
      </c>
      <c r="Y534" s="5">
        <v>0</v>
      </c>
    </row>
    <row r="535" spans="1:25" x14ac:dyDescent="0.25">
      <c r="A535" s="8">
        <v>46309</v>
      </c>
      <c r="B535" s="16">
        <f>YEAR(Tabela32[[#This Row],[Data]])</f>
        <v>2026</v>
      </c>
      <c r="C535" s="16">
        <f>MONTH(Tabela32[[#This Row],[Data]])</f>
        <v>10</v>
      </c>
      <c r="D535" s="4" t="s">
        <v>33</v>
      </c>
      <c r="E535" s="4">
        <v>1</v>
      </c>
      <c r="F535" s="4" t="str">
        <f>IFERROR(VLOOKUP(Tabela32[[#This Row],[Placa]],Planilha2!$A$1:$B$12,2,0),"")</f>
        <v>Paulo</v>
      </c>
      <c r="G535" s="10">
        <v>252.53</v>
      </c>
      <c r="H535" s="10">
        <v>4830.92</v>
      </c>
      <c r="I535" s="4">
        <v>52</v>
      </c>
      <c r="J535" s="17">
        <f>IFERROR(Tabela32[[#This Row],[Valor Frete]]/Tabela32[[#This Row],[Valor Mercadoria]],"")</f>
        <v>5.2273686999577719E-2</v>
      </c>
      <c r="K535" s="11">
        <v>0.54166666666666663</v>
      </c>
      <c r="L535" s="15">
        <v>0.69305555555555554</v>
      </c>
      <c r="M535" s="15">
        <f>Tabela32[[#This Row],[Hr Chegada]]-Tabela32[[#This Row],[Hr Saida]]</f>
        <v>0.15138888888888891</v>
      </c>
      <c r="N535" s="4">
        <v>157244</v>
      </c>
      <c r="O535" s="4">
        <v>157271</v>
      </c>
      <c r="P535" s="4">
        <f>Tabela32[[#This Row],[Km Chegada]]-Tabela32[[#This Row],[Km Saída]]</f>
        <v>27</v>
      </c>
      <c r="Q535" s="4">
        <v>8</v>
      </c>
      <c r="R535" s="4">
        <v>1</v>
      </c>
      <c r="S535" s="4">
        <v>1</v>
      </c>
      <c r="T535" s="12">
        <f>Tabela32[[#This Row],[Entregas]]-Tabela32[[#This Row],[Realizadas]]</f>
        <v>0</v>
      </c>
      <c r="U535" s="18">
        <f>Tabela32[[#This Row],[Realizadas]]/Tabela32[[#This Row],[Entregas]]</f>
        <v>1</v>
      </c>
      <c r="V535" s="19" t="str">
        <f>IF(Tabela32[[#This Row],[% Entrega]]&gt;=96%,"Atendeu a Meta","Não Atendeu a Meta")</f>
        <v>Atendeu a Meta</v>
      </c>
      <c r="W535" s="4" t="s">
        <v>62</v>
      </c>
      <c r="X535" s="4">
        <v>0</v>
      </c>
      <c r="Y535" s="5">
        <v>0</v>
      </c>
    </row>
    <row r="536" spans="1:25" x14ac:dyDescent="0.25">
      <c r="A536" s="8">
        <v>46309</v>
      </c>
      <c r="B536" s="16">
        <f>YEAR(Tabela32[[#This Row],[Data]])</f>
        <v>2026</v>
      </c>
      <c r="C536" s="16">
        <f>MONTH(Tabela32[[#This Row],[Data]])</f>
        <v>10</v>
      </c>
      <c r="D536" s="4" t="s">
        <v>29</v>
      </c>
      <c r="E536" s="4">
        <v>1</v>
      </c>
      <c r="F536" s="4" t="str">
        <f>IFERROR(VLOOKUP(Tabela32[[#This Row],[Placa]],Planilha2!$A$1:$B$12,2,0),"")</f>
        <v>Sandro</v>
      </c>
      <c r="G536" s="10">
        <v>11128.1</v>
      </c>
      <c r="H536" s="10">
        <v>187786.85</v>
      </c>
      <c r="I536" s="4">
        <v>1893</v>
      </c>
      <c r="J536" s="17">
        <f>IFERROR(Tabela32[[#This Row],[Valor Frete]]/Tabela32[[#This Row],[Valor Mercadoria]],"")</f>
        <v>5.925920797968548E-2</v>
      </c>
      <c r="K536" s="11">
        <v>0.29166666666666669</v>
      </c>
      <c r="L536" s="15">
        <v>0.54166666666666663</v>
      </c>
      <c r="M536" s="15">
        <f>Tabela32[[#This Row],[Hr Chegada]]-Tabela32[[#This Row],[Hr Saida]]</f>
        <v>0.24999999999999994</v>
      </c>
      <c r="N536" s="4">
        <v>276963</v>
      </c>
      <c r="O536" s="4">
        <v>276973</v>
      </c>
      <c r="P536" s="4">
        <f>Tabela32[[#This Row],[Km Chegada]]-Tabela32[[#This Row],[Km Saída]]</f>
        <v>10</v>
      </c>
      <c r="Q536" s="4">
        <v>126</v>
      </c>
      <c r="R536" s="4">
        <v>15</v>
      </c>
      <c r="S536" s="4">
        <v>15</v>
      </c>
      <c r="T536" s="12">
        <f>Tabela32[[#This Row],[Entregas]]-Tabela32[[#This Row],[Realizadas]]</f>
        <v>0</v>
      </c>
      <c r="U536" s="18">
        <f>Tabela32[[#This Row],[Realizadas]]/Tabela32[[#This Row],[Entregas]]</f>
        <v>1</v>
      </c>
      <c r="V536" s="19" t="str">
        <f>IF(Tabela32[[#This Row],[% Entrega]]&gt;=96%,"Atendeu a Meta","Não Atendeu a Meta")</f>
        <v>Atendeu a Meta</v>
      </c>
      <c r="W536" s="4" t="s">
        <v>62</v>
      </c>
      <c r="X536" s="4">
        <v>0</v>
      </c>
      <c r="Y536" s="5">
        <v>0</v>
      </c>
    </row>
    <row r="537" spans="1:25" x14ac:dyDescent="0.25">
      <c r="A537" s="8">
        <v>46309</v>
      </c>
      <c r="B537" s="16">
        <f>YEAR(Tabela32[[#This Row],[Data]])</f>
        <v>2026</v>
      </c>
      <c r="C537" s="16">
        <f>MONTH(Tabela32[[#This Row],[Data]])</f>
        <v>10</v>
      </c>
      <c r="D537" s="4" t="s">
        <v>29</v>
      </c>
      <c r="E537" s="4">
        <v>1</v>
      </c>
      <c r="F537" s="4" t="str">
        <f>IFERROR(VLOOKUP(Tabela32[[#This Row],[Placa]],Planilha2!$A$1:$B$12,2,0),"")</f>
        <v>Sandro</v>
      </c>
      <c r="G537" s="10">
        <v>8095.23</v>
      </c>
      <c r="H537" s="10">
        <v>137132.24</v>
      </c>
      <c r="I537" s="4">
        <v>1131</v>
      </c>
      <c r="J537" s="17">
        <f>IFERROR(Tabela32[[#This Row],[Valor Frete]]/Tabela32[[#This Row],[Valor Mercadoria]],"")</f>
        <v>5.9032288833027156E-2</v>
      </c>
      <c r="K537" s="11">
        <v>0.54166666666666663</v>
      </c>
      <c r="L537" s="15">
        <v>0.80069444444444449</v>
      </c>
      <c r="M537" s="15">
        <f>Tabela32[[#This Row],[Hr Chegada]]-Tabela32[[#This Row],[Hr Saida]]</f>
        <v>0.25902777777777786</v>
      </c>
      <c r="N537" s="4">
        <v>276973</v>
      </c>
      <c r="O537" s="4">
        <v>277016</v>
      </c>
      <c r="P537" s="4">
        <f>Tabela32[[#This Row],[Km Chegada]]-Tabela32[[#This Row],[Km Saída]]</f>
        <v>43</v>
      </c>
      <c r="Q537" s="4">
        <v>22</v>
      </c>
      <c r="R537" s="4">
        <v>3</v>
      </c>
      <c r="S537" s="4">
        <v>3</v>
      </c>
      <c r="T537" s="12">
        <f>Tabela32[[#This Row],[Entregas]]-Tabela32[[#This Row],[Realizadas]]</f>
        <v>0</v>
      </c>
      <c r="U537" s="18">
        <f>Tabela32[[#This Row],[Realizadas]]/Tabela32[[#This Row],[Entregas]]</f>
        <v>1</v>
      </c>
      <c r="V537" s="19" t="str">
        <f>IF(Tabela32[[#This Row],[% Entrega]]&gt;=96%,"Atendeu a Meta","Não Atendeu a Meta")</f>
        <v>Atendeu a Meta</v>
      </c>
      <c r="W537" s="4" t="s">
        <v>40</v>
      </c>
      <c r="X537" s="4">
        <v>0</v>
      </c>
      <c r="Y537" s="5">
        <v>0</v>
      </c>
    </row>
    <row r="538" spans="1:25" x14ac:dyDescent="0.25">
      <c r="A538" s="8">
        <v>46309</v>
      </c>
      <c r="B538" s="16">
        <f>YEAR(Tabela32[[#This Row],[Data]])</f>
        <v>2026</v>
      </c>
      <c r="C538" s="16">
        <f>MONTH(Tabela32[[#This Row],[Data]])</f>
        <v>10</v>
      </c>
      <c r="D538" s="4" t="s">
        <v>96</v>
      </c>
      <c r="E538" s="4">
        <v>1</v>
      </c>
      <c r="F538" s="4" t="str">
        <f>IFERROR(VLOOKUP(Tabela32[[#This Row],[Placa]],Planilha2!$A$1:$B$12,2,0),"")</f>
        <v>Manoel</v>
      </c>
      <c r="G538" s="10">
        <v>150.69</v>
      </c>
      <c r="H538" s="10">
        <v>2452.3200000000002</v>
      </c>
      <c r="I538" s="4">
        <v>28</v>
      </c>
      <c r="J538" s="17">
        <f>IFERROR(Tabela32[[#This Row],[Valor Frete]]/Tabela32[[#This Row],[Valor Mercadoria]],"")</f>
        <v>6.1447935016637305E-2</v>
      </c>
      <c r="K538" s="11">
        <v>0.34027777777777779</v>
      </c>
      <c r="L538" s="15">
        <v>0.5</v>
      </c>
      <c r="M538" s="15">
        <f>Tabela32[[#This Row],[Hr Chegada]]-Tabela32[[#This Row],[Hr Saida]]</f>
        <v>0.15972222222222221</v>
      </c>
      <c r="N538" s="4">
        <v>64003</v>
      </c>
      <c r="O538" s="4">
        <v>64090</v>
      </c>
      <c r="P538" s="4">
        <f>Tabela32[[#This Row],[Km Chegada]]-Tabela32[[#This Row],[Km Saída]]</f>
        <v>87</v>
      </c>
      <c r="Q538" s="4">
        <v>4</v>
      </c>
      <c r="R538" s="4">
        <v>1</v>
      </c>
      <c r="S538" s="4">
        <v>1</v>
      </c>
      <c r="T538" s="12">
        <f>Tabela32[[#This Row],[Entregas]]-Tabela32[[#This Row],[Realizadas]]</f>
        <v>0</v>
      </c>
      <c r="U538" s="18">
        <f>Tabela32[[#This Row],[Realizadas]]/Tabela32[[#This Row],[Entregas]]</f>
        <v>1</v>
      </c>
      <c r="V538" s="19" t="str">
        <f>IF(Tabela32[[#This Row],[% Entrega]]&gt;=96%,"Atendeu a Meta","Não Atendeu a Meta")</f>
        <v>Atendeu a Meta</v>
      </c>
      <c r="W538" s="4" t="s">
        <v>90</v>
      </c>
      <c r="X538" s="4">
        <v>0</v>
      </c>
      <c r="Y538" s="5">
        <v>0</v>
      </c>
    </row>
    <row r="539" spans="1:25" x14ac:dyDescent="0.25">
      <c r="A539" s="8">
        <v>46309</v>
      </c>
      <c r="B539" s="16">
        <f>YEAR(Tabela32[[#This Row],[Data]])</f>
        <v>2026</v>
      </c>
      <c r="C539" s="16">
        <f>MONTH(Tabela32[[#This Row],[Data]])</f>
        <v>10</v>
      </c>
      <c r="D539" s="4" t="s">
        <v>35</v>
      </c>
      <c r="E539" s="4">
        <v>2</v>
      </c>
      <c r="F539" s="4" t="str">
        <f>IFERROR(VLOOKUP(Tabela32[[#This Row],[Placa]],Planilha2!$A$1:$B$12,2,0),"")</f>
        <v>Osvaldo</v>
      </c>
      <c r="G539" s="10">
        <v>14455.55</v>
      </c>
      <c r="H539" s="10">
        <v>238709.99</v>
      </c>
      <c r="I539" s="4">
        <v>309</v>
      </c>
      <c r="J539" s="17">
        <f>IFERROR(Tabela32[[#This Row],[Valor Frete]]/Tabela32[[#This Row],[Valor Mercadoria]],"")</f>
        <v>6.0556954486906893E-2</v>
      </c>
      <c r="K539" s="11">
        <v>0.27083333333333331</v>
      </c>
      <c r="L539" s="15">
        <v>0.72916666666666663</v>
      </c>
      <c r="M539" s="15">
        <f>Tabela32[[#This Row],[Hr Chegada]]-Tabela32[[#This Row],[Hr Saida]]</f>
        <v>0.45833333333333331</v>
      </c>
      <c r="N539" s="4">
        <v>144874</v>
      </c>
      <c r="O539" s="4">
        <v>144928</v>
      </c>
      <c r="P539" s="4">
        <f>Tabela32[[#This Row],[Km Chegada]]-Tabela32[[#This Row],[Km Saída]]</f>
        <v>54</v>
      </c>
      <c r="Q539" s="4">
        <v>309</v>
      </c>
      <c r="R539" s="4">
        <v>49</v>
      </c>
      <c r="S539" s="4">
        <v>32</v>
      </c>
      <c r="T539" s="12">
        <f>Tabela32[[#This Row],[Entregas]]-Tabela32[[#This Row],[Realizadas]]</f>
        <v>17</v>
      </c>
      <c r="U539" s="18">
        <f>Tabela32[[#This Row],[Realizadas]]/Tabela32[[#This Row],[Entregas]]</f>
        <v>0.65306122448979587</v>
      </c>
      <c r="V539" s="19" t="str">
        <f>IF(Tabela32[[#This Row],[% Entrega]]&gt;=96%,"Atendeu a Meta","Não Atendeu a Meta")</f>
        <v>Não Atendeu a Meta</v>
      </c>
      <c r="W539" s="4" t="s">
        <v>39</v>
      </c>
      <c r="X539" s="4">
        <v>17</v>
      </c>
      <c r="Y539" s="5" t="s">
        <v>100</v>
      </c>
    </row>
    <row r="540" spans="1:25" x14ac:dyDescent="0.25">
      <c r="A540" s="8">
        <v>46309</v>
      </c>
      <c r="B540" s="16">
        <f>YEAR(Tabela32[[#This Row],[Data]])</f>
        <v>2026</v>
      </c>
      <c r="C540" s="16">
        <f>MONTH(Tabela32[[#This Row],[Data]])</f>
        <v>10</v>
      </c>
      <c r="D540" s="4" t="s">
        <v>31</v>
      </c>
      <c r="E540" s="4">
        <v>3</v>
      </c>
      <c r="F540" s="4" t="str">
        <f>IFERROR(VLOOKUP(Tabela32[[#This Row],[Placa]],Planilha2!$A$1:$B$12,2,0),"")</f>
        <v>Jerson</v>
      </c>
      <c r="G540" s="10">
        <v>13122.86</v>
      </c>
      <c r="H540" s="10">
        <v>207843.31</v>
      </c>
      <c r="I540" s="4">
        <v>384</v>
      </c>
      <c r="J540" s="17">
        <f>IFERROR(Tabela32[[#This Row],[Valor Frete]]/Tabela32[[#This Row],[Valor Mercadoria]],"")</f>
        <v>6.3138236203031994E-2</v>
      </c>
      <c r="K540" s="11">
        <v>0.2951388888888889</v>
      </c>
      <c r="L540" s="15">
        <v>0.77083333333333337</v>
      </c>
      <c r="M540" s="15">
        <f>Tabela32[[#This Row],[Hr Chegada]]-Tabela32[[#This Row],[Hr Saida]]</f>
        <v>0.47569444444444448</v>
      </c>
      <c r="N540" s="4">
        <v>282092</v>
      </c>
      <c r="O540" s="4">
        <v>282155</v>
      </c>
      <c r="P540" s="4">
        <f>Tabela32[[#This Row],[Km Chegada]]-Tabela32[[#This Row],[Km Saída]]</f>
        <v>63</v>
      </c>
      <c r="Q540" s="4">
        <v>384</v>
      </c>
      <c r="R540" s="4">
        <v>23</v>
      </c>
      <c r="S540" s="4">
        <v>23</v>
      </c>
      <c r="T540" s="12">
        <f>Tabela32[[#This Row],[Entregas]]-Tabela32[[#This Row],[Realizadas]]</f>
        <v>0</v>
      </c>
      <c r="U540" s="18">
        <f>Tabela32[[#This Row],[Realizadas]]/Tabela32[[#This Row],[Entregas]]</f>
        <v>1</v>
      </c>
      <c r="V540" s="19" t="str">
        <f>IF(Tabela32[[#This Row],[% Entrega]]&gt;=96%,"Atendeu a Meta","Não Atendeu a Meta")</f>
        <v>Atendeu a Meta</v>
      </c>
      <c r="W540" s="4" t="s">
        <v>39</v>
      </c>
      <c r="X540" s="4">
        <v>0</v>
      </c>
      <c r="Y540" s="5">
        <v>38.380000000000003</v>
      </c>
    </row>
    <row r="541" spans="1:25" x14ac:dyDescent="0.25">
      <c r="A541" s="8">
        <v>46309</v>
      </c>
      <c r="B541" s="16">
        <f>YEAR(Tabela32[[#This Row],[Data]])</f>
        <v>2026</v>
      </c>
      <c r="C541" s="16">
        <f>MONTH(Tabela32[[#This Row],[Data]])</f>
        <v>10</v>
      </c>
      <c r="D541" s="4" t="s">
        <v>23</v>
      </c>
      <c r="E541" s="4">
        <v>5</v>
      </c>
      <c r="F541" s="4" t="str">
        <f>IFERROR(VLOOKUP(Tabela32[[#This Row],[Placa]],Planilha2!$A$1:$B$12,2,0),"")</f>
        <v>William</v>
      </c>
      <c r="G541" s="10">
        <v>7959.01</v>
      </c>
      <c r="H541" s="10">
        <v>154841.13</v>
      </c>
      <c r="I541" s="4">
        <v>1358</v>
      </c>
      <c r="J541" s="17">
        <f>IFERROR(Tabela32[[#This Row],[Valor Frete]]/Tabela32[[#This Row],[Valor Mercadoria]],"")</f>
        <v>5.140113611932437E-2</v>
      </c>
      <c r="K541" s="11">
        <v>0.29166666666666669</v>
      </c>
      <c r="L541" s="15">
        <v>0.82777777777777772</v>
      </c>
      <c r="M541" s="15">
        <f>Tabela32[[#This Row],[Hr Chegada]]-Tabela32[[#This Row],[Hr Saida]]</f>
        <v>0.53611111111111098</v>
      </c>
      <c r="N541" s="4">
        <v>127015</v>
      </c>
      <c r="O541" s="4">
        <v>127114</v>
      </c>
      <c r="P541" s="4">
        <f>Tabela32[[#This Row],[Km Chegada]]-Tabela32[[#This Row],[Km Saída]]</f>
        <v>99</v>
      </c>
      <c r="Q541" s="4">
        <v>206</v>
      </c>
      <c r="R541" s="4">
        <v>33</v>
      </c>
      <c r="S541" s="4">
        <v>33</v>
      </c>
      <c r="T541" s="12">
        <f>Tabela32[[#This Row],[Entregas]]-Tabela32[[#This Row],[Realizadas]]</f>
        <v>0</v>
      </c>
      <c r="U541" s="18">
        <f>Tabela32[[#This Row],[Realizadas]]/Tabela32[[#This Row],[Entregas]]</f>
        <v>1</v>
      </c>
      <c r="V541" s="19" t="str">
        <f>IF(Tabela32[[#This Row],[% Entrega]]&gt;=96%,"Atendeu a Meta","Não Atendeu a Meta")</f>
        <v>Atendeu a Meta</v>
      </c>
      <c r="W541" s="4" t="s">
        <v>39</v>
      </c>
      <c r="X541" s="4">
        <v>0</v>
      </c>
      <c r="Y541" s="5">
        <v>0</v>
      </c>
    </row>
    <row r="542" spans="1:25" x14ac:dyDescent="0.25">
      <c r="A542" s="8">
        <v>46309</v>
      </c>
      <c r="B542" s="16">
        <f>YEAR(Tabela32[[#This Row],[Data]])</f>
        <v>2026</v>
      </c>
      <c r="C542" s="16">
        <f>MONTH(Tabela32[[#This Row],[Data]])</f>
        <v>10</v>
      </c>
      <c r="D542" s="4" t="s">
        <v>28</v>
      </c>
      <c r="E542" s="4">
        <v>11</v>
      </c>
      <c r="F542" s="4" t="str">
        <f>IFERROR(VLOOKUP(Tabela32[[#This Row],[Placa]],Planilha2!$A$1:$B$12,2,0),"")</f>
        <v>Edilson</v>
      </c>
      <c r="G542" s="10">
        <v>14890.94</v>
      </c>
      <c r="H542" s="10">
        <v>233814.87</v>
      </c>
      <c r="I542" s="4">
        <v>1742</v>
      </c>
      <c r="J542" s="17">
        <f>IFERROR(Tabela32[[#This Row],[Valor Frete]]/Tabela32[[#This Row],[Valor Mercadoria]],"")</f>
        <v>6.3686881848019336E-2</v>
      </c>
      <c r="K542" s="11">
        <v>0.27083333333333331</v>
      </c>
      <c r="L542" s="15">
        <v>0.75416666666666665</v>
      </c>
      <c r="M542" s="15">
        <f>Tabela32[[#This Row],[Hr Chegada]]-Tabela32[[#This Row],[Hr Saida]]</f>
        <v>0.48333333333333334</v>
      </c>
      <c r="N542" s="4">
        <v>107222</v>
      </c>
      <c r="O542" s="4">
        <v>107359</v>
      </c>
      <c r="P542" s="4">
        <f>Tabela32[[#This Row],[Km Chegada]]-Tabela32[[#This Row],[Km Saída]]</f>
        <v>137</v>
      </c>
      <c r="Q542" s="4">
        <v>263</v>
      </c>
      <c r="R542" s="4">
        <v>55</v>
      </c>
      <c r="S542" s="4">
        <v>55</v>
      </c>
      <c r="T542" s="12">
        <f>Tabela32[[#This Row],[Entregas]]-Tabela32[[#This Row],[Realizadas]]</f>
        <v>0</v>
      </c>
      <c r="U542" s="18">
        <f>Tabela32[[#This Row],[Realizadas]]/Tabela32[[#This Row],[Entregas]]</f>
        <v>1</v>
      </c>
      <c r="V542" s="19" t="str">
        <f>IF(Tabela32[[#This Row],[% Entrega]]&gt;=96%,"Atendeu a Meta","Não Atendeu a Meta")</f>
        <v>Atendeu a Meta</v>
      </c>
      <c r="W542" s="4" t="s">
        <v>41</v>
      </c>
      <c r="X542" s="4">
        <v>0</v>
      </c>
      <c r="Y542" s="5">
        <v>0</v>
      </c>
    </row>
    <row r="543" spans="1:25" x14ac:dyDescent="0.25">
      <c r="A543" s="8">
        <v>46309</v>
      </c>
      <c r="B543" s="16">
        <f>YEAR(Tabela32[[#This Row],[Data]])</f>
        <v>2026</v>
      </c>
      <c r="C543" s="16">
        <f>MONTH(Tabela32[[#This Row],[Data]])</f>
        <v>10</v>
      </c>
      <c r="D543" s="4" t="s">
        <v>53</v>
      </c>
      <c r="E543" s="4">
        <v>1</v>
      </c>
      <c r="F543" s="4" t="str">
        <f>IFERROR(VLOOKUP(Tabela32[[#This Row],[Placa]],Planilha2!$A$1:$B$12,2,0),"")</f>
        <v>Arnaldo</v>
      </c>
      <c r="G543" s="10">
        <v>6968.18</v>
      </c>
      <c r="H543" s="10">
        <v>127048</v>
      </c>
      <c r="I543" s="4">
        <v>1036</v>
      </c>
      <c r="J543" s="17">
        <f>IFERROR(Tabela32[[#This Row],[Valor Frete]]/Tabela32[[#This Row],[Valor Mercadoria]],"")</f>
        <v>5.4846829544738997E-2</v>
      </c>
      <c r="K543" s="11">
        <v>0.31805555555555554</v>
      </c>
      <c r="L543" s="15">
        <v>0.77569444444444446</v>
      </c>
      <c r="M543" s="15">
        <f>Tabela32[[#This Row],[Hr Chegada]]-Tabela32[[#This Row],[Hr Saida]]</f>
        <v>0.45763888888888893</v>
      </c>
      <c r="N543" s="4">
        <v>14836</v>
      </c>
      <c r="O543" s="4">
        <v>14887</v>
      </c>
      <c r="P543" s="4">
        <f>Tabela32[[#This Row],[Km Chegada]]-Tabela32[[#This Row],[Km Saída]]</f>
        <v>51</v>
      </c>
      <c r="Q543" s="4">
        <v>128</v>
      </c>
      <c r="R543" s="4">
        <v>20</v>
      </c>
      <c r="S543" s="4">
        <v>20</v>
      </c>
      <c r="T543" s="12">
        <f>Tabela32[[#This Row],[Entregas]]-Tabela32[[#This Row],[Realizadas]]</f>
        <v>0</v>
      </c>
      <c r="U543" s="18">
        <f>Tabela32[[#This Row],[Realizadas]]/Tabela32[[#This Row],[Entregas]]</f>
        <v>1</v>
      </c>
      <c r="V543" s="19" t="str">
        <f>IF(Tabela32[[#This Row],[% Entrega]]&gt;=96%,"Atendeu a Meta","Não Atendeu a Meta")</f>
        <v>Atendeu a Meta</v>
      </c>
      <c r="W543" s="4" t="s">
        <v>43</v>
      </c>
      <c r="X543" s="4">
        <v>0</v>
      </c>
      <c r="Y543" s="5">
        <v>0</v>
      </c>
    </row>
    <row r="544" spans="1:25" x14ac:dyDescent="0.25">
      <c r="A544" s="8">
        <v>46309</v>
      </c>
      <c r="B544" s="16">
        <f>YEAR(Tabela32[[#This Row],[Data]])</f>
        <v>2026</v>
      </c>
      <c r="C544" s="16">
        <f>MONTH(Tabela32[[#This Row],[Data]])</f>
        <v>10</v>
      </c>
      <c r="D544" s="4" t="s">
        <v>25</v>
      </c>
      <c r="E544" s="4">
        <v>5</v>
      </c>
      <c r="F544" s="4" t="str">
        <f>IFERROR(VLOOKUP(Tabela32[[#This Row],[Placa]],Planilha2!$A$1:$B$12,2,0),"")</f>
        <v>Gilberto</v>
      </c>
      <c r="G544" s="10">
        <v>6502.31</v>
      </c>
      <c r="H544" s="10">
        <v>265619.03000000003</v>
      </c>
      <c r="I544" s="4">
        <v>1193</v>
      </c>
      <c r="J544" s="17">
        <f>IFERROR(Tabela32[[#This Row],[Valor Frete]]/Tabela32[[#This Row],[Valor Mercadoria]],"")</f>
        <v>2.447983489737162E-2</v>
      </c>
      <c r="K544" s="11">
        <v>0.33333333333333331</v>
      </c>
      <c r="L544" s="15">
        <v>0.74305555555555558</v>
      </c>
      <c r="M544" s="15">
        <f>Tabela32[[#This Row],[Hr Chegada]]-Tabela32[[#This Row],[Hr Saida]]</f>
        <v>0.40972222222222227</v>
      </c>
      <c r="N544" s="4">
        <v>120995</v>
      </c>
      <c r="O544" s="4">
        <v>121026</v>
      </c>
      <c r="P544" s="4">
        <f>Tabela32[[#This Row],[Km Chegada]]-Tabela32[[#This Row],[Km Saída]]</f>
        <v>31</v>
      </c>
      <c r="Q544" s="4">
        <v>90</v>
      </c>
      <c r="R544" s="4">
        <v>6</v>
      </c>
      <c r="S544" s="4">
        <v>6</v>
      </c>
      <c r="T544" s="12">
        <f>Tabela32[[#This Row],[Entregas]]-Tabela32[[#This Row],[Realizadas]]</f>
        <v>0</v>
      </c>
      <c r="U544" s="18">
        <f>Tabela32[[#This Row],[Realizadas]]/Tabela32[[#This Row],[Entregas]]</f>
        <v>1</v>
      </c>
      <c r="V544" s="19" t="str">
        <f>IF(Tabela32[[#This Row],[% Entrega]]&gt;=96%,"Atendeu a Meta","Não Atendeu a Meta")</f>
        <v>Atendeu a Meta</v>
      </c>
      <c r="W544" s="4" t="s">
        <v>39</v>
      </c>
      <c r="X544" s="4">
        <v>0</v>
      </c>
      <c r="Y544" s="5">
        <v>0</v>
      </c>
    </row>
    <row r="545" spans="1:25" x14ac:dyDescent="0.25">
      <c r="A545" s="8">
        <v>46309</v>
      </c>
      <c r="B545" s="16">
        <f>YEAR(Tabela32[[#This Row],[Data]])</f>
        <v>2026</v>
      </c>
      <c r="C545" s="16">
        <f>MONTH(Tabela32[[#This Row],[Data]])</f>
        <v>10</v>
      </c>
      <c r="D545" s="4" t="s">
        <v>22</v>
      </c>
      <c r="E545" s="4">
        <v>1</v>
      </c>
      <c r="F545" s="4" t="str">
        <f>IFERROR(VLOOKUP(Tabela32[[#This Row],[Placa]],Planilha2!$A$1:$B$12,2,0),"")</f>
        <v>Juscelino</v>
      </c>
      <c r="G545" s="10">
        <v>3867.98</v>
      </c>
      <c r="H545" s="10">
        <v>64157.66</v>
      </c>
      <c r="I545" s="4">
        <v>614</v>
      </c>
      <c r="J545" s="17">
        <f>IFERROR(Tabela32[[#This Row],[Valor Frete]]/Tabela32[[#This Row],[Valor Mercadoria]],"")</f>
        <v>6.0288670129178649E-2</v>
      </c>
      <c r="K545" s="11">
        <v>0.3125</v>
      </c>
      <c r="L545" s="15">
        <v>0.78263888888888888</v>
      </c>
      <c r="M545" s="15">
        <f>Tabela32[[#This Row],[Hr Chegada]]-Tabela32[[#This Row],[Hr Saida]]</f>
        <v>0.47013888888888888</v>
      </c>
      <c r="N545" s="4">
        <v>306371</v>
      </c>
      <c r="O545" s="4">
        <v>306473</v>
      </c>
      <c r="P545" s="4">
        <f>Tabela32[[#This Row],[Km Chegada]]-Tabela32[[#This Row],[Km Saída]]</f>
        <v>102</v>
      </c>
      <c r="Q545" s="4">
        <v>68</v>
      </c>
      <c r="R545" s="4">
        <v>11</v>
      </c>
      <c r="S545" s="4">
        <v>11</v>
      </c>
      <c r="T545" s="12">
        <f>Tabela32[[#This Row],[Entregas]]-Tabela32[[#This Row],[Realizadas]]</f>
        <v>0</v>
      </c>
      <c r="U545" s="18">
        <f>Tabela32[[#This Row],[Realizadas]]/Tabela32[[#This Row],[Entregas]]</f>
        <v>1</v>
      </c>
      <c r="V545" s="19" t="str">
        <f>IF(Tabela32[[#This Row],[% Entrega]]&gt;=96%,"Atendeu a Meta","Não Atendeu a Meta")</f>
        <v>Atendeu a Meta</v>
      </c>
      <c r="W545" s="4" t="s">
        <v>43</v>
      </c>
      <c r="X545" s="4">
        <v>0</v>
      </c>
      <c r="Y545" s="5">
        <v>0</v>
      </c>
    </row>
    <row r="546" spans="1:25" x14ac:dyDescent="0.25">
      <c r="A546" s="8">
        <v>46309</v>
      </c>
      <c r="B546" s="16">
        <f>YEAR(Tabela32[[#This Row],[Data]])</f>
        <v>2026</v>
      </c>
      <c r="C546" s="16">
        <f>MONTH(Tabela32[[#This Row],[Data]])</f>
        <v>10</v>
      </c>
      <c r="D546" s="4" t="s">
        <v>27</v>
      </c>
      <c r="E546" s="4">
        <v>1</v>
      </c>
      <c r="F546" s="4" t="str">
        <f>IFERROR(VLOOKUP(Tabela32[[#This Row],[Placa]],Planilha2!$A$1:$B$12,2,0),"")</f>
        <v>Rosinaldo</v>
      </c>
      <c r="G546" s="10">
        <v>4424.1499999999996</v>
      </c>
      <c r="H546" s="10">
        <v>63867.06</v>
      </c>
      <c r="I546" s="4">
        <v>1147</v>
      </c>
      <c r="J546" s="17">
        <f>IFERROR(Tabela32[[#This Row],[Valor Frete]]/Tabela32[[#This Row],[Valor Mercadoria]],"")</f>
        <v>6.9271233089483061E-2</v>
      </c>
      <c r="K546" s="11">
        <v>0.3125</v>
      </c>
      <c r="L546" s="15">
        <v>0.70138888888888884</v>
      </c>
      <c r="M546" s="15">
        <f>Tabela32[[#This Row],[Hr Chegada]]-Tabela32[[#This Row],[Hr Saida]]</f>
        <v>0.38888888888888884</v>
      </c>
      <c r="N546" s="4">
        <v>292552</v>
      </c>
      <c r="O546" s="4">
        <v>292587</v>
      </c>
      <c r="P546" s="4">
        <f>Tabela32[[#This Row],[Km Chegada]]-Tabela32[[#This Row],[Km Saída]]</f>
        <v>35</v>
      </c>
      <c r="Q546" s="4">
        <v>132</v>
      </c>
      <c r="R546" s="4">
        <v>13</v>
      </c>
      <c r="S546" s="4">
        <v>13</v>
      </c>
      <c r="T546" s="12">
        <f>Tabela32[[#This Row],[Entregas]]-Tabela32[[#This Row],[Realizadas]]</f>
        <v>0</v>
      </c>
      <c r="U546" s="18">
        <f>Tabela32[[#This Row],[Realizadas]]/Tabela32[[#This Row],[Entregas]]</f>
        <v>1</v>
      </c>
      <c r="V546" s="19" t="str">
        <f>IF(Tabela32[[#This Row],[% Entrega]]&gt;=96%,"Atendeu a Meta","Não Atendeu a Meta")</f>
        <v>Atendeu a Meta</v>
      </c>
      <c r="W546" s="4" t="s">
        <v>43</v>
      </c>
      <c r="X546" s="4">
        <v>0</v>
      </c>
      <c r="Y546" s="5">
        <v>0</v>
      </c>
    </row>
    <row r="547" spans="1:25" x14ac:dyDescent="0.25">
      <c r="A547" s="8">
        <v>46310</v>
      </c>
      <c r="B547" s="16">
        <f>YEAR(Tabela32[[#This Row],[Data]])</f>
        <v>2026</v>
      </c>
      <c r="C547" s="16">
        <f>MONTH(Tabela32[[#This Row],[Data]])</f>
        <v>10</v>
      </c>
      <c r="D547" s="4" t="s">
        <v>33</v>
      </c>
      <c r="E547" s="4">
        <v>1</v>
      </c>
      <c r="F547" s="4" t="str">
        <f>IFERROR(VLOOKUP(Tabela32[[#This Row],[Placa]],Planilha2!$A$1:$B$12,2,0),"")</f>
        <v>Paulo</v>
      </c>
      <c r="G547" s="10">
        <v>3401.16</v>
      </c>
      <c r="H547" s="10">
        <v>57085.32</v>
      </c>
      <c r="I547" s="4">
        <v>463</v>
      </c>
      <c r="J547" s="17">
        <f>IFERROR(Tabela32[[#This Row],[Valor Frete]]/Tabela32[[#This Row],[Valor Mercadoria]],"")</f>
        <v>5.9580291395406035E-2</v>
      </c>
      <c r="K547" s="11">
        <v>0.3125</v>
      </c>
      <c r="L547" s="15">
        <v>0.76666666666666672</v>
      </c>
      <c r="M547" s="15">
        <f>Tabela32[[#This Row],[Hr Chegada]]-Tabela32[[#This Row],[Hr Saida]]</f>
        <v>0.45416666666666672</v>
      </c>
      <c r="N547" s="4">
        <v>157271</v>
      </c>
      <c r="O547" s="4">
        <v>157454</v>
      </c>
      <c r="P547" s="4">
        <f>Tabela32[[#This Row],[Km Chegada]]-Tabela32[[#This Row],[Km Saída]]</f>
        <v>183</v>
      </c>
      <c r="Q547" s="4">
        <v>76</v>
      </c>
      <c r="R547" s="4">
        <v>13</v>
      </c>
      <c r="S547" s="4">
        <v>13</v>
      </c>
      <c r="T547" s="12">
        <f>Tabela32[[#This Row],[Entregas]]-Tabela32[[#This Row],[Realizadas]]</f>
        <v>0</v>
      </c>
      <c r="U547" s="18">
        <f>Tabela32[[#This Row],[Realizadas]]/Tabela32[[#This Row],[Entregas]]</f>
        <v>1</v>
      </c>
      <c r="V547" s="19" t="str">
        <f>IF(Tabela32[[#This Row],[% Entrega]]&gt;=96%,"Atendeu a Meta","Não Atendeu a Meta")</f>
        <v>Atendeu a Meta</v>
      </c>
      <c r="W547" s="4" t="s">
        <v>40</v>
      </c>
      <c r="X547" s="4">
        <v>0</v>
      </c>
      <c r="Y547" s="5">
        <v>0</v>
      </c>
    </row>
    <row r="548" spans="1:25" x14ac:dyDescent="0.25">
      <c r="A548" s="8">
        <v>46310</v>
      </c>
      <c r="B548" s="16">
        <f>YEAR(Tabela32[[#This Row],[Data]])</f>
        <v>2026</v>
      </c>
      <c r="C548" s="16">
        <f>MONTH(Tabela32[[#This Row],[Data]])</f>
        <v>10</v>
      </c>
      <c r="D548" s="4" t="s">
        <v>29</v>
      </c>
      <c r="E548" s="4">
        <v>1</v>
      </c>
      <c r="F548" s="4" t="str">
        <f>IFERROR(VLOOKUP(Tabela32[[#This Row],[Placa]],Planilha2!$A$1:$B$12,2,0),"")</f>
        <v>Sandro</v>
      </c>
      <c r="G548" s="10">
        <v>5719.08</v>
      </c>
      <c r="H548" s="10">
        <v>171535.65</v>
      </c>
      <c r="I548" s="4">
        <v>1197</v>
      </c>
      <c r="J548" s="17">
        <f>IFERROR(Tabela32[[#This Row],[Valor Frete]]/Tabela32[[#This Row],[Valor Mercadoria]],"")</f>
        <v>3.3340474705986771E-2</v>
      </c>
      <c r="K548" s="11">
        <v>0.29166666666666669</v>
      </c>
      <c r="L548" s="15">
        <v>0.69791666666666663</v>
      </c>
      <c r="M548" s="15">
        <f>Tabela32[[#This Row],[Hr Chegada]]-Tabela32[[#This Row],[Hr Saida]]</f>
        <v>0.40624999999999994</v>
      </c>
      <c r="N548" s="4">
        <v>277016</v>
      </c>
      <c r="O548" s="4">
        <v>277067</v>
      </c>
      <c r="P548" s="4">
        <f>Tabela32[[#This Row],[Km Chegada]]-Tabela32[[#This Row],[Km Saída]]</f>
        <v>51</v>
      </c>
      <c r="Q548" s="4">
        <v>2</v>
      </c>
      <c r="R548" s="4">
        <v>1</v>
      </c>
      <c r="S548" s="4">
        <v>1</v>
      </c>
      <c r="T548" s="12">
        <f>Tabela32[[#This Row],[Entregas]]-Tabela32[[#This Row],[Realizadas]]</f>
        <v>0</v>
      </c>
      <c r="U548" s="18">
        <f>Tabela32[[#This Row],[Realizadas]]/Tabela32[[#This Row],[Entregas]]</f>
        <v>1</v>
      </c>
      <c r="V548" s="19" t="str">
        <f>IF(Tabela32[[#This Row],[% Entrega]]&gt;=96%,"Atendeu a Meta","Não Atendeu a Meta")</f>
        <v>Atendeu a Meta</v>
      </c>
      <c r="W548" s="4" t="s">
        <v>40</v>
      </c>
      <c r="X548" s="4">
        <v>0</v>
      </c>
      <c r="Y548" s="5">
        <v>0</v>
      </c>
    </row>
    <row r="549" spans="1:25" x14ac:dyDescent="0.25">
      <c r="A549" s="8">
        <v>46310</v>
      </c>
      <c r="B549" s="16">
        <f>YEAR(Tabela32[[#This Row],[Data]])</f>
        <v>2026</v>
      </c>
      <c r="C549" s="16">
        <f>MONTH(Tabela32[[#This Row],[Data]])</f>
        <v>10</v>
      </c>
      <c r="D549" s="4" t="s">
        <v>33</v>
      </c>
      <c r="E549" s="4">
        <v>1</v>
      </c>
      <c r="F549" s="4" t="str">
        <f>IFERROR(VLOOKUP(Tabela32[[#This Row],[Placa]],Planilha2!$A$1:$B$12,2,0),"")</f>
        <v>Paulo</v>
      </c>
      <c r="G549" s="10">
        <v>544.91</v>
      </c>
      <c r="H549" s="10">
        <v>21965.86</v>
      </c>
      <c r="I549" s="4">
        <v>55</v>
      </c>
      <c r="J549" s="17">
        <f>IFERROR(Tabela32[[#This Row],[Valor Frete]]/Tabela32[[#This Row],[Valor Mercadoria]],"")</f>
        <v>2.480713252292421E-2</v>
      </c>
      <c r="K549" s="11">
        <v>0.66249999999999998</v>
      </c>
      <c r="L549" s="15">
        <v>0.76666666666666672</v>
      </c>
      <c r="M549" s="15">
        <f>Tabela32[[#This Row],[Hr Chegada]]-Tabela32[[#This Row],[Hr Saida]]</f>
        <v>0.10416666666666674</v>
      </c>
      <c r="N549" s="4">
        <v>157454</v>
      </c>
      <c r="O549" s="4">
        <v>157483</v>
      </c>
      <c r="P549" s="4">
        <f>Tabela32[[#This Row],[Km Chegada]]-Tabela32[[#This Row],[Km Saída]]</f>
        <v>29</v>
      </c>
      <c r="Q549" s="4">
        <v>16</v>
      </c>
      <c r="R549" s="4">
        <v>2</v>
      </c>
      <c r="S549" s="4">
        <v>2</v>
      </c>
      <c r="T549" s="12">
        <f>Tabela32[[#This Row],[Entregas]]-Tabela32[[#This Row],[Realizadas]]</f>
        <v>0</v>
      </c>
      <c r="U549" s="18">
        <f>Tabela32[[#This Row],[Realizadas]]/Tabela32[[#This Row],[Entregas]]</f>
        <v>1</v>
      </c>
      <c r="V549" s="19" t="str">
        <f>IF(Tabela32[[#This Row],[% Entrega]]&gt;=96%,"Atendeu a Meta","Não Atendeu a Meta")</f>
        <v>Atendeu a Meta</v>
      </c>
      <c r="W549" s="4" t="s">
        <v>43</v>
      </c>
      <c r="X549" s="4">
        <v>0</v>
      </c>
      <c r="Y549" s="5">
        <v>0</v>
      </c>
    </row>
    <row r="550" spans="1:25" x14ac:dyDescent="0.25">
      <c r="A550" s="8">
        <v>46310</v>
      </c>
      <c r="B550" s="16">
        <f>YEAR(Tabela32[[#This Row],[Data]])</f>
        <v>2026</v>
      </c>
      <c r="C550" s="16">
        <f>MONTH(Tabela32[[#This Row],[Data]])</f>
        <v>10</v>
      </c>
      <c r="D550" s="4" t="s">
        <v>96</v>
      </c>
      <c r="E550" s="4">
        <v>1</v>
      </c>
      <c r="F550" s="4" t="str">
        <f>IFERROR(VLOOKUP(Tabela32[[#This Row],[Placa]],Planilha2!$A$1:$B$12,2,0),"")</f>
        <v>Manoel</v>
      </c>
      <c r="G550" s="10">
        <v>312.38</v>
      </c>
      <c r="H550" s="10">
        <v>3803.2</v>
      </c>
      <c r="I550" s="4">
        <v>30</v>
      </c>
      <c r="J550" s="17">
        <f>IFERROR(Tabela32[[#This Row],[Valor Frete]]/Tabela32[[#This Row],[Valor Mercadoria]],"")</f>
        <v>8.2136095919225924E-2</v>
      </c>
      <c r="K550" s="11">
        <v>0.31944444444444442</v>
      </c>
      <c r="L550" s="15">
        <v>0.45833333333333331</v>
      </c>
      <c r="M550" s="15">
        <f>Tabela32[[#This Row],[Hr Chegada]]-Tabela32[[#This Row],[Hr Saida]]</f>
        <v>0.1388888888888889</v>
      </c>
      <c r="N550" s="4">
        <v>60148</v>
      </c>
      <c r="O550" s="4">
        <v>60192</v>
      </c>
      <c r="P550" s="4">
        <f>Tabela32[[#This Row],[Km Chegada]]-Tabela32[[#This Row],[Km Saída]]</f>
        <v>44</v>
      </c>
      <c r="Q550" s="4">
        <v>1</v>
      </c>
      <c r="R550" s="4">
        <v>1</v>
      </c>
      <c r="S550" s="4">
        <v>1</v>
      </c>
      <c r="T550" s="12">
        <f>Tabela32[[#This Row],[Entregas]]-Tabela32[[#This Row],[Realizadas]]</f>
        <v>0</v>
      </c>
      <c r="U550" s="18">
        <f>Tabela32[[#This Row],[Realizadas]]/Tabela32[[#This Row],[Entregas]]</f>
        <v>1</v>
      </c>
      <c r="V550" s="19" t="str">
        <f>IF(Tabela32[[#This Row],[% Entrega]]&gt;=96%,"Atendeu a Meta","Não Atendeu a Meta")</f>
        <v>Atendeu a Meta</v>
      </c>
      <c r="W550" s="4" t="s">
        <v>40</v>
      </c>
      <c r="X550" s="4">
        <v>0</v>
      </c>
      <c r="Y550" s="5">
        <v>0</v>
      </c>
    </row>
    <row r="551" spans="1:25" x14ac:dyDescent="0.25">
      <c r="A551" s="8">
        <v>46310</v>
      </c>
      <c r="B551" s="16">
        <f>YEAR(Tabela32[[#This Row],[Data]])</f>
        <v>2026</v>
      </c>
      <c r="C551" s="16">
        <f>MONTH(Tabela32[[#This Row],[Data]])</f>
        <v>10</v>
      </c>
      <c r="D551" s="4" t="s">
        <v>96</v>
      </c>
      <c r="E551" s="4">
        <v>3</v>
      </c>
      <c r="F551" s="4" t="str">
        <f>IFERROR(VLOOKUP(Tabela32[[#This Row],[Placa]],Planilha2!$A$1:$B$12,2,0),"")</f>
        <v>Manoel</v>
      </c>
      <c r="G551" s="10">
        <v>554.45000000000005</v>
      </c>
      <c r="H551" s="10">
        <v>11397.52</v>
      </c>
      <c r="I551" s="4">
        <v>103</v>
      </c>
      <c r="J551" s="17">
        <f>IFERROR(Tabela32[[#This Row],[Valor Frete]]/Tabela32[[#This Row],[Valor Mercadoria]],"")</f>
        <v>4.8646547670019448E-2</v>
      </c>
      <c r="K551" s="11">
        <v>0.5625</v>
      </c>
      <c r="L551" s="15">
        <v>0.72152777777777777</v>
      </c>
      <c r="M551" s="15">
        <f>Tabela32[[#This Row],[Hr Chegada]]-Tabela32[[#This Row],[Hr Saida]]</f>
        <v>0.15902777777777777</v>
      </c>
      <c r="N551" s="4">
        <v>60192</v>
      </c>
      <c r="O551" s="4">
        <v>60207</v>
      </c>
      <c r="P551" s="4">
        <f>Tabela32[[#This Row],[Km Chegada]]-Tabela32[[#This Row],[Km Saída]]</f>
        <v>15</v>
      </c>
      <c r="Q551" s="4">
        <v>22</v>
      </c>
      <c r="R551" s="4">
        <v>2</v>
      </c>
      <c r="S551" s="4">
        <v>2</v>
      </c>
      <c r="T551" s="12">
        <f>Tabela32[[#This Row],[Entregas]]-Tabela32[[#This Row],[Realizadas]]</f>
        <v>0</v>
      </c>
      <c r="U551" s="18">
        <f>Tabela32[[#This Row],[Realizadas]]/Tabela32[[#This Row],[Entregas]]</f>
        <v>1</v>
      </c>
      <c r="V551" s="19" t="str">
        <f>IF(Tabela32[[#This Row],[% Entrega]]&gt;=96%,"Atendeu a Meta","Não Atendeu a Meta")</f>
        <v>Atendeu a Meta</v>
      </c>
      <c r="W551" s="4" t="s">
        <v>39</v>
      </c>
      <c r="X551" s="4">
        <v>0</v>
      </c>
      <c r="Y551" s="5">
        <v>0</v>
      </c>
    </row>
    <row r="552" spans="1:25" x14ac:dyDescent="0.25">
      <c r="A552" s="8">
        <v>46310</v>
      </c>
      <c r="B552" s="16">
        <f>YEAR(Tabela32[[#This Row],[Data]])</f>
        <v>2026</v>
      </c>
      <c r="C552" s="16">
        <f>MONTH(Tabela32[[#This Row],[Data]])</f>
        <v>10</v>
      </c>
      <c r="D552" s="4" t="s">
        <v>35</v>
      </c>
      <c r="E552" s="4">
        <v>2</v>
      </c>
      <c r="F552" s="4" t="str">
        <f>IFERROR(VLOOKUP(Tabela32[[#This Row],[Placa]],Planilha2!$A$1:$B$12,2,0),"")</f>
        <v>Osvaldo</v>
      </c>
      <c r="G552" s="10">
        <v>12671.38</v>
      </c>
      <c r="H552" s="10">
        <v>232058.53</v>
      </c>
      <c r="I552" s="4">
        <v>1736</v>
      </c>
      <c r="J552" s="17">
        <f>IFERROR(Tabela32[[#This Row],[Valor Frete]]/Tabela32[[#This Row],[Valor Mercadoria]],"")</f>
        <v>5.4604241438571552E-2</v>
      </c>
      <c r="K552" s="11">
        <v>0.27083333333333331</v>
      </c>
      <c r="L552" s="15">
        <v>0.71597222222222223</v>
      </c>
      <c r="M552" s="15">
        <f>Tabela32[[#This Row],[Hr Chegada]]-Tabela32[[#This Row],[Hr Saida]]</f>
        <v>0.44513888888888892</v>
      </c>
      <c r="N552" s="4">
        <v>144928</v>
      </c>
      <c r="O552" s="4">
        <v>144998</v>
      </c>
      <c r="P552" s="4">
        <f>Tabela32[[#This Row],[Km Chegada]]-Tabela32[[#This Row],[Km Saída]]</f>
        <v>70</v>
      </c>
      <c r="Q552" s="4">
        <v>309</v>
      </c>
      <c r="R552" s="4">
        <v>47</v>
      </c>
      <c r="S552" s="4">
        <v>47</v>
      </c>
      <c r="T552" s="12">
        <f>Tabela32[[#This Row],[Entregas]]-Tabela32[[#This Row],[Realizadas]]</f>
        <v>0</v>
      </c>
      <c r="U552" s="18">
        <f>Tabela32[[#This Row],[Realizadas]]/Tabela32[[#This Row],[Entregas]]</f>
        <v>1</v>
      </c>
      <c r="V552" s="19" t="str">
        <f>IF(Tabela32[[#This Row],[% Entrega]]&gt;=96%,"Atendeu a Meta","Não Atendeu a Meta")</f>
        <v>Atendeu a Meta</v>
      </c>
      <c r="W552" s="4" t="s">
        <v>39</v>
      </c>
      <c r="X552" s="4">
        <v>0</v>
      </c>
      <c r="Y552" s="5">
        <v>0</v>
      </c>
    </row>
    <row r="553" spans="1:25" x14ac:dyDescent="0.25">
      <c r="A553" s="8">
        <v>46310</v>
      </c>
      <c r="B553" s="16">
        <f>YEAR(Tabela32[[#This Row],[Data]])</f>
        <v>2026</v>
      </c>
      <c r="C553" s="16">
        <f>MONTH(Tabela32[[#This Row],[Data]])</f>
        <v>10</v>
      </c>
      <c r="D553" s="4" t="s">
        <v>31</v>
      </c>
      <c r="E553" s="4">
        <v>3</v>
      </c>
      <c r="F553" s="4" t="str">
        <f>IFERROR(VLOOKUP(Tabela32[[#This Row],[Placa]],Planilha2!$A$1:$B$12,2,0),"")</f>
        <v>Jerson</v>
      </c>
      <c r="G553" s="10">
        <v>11255.22</v>
      </c>
      <c r="H553" s="10">
        <v>144639.26</v>
      </c>
      <c r="I553" s="4">
        <v>1186</v>
      </c>
      <c r="J553" s="17">
        <f>IFERROR(Tabela32[[#This Row],[Valor Frete]]/Tabela32[[#This Row],[Valor Mercadoria]],"")</f>
        <v>7.7815801878411153E-2</v>
      </c>
      <c r="K553" s="11">
        <v>0.3</v>
      </c>
      <c r="L553" s="15">
        <v>0.74236111111111114</v>
      </c>
      <c r="M553" s="15">
        <f>Tabela32[[#This Row],[Hr Chegada]]-Tabela32[[#This Row],[Hr Saida]]</f>
        <v>0.44236111111111115</v>
      </c>
      <c r="N553" s="4">
        <v>282155</v>
      </c>
      <c r="O553" s="4">
        <v>282196</v>
      </c>
      <c r="P553" s="4">
        <f>Tabela32[[#This Row],[Km Chegada]]-Tabela32[[#This Row],[Km Saída]]</f>
        <v>41</v>
      </c>
      <c r="Q553" s="4">
        <v>162</v>
      </c>
      <c r="R553" s="4">
        <v>42</v>
      </c>
      <c r="S553" s="4">
        <v>42</v>
      </c>
      <c r="T553" s="12">
        <f>Tabela32[[#This Row],[Entregas]]-Tabela32[[#This Row],[Realizadas]]</f>
        <v>0</v>
      </c>
      <c r="U553" s="18">
        <f>Tabela32[[#This Row],[Realizadas]]/Tabela32[[#This Row],[Entregas]]</f>
        <v>1</v>
      </c>
      <c r="V553" s="19" t="str">
        <f>IF(Tabela32[[#This Row],[% Entrega]]&gt;=96%,"Atendeu a Meta","Não Atendeu a Meta")</f>
        <v>Atendeu a Meta</v>
      </c>
      <c r="W553" s="4" t="s">
        <v>39</v>
      </c>
      <c r="X553" s="4">
        <v>0</v>
      </c>
      <c r="Y553" s="5" t="s">
        <v>101</v>
      </c>
    </row>
    <row r="554" spans="1:25" x14ac:dyDescent="0.25">
      <c r="A554" s="8">
        <v>46310</v>
      </c>
      <c r="B554" s="16">
        <f>YEAR(Tabela32[[#This Row],[Data]])</f>
        <v>2026</v>
      </c>
      <c r="C554" s="16">
        <f>MONTH(Tabela32[[#This Row],[Data]])</f>
        <v>10</v>
      </c>
      <c r="D554" s="4" t="s">
        <v>23</v>
      </c>
      <c r="E554" s="4">
        <v>5</v>
      </c>
      <c r="F554" s="4" t="str">
        <f>IFERROR(VLOOKUP(Tabela32[[#This Row],[Placa]],Planilha2!$A$1:$B$12,2,0),"")</f>
        <v>William</v>
      </c>
      <c r="G554" s="10">
        <v>13722.62</v>
      </c>
      <c r="H554" s="10">
        <v>195984.25</v>
      </c>
      <c r="I554" s="4">
        <v>2983</v>
      </c>
      <c r="J554" s="17">
        <f>IFERROR(Tabela32[[#This Row],[Valor Frete]]/Tabela32[[#This Row],[Valor Mercadoria]],"")</f>
        <v>7.0018993873232169E-2</v>
      </c>
      <c r="K554" s="11">
        <v>0.29166666666666669</v>
      </c>
      <c r="L554" s="15">
        <v>0.82291666666666663</v>
      </c>
      <c r="M554" s="15">
        <f>Tabela32[[#This Row],[Hr Chegada]]-Tabela32[[#This Row],[Hr Saida]]</f>
        <v>0.53125</v>
      </c>
      <c r="N554" s="4">
        <v>127114</v>
      </c>
      <c r="O554" s="4">
        <v>127217</v>
      </c>
      <c r="P554" s="4">
        <f>Tabela32[[#This Row],[Km Chegada]]-Tabela32[[#This Row],[Km Saída]]</f>
        <v>103</v>
      </c>
      <c r="Q554" s="4">
        <v>349</v>
      </c>
      <c r="R554" s="4">
        <v>29</v>
      </c>
      <c r="S554" s="4">
        <v>23</v>
      </c>
      <c r="T554" s="12">
        <f>Tabela32[[#This Row],[Entregas]]-Tabela32[[#This Row],[Realizadas]]</f>
        <v>6</v>
      </c>
      <c r="U554" s="18">
        <f>Tabela32[[#This Row],[Realizadas]]/Tabela32[[#This Row],[Entregas]]</f>
        <v>0.7931034482758621</v>
      </c>
      <c r="V554" s="19" t="str">
        <f>IF(Tabela32[[#This Row],[% Entrega]]&gt;=96%,"Atendeu a Meta","Não Atendeu a Meta")</f>
        <v>Não Atendeu a Meta</v>
      </c>
      <c r="W554" s="4" t="s">
        <v>39</v>
      </c>
      <c r="X554" s="4">
        <v>6</v>
      </c>
      <c r="Y554" s="5" t="s">
        <v>99</v>
      </c>
    </row>
    <row r="555" spans="1:25" x14ac:dyDescent="0.25">
      <c r="A555" s="8">
        <v>46310</v>
      </c>
      <c r="B555" s="16">
        <f>YEAR(Tabela32[[#This Row],[Data]])</f>
        <v>2026</v>
      </c>
      <c r="C555" s="16">
        <f>MONTH(Tabela32[[#This Row],[Data]])</f>
        <v>10</v>
      </c>
      <c r="D555" s="4" t="s">
        <v>28</v>
      </c>
      <c r="E555" s="4">
        <v>5</v>
      </c>
      <c r="F555" s="4" t="str">
        <f>IFERROR(VLOOKUP(Tabela32[[#This Row],[Placa]],Planilha2!$A$1:$B$12,2,0),"")</f>
        <v>Edilson</v>
      </c>
      <c r="G555" s="10">
        <v>23400.09</v>
      </c>
      <c r="H555" s="10">
        <v>555992.39</v>
      </c>
      <c r="I555" s="4">
        <v>5385</v>
      </c>
      <c r="J555" s="17">
        <f>IFERROR(Tabela32[[#This Row],[Valor Frete]]/Tabela32[[#This Row],[Valor Mercadoria]],"")</f>
        <v>4.2087068853586283E-2</v>
      </c>
      <c r="K555" s="11">
        <v>0.27083333333333331</v>
      </c>
      <c r="L555" s="15">
        <v>0.69791666666666663</v>
      </c>
      <c r="M555" s="15">
        <f>Tabela32[[#This Row],[Hr Chegada]]-Tabela32[[#This Row],[Hr Saida]]</f>
        <v>0.42708333333333331</v>
      </c>
      <c r="N555" s="4">
        <v>107359</v>
      </c>
      <c r="O555" s="4">
        <v>107388</v>
      </c>
      <c r="P555" s="4">
        <f>Tabela32[[#This Row],[Km Chegada]]-Tabela32[[#This Row],[Km Saída]]</f>
        <v>29</v>
      </c>
      <c r="Q555" s="4">
        <v>544</v>
      </c>
      <c r="R555" s="4">
        <v>31</v>
      </c>
      <c r="S555" s="4">
        <v>31</v>
      </c>
      <c r="T555" s="12">
        <f>Tabela32[[#This Row],[Entregas]]-Tabela32[[#This Row],[Realizadas]]</f>
        <v>0</v>
      </c>
      <c r="U555" s="18">
        <f>Tabela32[[#This Row],[Realizadas]]/Tabela32[[#This Row],[Entregas]]</f>
        <v>1</v>
      </c>
      <c r="V555" s="19" t="str">
        <f>IF(Tabela32[[#This Row],[% Entrega]]&gt;=96%,"Atendeu a Meta","Não Atendeu a Meta")</f>
        <v>Atendeu a Meta</v>
      </c>
      <c r="W555" s="4" t="s">
        <v>39</v>
      </c>
      <c r="X555" s="4">
        <v>0</v>
      </c>
      <c r="Y555" s="5">
        <v>0</v>
      </c>
    </row>
    <row r="556" spans="1:25" x14ac:dyDescent="0.25">
      <c r="A556" s="8">
        <v>46310</v>
      </c>
      <c r="B556" s="16">
        <f>YEAR(Tabela32[[#This Row],[Data]])</f>
        <v>2026</v>
      </c>
      <c r="C556" s="16">
        <f>MONTH(Tabela32[[#This Row],[Data]])</f>
        <v>10</v>
      </c>
      <c r="D556" s="4" t="s">
        <v>25</v>
      </c>
      <c r="E556" s="4">
        <v>11</v>
      </c>
      <c r="F556" s="4" t="str">
        <f>IFERROR(VLOOKUP(Tabela32[[#This Row],[Placa]],Planilha2!$A$1:$B$12,2,0),"")</f>
        <v>Gilberto</v>
      </c>
      <c r="G556" s="10">
        <v>15815.19</v>
      </c>
      <c r="H556" s="10">
        <v>247315.65</v>
      </c>
      <c r="I556" s="4">
        <v>2462</v>
      </c>
      <c r="J556" s="17">
        <f>IFERROR(Tabela32[[#This Row],[Valor Frete]]/Tabela32[[#This Row],[Valor Mercadoria]],"")</f>
        <v>6.3947388691334331E-2</v>
      </c>
      <c r="K556" s="11">
        <v>0.29166666666666669</v>
      </c>
      <c r="L556" s="15">
        <v>0.73611111111111116</v>
      </c>
      <c r="M556" s="15">
        <f>Tabela32[[#This Row],[Hr Chegada]]-Tabela32[[#This Row],[Hr Saida]]</f>
        <v>0.44444444444444448</v>
      </c>
      <c r="N556" s="4">
        <v>121036</v>
      </c>
      <c r="O556" s="4">
        <v>121162</v>
      </c>
      <c r="P556" s="4">
        <f>Tabela32[[#This Row],[Km Chegada]]-Tabela32[[#This Row],[Km Saída]]</f>
        <v>126</v>
      </c>
      <c r="Q556" s="4">
        <v>525</v>
      </c>
      <c r="R556" s="4">
        <v>32</v>
      </c>
      <c r="S556" s="4">
        <v>32</v>
      </c>
      <c r="T556" s="12">
        <f>Tabela32[[#This Row],[Entregas]]-Tabela32[[#This Row],[Realizadas]]</f>
        <v>0</v>
      </c>
      <c r="U556" s="18">
        <f>Tabela32[[#This Row],[Realizadas]]/Tabela32[[#This Row],[Entregas]]</f>
        <v>1</v>
      </c>
      <c r="V556" s="19" t="str">
        <f>IF(Tabela32[[#This Row],[% Entrega]]&gt;=96%,"Atendeu a Meta","Não Atendeu a Meta")</f>
        <v>Atendeu a Meta</v>
      </c>
      <c r="W556" s="4" t="s">
        <v>41</v>
      </c>
      <c r="X556" s="4">
        <v>0</v>
      </c>
      <c r="Y556" s="5">
        <v>38</v>
      </c>
    </row>
    <row r="557" spans="1:25" x14ac:dyDescent="0.25">
      <c r="A557" s="8">
        <v>46310</v>
      </c>
      <c r="B557" s="16">
        <f>YEAR(Tabela32[[#This Row],[Data]])</f>
        <v>2026</v>
      </c>
      <c r="C557" s="16">
        <f>MONTH(Tabela32[[#This Row],[Data]])</f>
        <v>10</v>
      </c>
      <c r="D557" s="4" t="s">
        <v>27</v>
      </c>
      <c r="E557" s="4">
        <v>1</v>
      </c>
      <c r="F557" s="4" t="str">
        <f>IFERROR(VLOOKUP(Tabela32[[#This Row],[Placa]],Planilha2!$A$1:$B$12,2,0),"")</f>
        <v>Rosinaldo</v>
      </c>
      <c r="G557" s="10">
        <v>5875.38</v>
      </c>
      <c r="H557" s="10">
        <v>107635.26</v>
      </c>
      <c r="I557" s="4">
        <v>1146</v>
      </c>
      <c r="J557" s="17">
        <f>IFERROR(Tabela32[[#This Row],[Valor Frete]]/Tabela32[[#This Row],[Valor Mercadoria]],"")</f>
        <v>5.4586015772154967E-2</v>
      </c>
      <c r="K557" s="11">
        <v>0.3125</v>
      </c>
      <c r="L557" s="15">
        <v>0.73124999999999996</v>
      </c>
      <c r="M557" s="15">
        <f>Tabela32[[#This Row],[Hr Chegada]]-Tabela32[[#This Row],[Hr Saida]]</f>
        <v>0.41874999999999996</v>
      </c>
      <c r="N557" s="4">
        <v>292587</v>
      </c>
      <c r="O557" s="4">
        <v>292657</v>
      </c>
      <c r="P557" s="4">
        <f>Tabela32[[#This Row],[Km Chegada]]-Tabela32[[#This Row],[Km Saída]]</f>
        <v>70</v>
      </c>
      <c r="Q557" s="4">
        <v>173</v>
      </c>
      <c r="R557" s="4">
        <v>21</v>
      </c>
      <c r="S557" s="4">
        <v>21</v>
      </c>
      <c r="T557" s="12">
        <f>Tabela32[[#This Row],[Entregas]]-Tabela32[[#This Row],[Realizadas]]</f>
        <v>0</v>
      </c>
      <c r="U557" s="18">
        <f>Tabela32[[#This Row],[Realizadas]]/Tabela32[[#This Row],[Entregas]]</f>
        <v>1</v>
      </c>
      <c r="V557" s="19" t="str">
        <f>IF(Tabela32[[#This Row],[% Entrega]]&gt;=96%,"Atendeu a Meta","Não Atendeu a Meta")</f>
        <v>Atendeu a Meta</v>
      </c>
      <c r="W557" s="4" t="s">
        <v>43</v>
      </c>
      <c r="X557" s="4">
        <v>0</v>
      </c>
      <c r="Y557" s="5">
        <v>0</v>
      </c>
    </row>
    <row r="558" spans="1:25" x14ac:dyDescent="0.25">
      <c r="A558" s="8">
        <v>46310</v>
      </c>
      <c r="B558" s="16">
        <f>YEAR(Tabela32[[#This Row],[Data]])</f>
        <v>2026</v>
      </c>
      <c r="C558" s="16">
        <f>MONTH(Tabela32[[#This Row],[Data]])</f>
        <v>10</v>
      </c>
      <c r="D558" s="4" t="s">
        <v>22</v>
      </c>
      <c r="E558" s="4">
        <v>1</v>
      </c>
      <c r="F558" s="4" t="str">
        <f>IFERROR(VLOOKUP(Tabela32[[#This Row],[Placa]],Planilha2!$A$1:$B$12,2,0),"")</f>
        <v>Juscelino</v>
      </c>
      <c r="G558" s="10">
        <v>11616.88</v>
      </c>
      <c r="H558" s="10">
        <v>178265.55</v>
      </c>
      <c r="I558" s="4">
        <v>1767</v>
      </c>
      <c r="J558" s="17">
        <f>IFERROR(Tabela32[[#This Row],[Valor Frete]]/Tabela32[[#This Row],[Valor Mercadoria]],"")</f>
        <v>6.5166152405778902E-2</v>
      </c>
      <c r="K558" s="11">
        <v>0.3125</v>
      </c>
      <c r="L558" s="15">
        <v>0.67013888888888884</v>
      </c>
      <c r="M558" s="15">
        <f>Tabela32[[#This Row],[Hr Chegada]]-Tabela32[[#This Row],[Hr Saida]]</f>
        <v>0.35763888888888884</v>
      </c>
      <c r="N558" s="4">
        <v>306473</v>
      </c>
      <c r="O558" s="4">
        <v>306487</v>
      </c>
      <c r="P558" s="4">
        <f>Tabela32[[#This Row],[Km Chegada]]-Tabela32[[#This Row],[Km Saída]]</f>
        <v>14</v>
      </c>
      <c r="Q558" s="4">
        <v>288</v>
      </c>
      <c r="R558" s="4">
        <v>36</v>
      </c>
      <c r="S558" s="4">
        <v>36</v>
      </c>
      <c r="T558" s="12">
        <f>Tabela32[[#This Row],[Entregas]]-Tabela32[[#This Row],[Realizadas]]</f>
        <v>0</v>
      </c>
      <c r="U558" s="18">
        <f>Tabela32[[#This Row],[Realizadas]]/Tabela32[[#This Row],[Entregas]]</f>
        <v>1</v>
      </c>
      <c r="V558" s="19" t="str">
        <f>IF(Tabela32[[#This Row],[% Entrega]]&gt;=96%,"Atendeu a Meta","Não Atendeu a Meta")</f>
        <v>Atendeu a Meta</v>
      </c>
      <c r="W558" s="4" t="s">
        <v>43</v>
      </c>
      <c r="X558" s="4">
        <v>0</v>
      </c>
      <c r="Y558" s="5">
        <v>0</v>
      </c>
    </row>
    <row r="559" spans="1:25" x14ac:dyDescent="0.25">
      <c r="A559" s="8">
        <v>46310</v>
      </c>
      <c r="B559" s="16">
        <f>YEAR(Tabela32[[#This Row],[Data]])</f>
        <v>2026</v>
      </c>
      <c r="C559" s="16">
        <f>MONTH(Tabela32[[#This Row],[Data]])</f>
        <v>10</v>
      </c>
      <c r="D559" s="4" t="s">
        <v>53</v>
      </c>
      <c r="E559" s="4">
        <v>5</v>
      </c>
      <c r="F559" s="4" t="str">
        <f>IFERROR(VLOOKUP(Tabela32[[#This Row],[Placa]],Planilha2!$A$1:$B$12,2,0),"")</f>
        <v>Arnaldo</v>
      </c>
      <c r="G559" s="10">
        <v>7760.6</v>
      </c>
      <c r="H559" s="10">
        <v>89353.73</v>
      </c>
      <c r="I559" s="4">
        <v>1241</v>
      </c>
      <c r="J559" s="17">
        <f>IFERROR(Tabela32[[#This Row],[Valor Frete]]/Tabela32[[#This Row],[Valor Mercadoria]],"")</f>
        <v>8.6852557805924838E-2</v>
      </c>
      <c r="K559" s="11">
        <v>0.30555555555555558</v>
      </c>
      <c r="L559" s="15">
        <v>0.77777777777777779</v>
      </c>
      <c r="M559" s="15">
        <f>Tabela32[[#This Row],[Hr Chegada]]-Tabela32[[#This Row],[Hr Saida]]</f>
        <v>0.47222222222222221</v>
      </c>
      <c r="N559" s="4">
        <v>14890</v>
      </c>
      <c r="O559" s="4">
        <v>14920</v>
      </c>
      <c r="P559" s="4">
        <f>Tabela32[[#This Row],[Km Chegada]]-Tabela32[[#This Row],[Km Saída]]</f>
        <v>30</v>
      </c>
      <c r="Q559" s="4">
        <v>190</v>
      </c>
      <c r="R559" s="4">
        <v>7</v>
      </c>
      <c r="S559" s="4">
        <v>7</v>
      </c>
      <c r="T559" s="12">
        <f>Tabela32[[#This Row],[Entregas]]-Tabela32[[#This Row],[Realizadas]]</f>
        <v>0</v>
      </c>
      <c r="U559" s="18">
        <f>Tabela32[[#This Row],[Realizadas]]/Tabela32[[#This Row],[Entregas]]</f>
        <v>1</v>
      </c>
      <c r="V559" s="19" t="str">
        <f>IF(Tabela32[[#This Row],[% Entrega]]&gt;=96%,"Atendeu a Meta","Não Atendeu a Meta")</f>
        <v>Atendeu a Meta</v>
      </c>
      <c r="W559" s="4" t="s">
        <v>39</v>
      </c>
      <c r="X559" s="4">
        <v>0</v>
      </c>
      <c r="Y559" s="5">
        <v>0</v>
      </c>
    </row>
    <row r="560" spans="1:25" x14ac:dyDescent="0.25">
      <c r="A560" s="8">
        <v>46311</v>
      </c>
      <c r="B560" s="16">
        <f>YEAR(Tabela32[[#This Row],[Data]])</f>
        <v>2026</v>
      </c>
      <c r="C560" s="16">
        <f>MONTH(Tabela32[[#This Row],[Data]])</f>
        <v>10</v>
      </c>
      <c r="D560" s="4" t="s">
        <v>27</v>
      </c>
      <c r="E560" s="4">
        <v>1</v>
      </c>
      <c r="F560" s="4" t="str">
        <f>IFERROR(VLOOKUP(Tabela32[[#This Row],[Placa]],Planilha2!$A$1:$B$12,2,0),"")</f>
        <v>Rosinaldo</v>
      </c>
      <c r="G560" s="10">
        <v>4321.76</v>
      </c>
      <c r="H560" s="10">
        <v>116117.12</v>
      </c>
      <c r="I560" s="4">
        <v>1096</v>
      </c>
      <c r="J560" s="17">
        <f>IFERROR(Tabela32[[#This Row],[Valor Frete]]/Tabela32[[#This Row],[Valor Mercadoria]],"")</f>
        <v>3.7218973395137606E-2</v>
      </c>
      <c r="K560" s="11">
        <v>0.29166666666666669</v>
      </c>
      <c r="L560" s="15">
        <v>0.73958333333333337</v>
      </c>
      <c r="M560" s="15">
        <f>Tabela32[[#This Row],[Hr Chegada]]-Tabela32[[#This Row],[Hr Saida]]</f>
        <v>0.44791666666666669</v>
      </c>
      <c r="N560" s="4">
        <v>292652</v>
      </c>
      <c r="O560" s="4">
        <v>292693</v>
      </c>
      <c r="P560" s="4">
        <f>Tabela32[[#This Row],[Km Chegada]]-Tabela32[[#This Row],[Km Saída]]</f>
        <v>41</v>
      </c>
      <c r="Q560" s="4">
        <v>189</v>
      </c>
      <c r="R560" s="4">
        <v>9</v>
      </c>
      <c r="S560" s="4">
        <v>9</v>
      </c>
      <c r="T560" s="12">
        <f>Tabela32[[#This Row],[Entregas]]-Tabela32[[#This Row],[Realizadas]]</f>
        <v>0</v>
      </c>
      <c r="U560" s="18">
        <f>Tabela32[[#This Row],[Realizadas]]/Tabela32[[#This Row],[Entregas]]</f>
        <v>1</v>
      </c>
      <c r="V560" s="19" t="str">
        <f>IF(Tabela32[[#This Row],[% Entrega]]&gt;=96%,"Atendeu a Meta","Não Atendeu a Meta")</f>
        <v>Atendeu a Meta</v>
      </c>
      <c r="W560" s="4" t="s">
        <v>43</v>
      </c>
      <c r="X560" s="4">
        <v>0</v>
      </c>
      <c r="Y560" s="5">
        <v>38</v>
      </c>
    </row>
    <row r="561" spans="1:25" x14ac:dyDescent="0.25">
      <c r="A561" s="8">
        <v>46311</v>
      </c>
      <c r="B561" s="16">
        <f>YEAR(Tabela32[[#This Row],[Data]])</f>
        <v>2026</v>
      </c>
      <c r="C561" s="16">
        <f>MONTH(Tabela32[[#This Row],[Data]])</f>
        <v>10</v>
      </c>
      <c r="D561" s="4" t="s">
        <v>28</v>
      </c>
      <c r="E561" s="4">
        <v>11</v>
      </c>
      <c r="F561" s="4" t="str">
        <f>IFERROR(VLOOKUP(Tabela32[[#This Row],[Placa]],Planilha2!$A$1:$B$12,2,0),"")</f>
        <v>Edilson</v>
      </c>
      <c r="G561" s="10">
        <v>20290.310000000001</v>
      </c>
      <c r="H561" s="10">
        <v>374606.54</v>
      </c>
      <c r="I561" s="4">
        <v>3804</v>
      </c>
      <c r="J561" s="17">
        <f>IFERROR(Tabela32[[#This Row],[Valor Frete]]/Tabela32[[#This Row],[Valor Mercadoria]],"")</f>
        <v>5.4164323986441887E-2</v>
      </c>
      <c r="K561" s="11">
        <v>0.27083333333333331</v>
      </c>
      <c r="L561" s="15">
        <v>0.80277777777777781</v>
      </c>
      <c r="M561" s="15">
        <f>Tabela32[[#This Row],[Hr Chegada]]-Tabela32[[#This Row],[Hr Saida]]</f>
        <v>0.53194444444444455</v>
      </c>
      <c r="N561" s="4">
        <v>107388</v>
      </c>
      <c r="O561" s="4">
        <v>107527</v>
      </c>
      <c r="P561" s="4">
        <f>Tabela32[[#This Row],[Km Chegada]]-Tabela32[[#This Row],[Km Saída]]</f>
        <v>139</v>
      </c>
      <c r="Q561" s="4">
        <v>347</v>
      </c>
      <c r="R561" s="4">
        <v>42</v>
      </c>
      <c r="S561" s="4">
        <v>42</v>
      </c>
      <c r="T561" s="12">
        <f>Tabela32[[#This Row],[Entregas]]-Tabela32[[#This Row],[Realizadas]]</f>
        <v>0</v>
      </c>
      <c r="U561" s="18">
        <f>Tabela32[[#This Row],[Realizadas]]/Tabela32[[#This Row],[Entregas]]</f>
        <v>1</v>
      </c>
      <c r="V561" s="19" t="str">
        <f>IF(Tabela32[[#This Row],[% Entrega]]&gt;=96%,"Atendeu a Meta","Não Atendeu a Meta")</f>
        <v>Atendeu a Meta</v>
      </c>
      <c r="W561" s="4" t="s">
        <v>41</v>
      </c>
      <c r="X561" s="4">
        <v>0</v>
      </c>
      <c r="Y561" s="5" t="s">
        <v>102</v>
      </c>
    </row>
    <row r="562" spans="1:25" x14ac:dyDescent="0.25">
      <c r="A562" s="8">
        <v>46311</v>
      </c>
      <c r="B562" s="16">
        <f>YEAR(Tabela32[[#This Row],[Data]])</f>
        <v>2026</v>
      </c>
      <c r="C562" s="16">
        <f>MONTH(Tabela32[[#This Row],[Data]])</f>
        <v>10</v>
      </c>
      <c r="D562" s="4" t="s">
        <v>96</v>
      </c>
      <c r="E562" s="4">
        <v>4</v>
      </c>
      <c r="F562" s="4" t="str">
        <f>IFERROR(VLOOKUP(Tabela32[[#This Row],[Placa]],Planilha2!$A$1:$B$12,2,0),"")</f>
        <v>Manoel</v>
      </c>
      <c r="G562" s="10">
        <v>526.25</v>
      </c>
      <c r="H562" s="10">
        <v>2322</v>
      </c>
      <c r="I562" s="4">
        <v>3.3</v>
      </c>
      <c r="J562" s="17">
        <f>IFERROR(Tabela32[[#This Row],[Valor Frete]]/Tabela32[[#This Row],[Valor Mercadoria]],"")</f>
        <v>0.2266365202411714</v>
      </c>
      <c r="K562" s="11">
        <v>0.66666666666666663</v>
      </c>
      <c r="L562" s="15">
        <v>0.79861111111111116</v>
      </c>
      <c r="M562" s="15">
        <f>Tabela32[[#This Row],[Hr Chegada]]-Tabela32[[#This Row],[Hr Saida]]</f>
        <v>0.13194444444444453</v>
      </c>
      <c r="N562" s="4">
        <v>64241</v>
      </c>
      <c r="O562" s="4">
        <v>64293</v>
      </c>
      <c r="P562" s="4">
        <f>Tabela32[[#This Row],[Km Chegada]]-Tabela32[[#This Row],[Km Saída]]</f>
        <v>52</v>
      </c>
      <c r="Q562" s="4">
        <v>4</v>
      </c>
      <c r="R562" s="4">
        <v>3</v>
      </c>
      <c r="S562" s="4">
        <v>3</v>
      </c>
      <c r="T562" s="12">
        <f>Tabela32[[#This Row],[Entregas]]-Tabela32[[#This Row],[Realizadas]]</f>
        <v>0</v>
      </c>
      <c r="U562" s="18">
        <f>Tabela32[[#This Row],[Realizadas]]/Tabela32[[#This Row],[Entregas]]</f>
        <v>1</v>
      </c>
      <c r="V562" s="19" t="str">
        <f>IF(Tabela32[[#This Row],[% Entrega]]&gt;=96%,"Atendeu a Meta","Não Atendeu a Meta")</f>
        <v>Atendeu a Meta</v>
      </c>
      <c r="W562" s="4" t="s">
        <v>39</v>
      </c>
      <c r="X562" s="4">
        <v>0</v>
      </c>
      <c r="Y562" s="5">
        <v>0</v>
      </c>
    </row>
    <row r="563" spans="1:25" x14ac:dyDescent="0.25">
      <c r="A563" s="8">
        <v>46311</v>
      </c>
      <c r="B563" s="16">
        <f>YEAR(Tabela32[[#This Row],[Data]])</f>
        <v>2026</v>
      </c>
      <c r="C563" s="16">
        <f>MONTH(Tabela32[[#This Row],[Data]])</f>
        <v>10</v>
      </c>
      <c r="D563" s="4" t="s">
        <v>36</v>
      </c>
      <c r="E563" s="4">
        <v>5</v>
      </c>
      <c r="F563" s="4" t="str">
        <f>IFERROR(VLOOKUP(Tabela32[[#This Row],[Placa]],Planilha2!$A$1:$B$12,2,0),"")</f>
        <v>Heremilton</v>
      </c>
      <c r="G563" s="10">
        <v>2406.34</v>
      </c>
      <c r="H563" s="10">
        <v>92852.1</v>
      </c>
      <c r="I563" s="4">
        <v>534</v>
      </c>
      <c r="J563" s="17">
        <f>IFERROR(Tabela32[[#This Row],[Valor Frete]]/Tabela32[[#This Row],[Valor Mercadoria]],"")</f>
        <v>2.5915838198597555E-2</v>
      </c>
      <c r="K563" s="11">
        <v>0.39583333333333331</v>
      </c>
      <c r="L563" s="15">
        <v>0.75694444444444442</v>
      </c>
      <c r="M563" s="15">
        <f>Tabela32[[#This Row],[Hr Chegada]]-Tabela32[[#This Row],[Hr Saida]]</f>
        <v>0.3611111111111111</v>
      </c>
      <c r="N563" s="4">
        <v>368827</v>
      </c>
      <c r="O563" s="4">
        <v>368863</v>
      </c>
      <c r="P563" s="4">
        <f>Tabela32[[#This Row],[Km Chegada]]-Tabela32[[#This Row],[Km Saída]]</f>
        <v>36</v>
      </c>
      <c r="Q563" s="4">
        <v>160</v>
      </c>
      <c r="R563" s="4">
        <v>2</v>
      </c>
      <c r="S563" s="4">
        <v>2</v>
      </c>
      <c r="T563" s="12">
        <f>Tabela32[[#This Row],[Entregas]]-Tabela32[[#This Row],[Realizadas]]</f>
        <v>0</v>
      </c>
      <c r="U563" s="18">
        <f>Tabela32[[#This Row],[Realizadas]]/Tabela32[[#This Row],[Entregas]]</f>
        <v>1</v>
      </c>
      <c r="V563" s="19" t="str">
        <f>IF(Tabela32[[#This Row],[% Entrega]]&gt;=96%,"Atendeu a Meta","Não Atendeu a Meta")</f>
        <v>Atendeu a Meta</v>
      </c>
      <c r="W563" s="4" t="s">
        <v>39</v>
      </c>
      <c r="X563" s="4">
        <v>0</v>
      </c>
      <c r="Y563" s="5">
        <v>0</v>
      </c>
    </row>
    <row r="564" spans="1:25" x14ac:dyDescent="0.25">
      <c r="A564" s="8">
        <v>46311</v>
      </c>
      <c r="B564" s="16">
        <f>YEAR(Tabela32[[#This Row],[Data]])</f>
        <v>2026</v>
      </c>
      <c r="C564" s="16">
        <f>MONTH(Tabela32[[#This Row],[Data]])</f>
        <v>10</v>
      </c>
      <c r="D564" s="4" t="s">
        <v>23</v>
      </c>
      <c r="E564" s="4">
        <v>5</v>
      </c>
      <c r="F564" s="4" t="str">
        <f>IFERROR(VLOOKUP(Tabela32[[#This Row],[Placa]],Planilha2!$A$1:$B$12,2,0),"")</f>
        <v>William</v>
      </c>
      <c r="G564" s="10">
        <v>17104.04</v>
      </c>
      <c r="H564" s="10">
        <v>202419.4</v>
      </c>
      <c r="I564" s="4">
        <v>2512</v>
      </c>
      <c r="J564" s="17">
        <f>IFERROR(Tabela32[[#This Row],[Valor Frete]]/Tabela32[[#This Row],[Valor Mercadoria]],"")</f>
        <v>8.4498027362989919E-2</v>
      </c>
      <c r="K564" s="11">
        <v>0.29166666666666669</v>
      </c>
      <c r="L564" s="15">
        <v>0.79097222222222219</v>
      </c>
      <c r="M564" s="15">
        <f>Tabela32[[#This Row],[Hr Chegada]]-Tabela32[[#This Row],[Hr Saida]]</f>
        <v>0.4993055555555555</v>
      </c>
      <c r="N564" s="4">
        <v>127217</v>
      </c>
      <c r="O564" s="4">
        <v>127272</v>
      </c>
      <c r="P564" s="4">
        <f>Tabela32[[#This Row],[Km Chegada]]-Tabela32[[#This Row],[Km Saída]]</f>
        <v>55</v>
      </c>
      <c r="Q564" s="4">
        <v>582</v>
      </c>
      <c r="R564" s="4">
        <v>24</v>
      </c>
      <c r="S564" s="4">
        <v>24</v>
      </c>
      <c r="T564" s="12">
        <f>Tabela32[[#This Row],[Entregas]]-Tabela32[[#This Row],[Realizadas]]</f>
        <v>0</v>
      </c>
      <c r="U564" s="18">
        <f>Tabela32[[#This Row],[Realizadas]]/Tabela32[[#This Row],[Entregas]]</f>
        <v>1</v>
      </c>
      <c r="V564" s="19" t="str">
        <f>IF(Tabela32[[#This Row],[% Entrega]]&gt;=96%,"Atendeu a Meta","Não Atendeu a Meta")</f>
        <v>Atendeu a Meta</v>
      </c>
      <c r="W564" s="4" t="s">
        <v>39</v>
      </c>
      <c r="X564" s="4">
        <v>8</v>
      </c>
      <c r="Y564" s="5" t="s">
        <v>73</v>
      </c>
    </row>
    <row r="565" spans="1:25" x14ac:dyDescent="0.25">
      <c r="A565" s="8">
        <v>46311</v>
      </c>
      <c r="B565" s="16">
        <f>YEAR(Tabela32[[#This Row],[Data]])</f>
        <v>2026</v>
      </c>
      <c r="C565" s="16">
        <f>MONTH(Tabela32[[#This Row],[Data]])</f>
        <v>10</v>
      </c>
      <c r="D565" s="4" t="s">
        <v>22</v>
      </c>
      <c r="E565" s="4">
        <v>1</v>
      </c>
      <c r="F565" s="4" t="str">
        <f>IFERROR(VLOOKUP(Tabela32[[#This Row],[Placa]],Planilha2!$A$1:$B$12,2,0),"")</f>
        <v>Juscelino</v>
      </c>
      <c r="G565" s="10">
        <v>10648.92</v>
      </c>
      <c r="H565" s="10">
        <v>182671.14</v>
      </c>
      <c r="I565" s="4">
        <v>2349</v>
      </c>
      <c r="J565" s="17">
        <f>IFERROR(Tabela32[[#This Row],[Valor Frete]]/Tabela32[[#This Row],[Valor Mercadoria]],"")</f>
        <v>5.8295579695840288E-2</v>
      </c>
      <c r="K565" s="11">
        <v>0.29166666666666669</v>
      </c>
      <c r="L565" s="15">
        <v>0.83333333333333337</v>
      </c>
      <c r="M565" s="15">
        <f>Tabela32[[#This Row],[Hr Chegada]]-Tabela32[[#This Row],[Hr Saida]]</f>
        <v>0.54166666666666674</v>
      </c>
      <c r="N565" s="4">
        <v>306487</v>
      </c>
      <c r="O565" s="4">
        <v>306655</v>
      </c>
      <c r="P565" s="4">
        <f>Tabela32[[#This Row],[Km Chegada]]-Tabela32[[#This Row],[Km Saída]]</f>
        <v>168</v>
      </c>
      <c r="Q565" s="4">
        <v>232</v>
      </c>
      <c r="R565" s="4">
        <v>27</v>
      </c>
      <c r="S565" s="4">
        <v>27</v>
      </c>
      <c r="T565" s="12">
        <f>Tabela32[[#This Row],[Entregas]]-Tabela32[[#This Row],[Realizadas]]</f>
        <v>0</v>
      </c>
      <c r="U565" s="18">
        <f>Tabela32[[#This Row],[Realizadas]]/Tabela32[[#This Row],[Entregas]]</f>
        <v>1</v>
      </c>
      <c r="V565" s="19" t="str">
        <f>IF(Tabela32[[#This Row],[% Entrega]]&gt;=96%,"Atendeu a Meta","Não Atendeu a Meta")</f>
        <v>Atendeu a Meta</v>
      </c>
      <c r="W565" s="4" t="s">
        <v>40</v>
      </c>
      <c r="X565" s="4">
        <v>3</v>
      </c>
      <c r="Y565" s="5" t="s">
        <v>103</v>
      </c>
    </row>
    <row r="566" spans="1:25" x14ac:dyDescent="0.25">
      <c r="A566" s="8">
        <v>46311</v>
      </c>
      <c r="B566" s="16">
        <f>YEAR(Tabela32[[#This Row],[Data]])</f>
        <v>2026</v>
      </c>
      <c r="C566" s="16">
        <f>MONTH(Tabela32[[#This Row],[Data]])</f>
        <v>10</v>
      </c>
      <c r="D566" s="4" t="s">
        <v>29</v>
      </c>
      <c r="E566" s="4">
        <v>1</v>
      </c>
      <c r="F566" s="4" t="str">
        <f>IFERROR(VLOOKUP(Tabela32[[#This Row],[Placa]],Planilha2!$A$1:$B$12,2,0),"")</f>
        <v>Sandro</v>
      </c>
      <c r="G566" s="10">
        <v>4788.5</v>
      </c>
      <c r="H566" s="10">
        <v>259988.06</v>
      </c>
      <c r="I566" s="4">
        <v>453</v>
      </c>
      <c r="J566" s="17">
        <f>IFERROR(Tabela32[[#This Row],[Valor Frete]]/Tabela32[[#This Row],[Valor Mercadoria]],"")</f>
        <v>1.8418153510588141E-2</v>
      </c>
      <c r="K566" s="11">
        <v>0.29166666666666669</v>
      </c>
      <c r="L566" s="15">
        <v>0.78680555555555554</v>
      </c>
      <c r="M566" s="15">
        <f>Tabela32[[#This Row],[Hr Chegada]]-Tabela32[[#This Row],[Hr Saida]]</f>
        <v>0.49513888888888885</v>
      </c>
      <c r="N566" s="4">
        <v>277067</v>
      </c>
      <c r="O566" s="4">
        <v>277111</v>
      </c>
      <c r="P566" s="4">
        <f>Tabela32[[#This Row],[Km Chegada]]-Tabela32[[#This Row],[Km Saída]]</f>
        <v>44</v>
      </c>
      <c r="Q566" s="4">
        <v>263</v>
      </c>
      <c r="R566" s="4">
        <v>5</v>
      </c>
      <c r="S566" s="4">
        <v>5</v>
      </c>
      <c r="T566" s="12">
        <f>Tabela32[[#This Row],[Entregas]]-Tabela32[[#This Row],[Realizadas]]</f>
        <v>0</v>
      </c>
      <c r="U566" s="18">
        <f>Tabela32[[#This Row],[Realizadas]]/Tabela32[[#This Row],[Entregas]]</f>
        <v>1</v>
      </c>
      <c r="V566" s="19" t="str">
        <f>IF(Tabela32[[#This Row],[% Entrega]]&gt;=96%,"Atendeu a Meta","Não Atendeu a Meta")</f>
        <v>Atendeu a Meta</v>
      </c>
      <c r="W566" s="4" t="s">
        <v>40</v>
      </c>
      <c r="X566" s="4">
        <v>0</v>
      </c>
      <c r="Y566" s="5">
        <v>0</v>
      </c>
    </row>
    <row r="567" spans="1:25" x14ac:dyDescent="0.25">
      <c r="A567" s="8">
        <v>46311</v>
      </c>
      <c r="B567" s="16">
        <f>YEAR(Tabela32[[#This Row],[Data]])</f>
        <v>2026</v>
      </c>
      <c r="C567" s="16">
        <f>MONTH(Tabela32[[#This Row],[Data]])</f>
        <v>10</v>
      </c>
      <c r="D567" s="4" t="s">
        <v>33</v>
      </c>
      <c r="E567" s="4">
        <v>5</v>
      </c>
      <c r="F567" s="4" t="str">
        <f>IFERROR(VLOOKUP(Tabela32[[#This Row],[Placa]],Planilha2!$A$1:$B$12,2,0),"")</f>
        <v>Paulo</v>
      </c>
      <c r="G567" s="10">
        <v>2629.81</v>
      </c>
      <c r="H567" s="10">
        <v>28173.65</v>
      </c>
      <c r="I567" s="4">
        <v>473</v>
      </c>
      <c r="J567" s="17">
        <f>IFERROR(Tabela32[[#This Row],[Valor Frete]]/Tabela32[[#This Row],[Valor Mercadoria]],"")</f>
        <v>9.3342893093369156E-2</v>
      </c>
      <c r="K567" s="11">
        <v>0.3125</v>
      </c>
      <c r="L567" s="15">
        <v>0.76041666666666663</v>
      </c>
      <c r="M567" s="15">
        <f>Tabela32[[#This Row],[Hr Chegada]]-Tabela32[[#This Row],[Hr Saida]]</f>
        <v>0.44791666666666663</v>
      </c>
      <c r="N567" s="4">
        <v>157454</v>
      </c>
      <c r="O567" s="4">
        <v>157496</v>
      </c>
      <c r="P567" s="4">
        <f>Tabela32[[#This Row],[Km Chegada]]-Tabela32[[#This Row],[Km Saída]]</f>
        <v>42</v>
      </c>
      <c r="Q567" s="4">
        <v>229</v>
      </c>
      <c r="R567" s="4">
        <v>4</v>
      </c>
      <c r="S567" s="4">
        <v>4</v>
      </c>
      <c r="T567" s="12">
        <f>Tabela32[[#This Row],[Entregas]]-Tabela32[[#This Row],[Realizadas]]</f>
        <v>0</v>
      </c>
      <c r="U567" s="18">
        <f>Tabela32[[#This Row],[Realizadas]]/Tabela32[[#This Row],[Entregas]]</f>
        <v>1</v>
      </c>
      <c r="V567" s="19" t="str">
        <f>IF(Tabela32[[#This Row],[% Entrega]]&gt;=96%,"Atendeu a Meta","Não Atendeu a Meta")</f>
        <v>Atendeu a Meta</v>
      </c>
      <c r="W567" s="4" t="s">
        <v>39</v>
      </c>
      <c r="X567" s="4">
        <v>0</v>
      </c>
      <c r="Y567" s="5">
        <v>0</v>
      </c>
    </row>
    <row r="568" spans="1:25" x14ac:dyDescent="0.25">
      <c r="A568" s="8">
        <v>46311</v>
      </c>
      <c r="B568" s="16">
        <f>YEAR(Tabela32[[#This Row],[Data]])</f>
        <v>2026</v>
      </c>
      <c r="C568" s="16">
        <f>MONTH(Tabela32[[#This Row],[Data]])</f>
        <v>10</v>
      </c>
      <c r="D568" s="4" t="s">
        <v>53</v>
      </c>
      <c r="E568" s="4">
        <v>3</v>
      </c>
      <c r="F568" s="4" t="str">
        <f>IFERROR(VLOOKUP(Tabela32[[#This Row],[Placa]],Planilha2!$A$1:$B$12,2,0),"")</f>
        <v>Arnaldo</v>
      </c>
      <c r="G568" s="10">
        <v>6168.57</v>
      </c>
      <c r="H568" s="10">
        <v>144733.09</v>
      </c>
      <c r="I568" s="4">
        <v>1027</v>
      </c>
      <c r="J568" s="17">
        <f>IFERROR(Tabela32[[#This Row],[Valor Frete]]/Tabela32[[#This Row],[Valor Mercadoria]],"")</f>
        <v>4.2620315782658964E-2</v>
      </c>
      <c r="K568" s="11">
        <v>0.29652777777777778</v>
      </c>
      <c r="L568" s="15">
        <v>0.75416666666666665</v>
      </c>
      <c r="M568" s="15">
        <f>Tabela32[[#This Row],[Hr Chegada]]-Tabela32[[#This Row],[Hr Saida]]</f>
        <v>0.45763888888888887</v>
      </c>
      <c r="N568" s="4">
        <v>14920</v>
      </c>
      <c r="O568" s="4">
        <v>14972</v>
      </c>
      <c r="P568" s="4">
        <f>Tabela32[[#This Row],[Km Chegada]]-Tabela32[[#This Row],[Km Saída]]</f>
        <v>52</v>
      </c>
      <c r="Q568" s="4">
        <v>182</v>
      </c>
      <c r="R568" s="4">
        <v>14</v>
      </c>
      <c r="S568" s="4">
        <v>14</v>
      </c>
      <c r="T568" s="12">
        <f>Tabela32[[#This Row],[Entregas]]-Tabela32[[#This Row],[Realizadas]]</f>
        <v>0</v>
      </c>
      <c r="U568" s="18">
        <f>Tabela32[[#This Row],[Realizadas]]/Tabela32[[#This Row],[Entregas]]</f>
        <v>1</v>
      </c>
      <c r="V568" s="19" t="str">
        <f>IF(Tabela32[[#This Row],[% Entrega]]&gt;=96%,"Atendeu a Meta","Não Atendeu a Meta")</f>
        <v>Atendeu a Meta</v>
      </c>
      <c r="W568" s="4" t="s">
        <v>39</v>
      </c>
      <c r="X568" s="4">
        <v>0</v>
      </c>
      <c r="Y568" s="5" t="s">
        <v>81</v>
      </c>
    </row>
    <row r="569" spans="1:25" x14ac:dyDescent="0.25">
      <c r="A569" s="8">
        <v>46311</v>
      </c>
      <c r="B569" s="16">
        <f>YEAR(Tabela32[[#This Row],[Data]])</f>
        <v>2026</v>
      </c>
      <c r="C569" s="16">
        <f>MONTH(Tabela32[[#This Row],[Data]])</f>
        <v>10</v>
      </c>
      <c r="D569" s="4" t="s">
        <v>25</v>
      </c>
      <c r="E569" s="4">
        <v>1</v>
      </c>
      <c r="F569" s="4" t="str">
        <f>IFERROR(VLOOKUP(Tabela32[[#This Row],[Placa]],Planilha2!$A$1:$B$12,2,0),"")</f>
        <v>Gilberto</v>
      </c>
      <c r="G569" s="10">
        <v>13054.51</v>
      </c>
      <c r="H569" s="10">
        <v>46649.95</v>
      </c>
      <c r="I569" s="4">
        <v>723</v>
      </c>
      <c r="J569" s="17">
        <f>IFERROR(Tabela32[[#This Row],[Valor Frete]]/Tabela32[[#This Row],[Valor Mercadoria]],"")</f>
        <v>0.27983974259350763</v>
      </c>
      <c r="K569" s="11">
        <v>0.29166666666666669</v>
      </c>
      <c r="L569" s="15">
        <v>0.75</v>
      </c>
      <c r="M569" s="15">
        <f>Tabela32[[#This Row],[Hr Chegada]]-Tabela32[[#This Row],[Hr Saida]]</f>
        <v>0.45833333333333331</v>
      </c>
      <c r="N569" s="4">
        <v>121162</v>
      </c>
      <c r="O569" s="4">
        <v>121193</v>
      </c>
      <c r="P569" s="4">
        <f>Tabela32[[#This Row],[Km Chegada]]-Tabela32[[#This Row],[Km Saída]]</f>
        <v>31</v>
      </c>
      <c r="Q569" s="4">
        <v>723</v>
      </c>
      <c r="R569" s="4">
        <v>2</v>
      </c>
      <c r="S569" s="4">
        <v>2</v>
      </c>
      <c r="T569" s="12">
        <f>Tabela32[[#This Row],[Entregas]]-Tabela32[[#This Row],[Realizadas]]</f>
        <v>0</v>
      </c>
      <c r="U569" s="18">
        <f>Tabela32[[#This Row],[Realizadas]]/Tabela32[[#This Row],[Entregas]]</f>
        <v>1</v>
      </c>
      <c r="V569" s="19" t="str">
        <f>IF(Tabela32[[#This Row],[% Entrega]]&gt;=96%,"Atendeu a Meta","Não Atendeu a Meta")</f>
        <v>Atendeu a Meta</v>
      </c>
      <c r="W569" s="4" t="s">
        <v>40</v>
      </c>
      <c r="X569" s="4">
        <v>0</v>
      </c>
      <c r="Y569" s="5">
        <v>0</v>
      </c>
    </row>
    <row r="570" spans="1:25" x14ac:dyDescent="0.25">
      <c r="A570" s="8">
        <v>46311</v>
      </c>
      <c r="B570" s="16">
        <f>YEAR(Tabela32[[#This Row],[Data]])</f>
        <v>2026</v>
      </c>
      <c r="C570" s="16">
        <f>MONTH(Tabela32[[#This Row],[Data]])</f>
        <v>10</v>
      </c>
      <c r="D570" s="4" t="s">
        <v>35</v>
      </c>
      <c r="E570" s="4">
        <v>2</v>
      </c>
      <c r="F570" s="4" t="str">
        <f>IFERROR(VLOOKUP(Tabela32[[#This Row],[Placa]],Planilha2!$A$1:$B$12,2,0),"")</f>
        <v>Osvaldo</v>
      </c>
      <c r="G570" s="10">
        <v>11529.31</v>
      </c>
      <c r="H570" s="10">
        <v>271037.05</v>
      </c>
      <c r="I570" s="4">
        <v>293</v>
      </c>
      <c r="J570" s="17">
        <f>IFERROR(Tabela32[[#This Row],[Valor Frete]]/Tabela32[[#This Row],[Valor Mercadoria]],"")</f>
        <v>4.2537763748535483E-2</v>
      </c>
      <c r="K570" s="11">
        <v>0.29166666666666669</v>
      </c>
      <c r="L570" s="15">
        <v>0.75069444444444444</v>
      </c>
      <c r="M570" s="15">
        <f>Tabela32[[#This Row],[Hr Chegada]]-Tabela32[[#This Row],[Hr Saida]]</f>
        <v>0.45902777777777776</v>
      </c>
      <c r="N570" s="4">
        <v>144998</v>
      </c>
      <c r="O570" s="4">
        <v>145063</v>
      </c>
      <c r="P570" s="4">
        <f>Tabela32[[#This Row],[Km Chegada]]-Tabela32[[#This Row],[Km Saída]]</f>
        <v>65</v>
      </c>
      <c r="Q570" s="4">
        <v>293</v>
      </c>
      <c r="R570" s="4">
        <v>31</v>
      </c>
      <c r="S570" s="4">
        <v>31</v>
      </c>
      <c r="T570" s="12">
        <f>Tabela32[[#This Row],[Entregas]]-Tabela32[[#This Row],[Realizadas]]</f>
        <v>0</v>
      </c>
      <c r="U570" s="18">
        <f>Tabela32[[#This Row],[Realizadas]]/Tabela32[[#This Row],[Entregas]]</f>
        <v>1</v>
      </c>
      <c r="V570" s="19" t="str">
        <f>IF(Tabela32[[#This Row],[% Entrega]]&gt;=96%,"Atendeu a Meta","Não Atendeu a Meta")</f>
        <v>Atendeu a Meta</v>
      </c>
      <c r="W570" s="4" t="s">
        <v>39</v>
      </c>
      <c r="X570" s="4">
        <v>0</v>
      </c>
      <c r="Y570" s="5">
        <v>0</v>
      </c>
    </row>
    <row r="571" spans="1:25" x14ac:dyDescent="0.25">
      <c r="A571" s="8">
        <v>46311</v>
      </c>
      <c r="B571" s="16">
        <f>YEAR(Tabela32[[#This Row],[Data]])</f>
        <v>2026</v>
      </c>
      <c r="C571" s="16">
        <f>MONTH(Tabela32[[#This Row],[Data]])</f>
        <v>10</v>
      </c>
      <c r="D571" s="4" t="s">
        <v>31</v>
      </c>
      <c r="E571" s="4">
        <v>3</v>
      </c>
      <c r="F571" s="4" t="str">
        <f>IFERROR(VLOOKUP(Tabela32[[#This Row],[Placa]],Planilha2!$A$1:$B$12,2,0),"")</f>
        <v>Jerson</v>
      </c>
      <c r="G571" s="10">
        <v>12697.95</v>
      </c>
      <c r="H571" s="10">
        <v>378975.83</v>
      </c>
      <c r="I571" s="4">
        <v>2688</v>
      </c>
      <c r="J571" s="17">
        <f>IFERROR(Tabela32[[#This Row],[Valor Frete]]/Tabela32[[#This Row],[Valor Mercadoria]],"")</f>
        <v>3.3505962636192391E-2</v>
      </c>
      <c r="K571" s="11">
        <v>0.29722222222222222</v>
      </c>
      <c r="L571" s="15">
        <v>0.74097222222222225</v>
      </c>
      <c r="M571" s="15">
        <f>Tabela32[[#This Row],[Hr Chegada]]-Tabela32[[#This Row],[Hr Saida]]</f>
        <v>0.44375000000000003</v>
      </c>
      <c r="N571" s="4">
        <v>282196</v>
      </c>
      <c r="O571" s="4">
        <v>282242</v>
      </c>
      <c r="P571" s="4">
        <f>Tabela32[[#This Row],[Km Chegada]]-Tabela32[[#This Row],[Km Saída]]</f>
        <v>46</v>
      </c>
      <c r="Q571" s="4">
        <v>479</v>
      </c>
      <c r="R571" s="4">
        <v>17</v>
      </c>
      <c r="S571" s="4">
        <v>17</v>
      </c>
      <c r="T571" s="12">
        <f>Tabela32[[#This Row],[Entregas]]-Tabela32[[#This Row],[Realizadas]]</f>
        <v>0</v>
      </c>
      <c r="U571" s="18">
        <f>Tabela32[[#This Row],[Realizadas]]/Tabela32[[#This Row],[Entregas]]</f>
        <v>1</v>
      </c>
      <c r="V571" s="19" t="str">
        <f>IF(Tabela32[[#This Row],[% Entrega]]&gt;=96%,"Atendeu a Meta","Não Atendeu a Meta")</f>
        <v>Atendeu a Meta</v>
      </c>
      <c r="W571" s="4" t="s">
        <v>39</v>
      </c>
      <c r="X571" s="4">
        <v>0</v>
      </c>
      <c r="Y571" s="5">
        <v>38</v>
      </c>
    </row>
    <row r="572" spans="1:25" x14ac:dyDescent="0.25">
      <c r="A572" s="8">
        <v>46312</v>
      </c>
      <c r="B572" s="16">
        <f>YEAR(Tabela32[[#This Row],[Data]])</f>
        <v>2026</v>
      </c>
      <c r="C572" s="16">
        <f>MONTH(Tabela32[[#This Row],[Data]])</f>
        <v>10</v>
      </c>
      <c r="D572" s="4" t="s">
        <v>29</v>
      </c>
      <c r="E572" s="4">
        <v>1</v>
      </c>
      <c r="F572" s="4" t="str">
        <f>IFERROR(VLOOKUP(Tabela32[[#This Row],[Placa]],Planilha2!$A$1:$B$12,2,0),"")</f>
        <v>Sandro</v>
      </c>
      <c r="G572" s="10">
        <v>867.03</v>
      </c>
      <c r="H572" s="10">
        <v>753.26</v>
      </c>
      <c r="I572" s="4">
        <v>6.8</v>
      </c>
      <c r="J572" s="17">
        <f>IFERROR(Tabela32[[#This Row],[Valor Frete]]/Tabela32[[#This Row],[Valor Mercadoria]],"")</f>
        <v>1.1510368265937392</v>
      </c>
      <c r="K572" s="11">
        <v>0.29166666666666669</v>
      </c>
      <c r="L572" s="15">
        <v>0.43402777777777779</v>
      </c>
      <c r="M572" s="15">
        <f>Tabela32[[#This Row],[Hr Chegada]]-Tabela32[[#This Row],[Hr Saida]]</f>
        <v>0.1423611111111111</v>
      </c>
      <c r="N572" s="4">
        <v>277111</v>
      </c>
      <c r="O572" s="4">
        <v>277151</v>
      </c>
      <c r="P572" s="4">
        <f>Tabela32[[#This Row],[Km Chegada]]-Tabela32[[#This Row],[Km Saída]]</f>
        <v>40</v>
      </c>
      <c r="Q572" s="4">
        <v>1</v>
      </c>
      <c r="R572" s="4">
        <v>1</v>
      </c>
      <c r="S572" s="4">
        <v>1</v>
      </c>
      <c r="T572" s="12">
        <f>Tabela32[[#This Row],[Entregas]]-Tabela32[[#This Row],[Realizadas]]</f>
        <v>0</v>
      </c>
      <c r="U572" s="18">
        <f>Tabela32[[#This Row],[Realizadas]]/Tabela32[[#This Row],[Entregas]]</f>
        <v>1</v>
      </c>
      <c r="V572" s="19" t="str">
        <f>IF(Tabela32[[#This Row],[% Entrega]]&gt;=96%,"Atendeu a Meta","Não Atendeu a Meta")</f>
        <v>Atendeu a Meta</v>
      </c>
      <c r="W572" s="4" t="s">
        <v>40</v>
      </c>
      <c r="X572" s="4">
        <v>0</v>
      </c>
      <c r="Y572" s="5">
        <v>0</v>
      </c>
    </row>
    <row r="573" spans="1:25" x14ac:dyDescent="0.25">
      <c r="A573" s="8">
        <v>46312</v>
      </c>
      <c r="B573" s="16">
        <f>YEAR(Tabela32[[#This Row],[Data]])</f>
        <v>2026</v>
      </c>
      <c r="C573" s="16">
        <f>MONTH(Tabela32[[#This Row],[Data]])</f>
        <v>10</v>
      </c>
      <c r="D573" s="4" t="s">
        <v>28</v>
      </c>
      <c r="E573" s="4">
        <v>5</v>
      </c>
      <c r="F573" s="4" t="str">
        <f>IFERROR(VLOOKUP(Tabela32[[#This Row],[Placa]],Planilha2!$A$1:$B$12,2,0),"")</f>
        <v>Edilson</v>
      </c>
      <c r="G573" s="10">
        <v>6149.17</v>
      </c>
      <c r="H573" s="10">
        <v>141433.56</v>
      </c>
      <c r="I573" s="4">
        <v>2878</v>
      </c>
      <c r="J573" s="17">
        <f>IFERROR(Tabela32[[#This Row],[Valor Frete]]/Tabela32[[#This Row],[Valor Mercadoria]],"")</f>
        <v>4.3477446229876419E-2</v>
      </c>
      <c r="K573" s="11">
        <v>0.3125</v>
      </c>
      <c r="L573" s="15">
        <v>0.44791666666666669</v>
      </c>
      <c r="M573" s="15">
        <f>Tabela32[[#This Row],[Hr Chegada]]-Tabela32[[#This Row],[Hr Saida]]</f>
        <v>0.13541666666666669</v>
      </c>
      <c r="N573" s="4">
        <v>107527</v>
      </c>
      <c r="O573" s="4">
        <v>107561</v>
      </c>
      <c r="P573" s="4">
        <f>Tabela32[[#This Row],[Km Chegada]]-Tabela32[[#This Row],[Km Saída]]</f>
        <v>34</v>
      </c>
      <c r="Q573" s="4">
        <v>572</v>
      </c>
      <c r="R573" s="4">
        <v>8</v>
      </c>
      <c r="S573" s="4">
        <v>8</v>
      </c>
      <c r="T573" s="12">
        <f>Tabela32[[#This Row],[Entregas]]-Tabela32[[#This Row],[Realizadas]]</f>
        <v>0</v>
      </c>
      <c r="U573" s="18">
        <f>Tabela32[[#This Row],[Realizadas]]/Tabela32[[#This Row],[Entregas]]</f>
        <v>1</v>
      </c>
      <c r="V573" s="19" t="str">
        <f>IF(Tabela32[[#This Row],[% Entrega]]&gt;=96%,"Atendeu a Meta","Não Atendeu a Meta")</f>
        <v>Atendeu a Meta</v>
      </c>
      <c r="W573" s="4" t="s">
        <v>39</v>
      </c>
      <c r="X573" s="4">
        <v>0</v>
      </c>
      <c r="Y573" s="5">
        <v>0</v>
      </c>
    </row>
    <row r="574" spans="1:25" x14ac:dyDescent="0.25">
      <c r="A574" s="8">
        <v>46312</v>
      </c>
      <c r="B574" s="16">
        <f>YEAR(Tabela32[[#This Row],[Data]])</f>
        <v>2026</v>
      </c>
      <c r="C574" s="16">
        <f>MONTH(Tabela32[[#This Row],[Data]])</f>
        <v>10</v>
      </c>
      <c r="D574" s="4" t="s">
        <v>33</v>
      </c>
      <c r="E574" s="4">
        <v>1</v>
      </c>
      <c r="F574" s="4" t="str">
        <f>IFERROR(VLOOKUP(Tabela32[[#This Row],[Placa]],Planilha2!$A$1:$B$12,2,0),"")</f>
        <v>Paulo</v>
      </c>
      <c r="G574" s="10">
        <v>3522.15</v>
      </c>
      <c r="H574" s="10">
        <v>46897.99</v>
      </c>
      <c r="I574" s="4">
        <v>425</v>
      </c>
      <c r="J574" s="17">
        <f>IFERROR(Tabela32[[#This Row],[Valor Frete]]/Tabela32[[#This Row],[Valor Mercadoria]],"")</f>
        <v>7.5102365794354947E-2</v>
      </c>
      <c r="K574" s="11">
        <v>0.29166666666666669</v>
      </c>
      <c r="L574" s="15">
        <v>0.47430555555555554</v>
      </c>
      <c r="M574" s="15">
        <f>Tabela32[[#This Row],[Hr Chegada]]-Tabela32[[#This Row],[Hr Saida]]</f>
        <v>0.18263888888888885</v>
      </c>
      <c r="N574" s="4">
        <v>157496</v>
      </c>
      <c r="O574" s="4">
        <v>157517</v>
      </c>
      <c r="P574" s="4">
        <f>Tabela32[[#This Row],[Km Chegada]]-Tabela32[[#This Row],[Km Saída]]</f>
        <v>21</v>
      </c>
      <c r="Q574" s="4">
        <v>56</v>
      </c>
      <c r="R574" s="4">
        <v>17</v>
      </c>
      <c r="S574" s="4">
        <v>17</v>
      </c>
      <c r="T574" s="12">
        <f>Tabela32[[#This Row],[Entregas]]-Tabela32[[#This Row],[Realizadas]]</f>
        <v>0</v>
      </c>
      <c r="U574" s="18">
        <f>Tabela32[[#This Row],[Realizadas]]/Tabela32[[#This Row],[Entregas]]</f>
        <v>1</v>
      </c>
      <c r="V574" s="19" t="str">
        <f>IF(Tabela32[[#This Row],[% Entrega]]&gt;=96%,"Atendeu a Meta","Não Atendeu a Meta")</f>
        <v>Atendeu a Meta</v>
      </c>
      <c r="W574" s="4" t="s">
        <v>43</v>
      </c>
      <c r="X574" s="4">
        <v>0</v>
      </c>
      <c r="Y574" s="5">
        <v>0</v>
      </c>
    </row>
    <row r="575" spans="1:25" x14ac:dyDescent="0.25">
      <c r="A575" s="8">
        <v>46312</v>
      </c>
      <c r="B575" s="16">
        <f>YEAR(Tabela32[[#This Row],[Data]])</f>
        <v>2026</v>
      </c>
      <c r="C575" s="16">
        <f>MONTH(Tabela32[[#This Row],[Data]])</f>
        <v>10</v>
      </c>
      <c r="D575" s="4" t="s">
        <v>35</v>
      </c>
      <c r="E575" s="4">
        <v>11</v>
      </c>
      <c r="F575" s="4" t="str">
        <f>IFERROR(VLOOKUP(Tabela32[[#This Row],[Placa]],Planilha2!$A$1:$B$12,2,0),"")</f>
        <v>Osvaldo</v>
      </c>
      <c r="G575" s="10">
        <v>7057.02</v>
      </c>
      <c r="H575" s="10">
        <v>111266.01</v>
      </c>
      <c r="I575" s="4">
        <v>964</v>
      </c>
      <c r="J575" s="17">
        <f>IFERROR(Tabela32[[#This Row],[Valor Frete]]/Tabela32[[#This Row],[Valor Mercadoria]],"")</f>
        <v>6.3424760176086128E-2</v>
      </c>
      <c r="K575" s="11">
        <v>0.29166666666666669</v>
      </c>
      <c r="L575" s="15">
        <v>0.50347222222222221</v>
      </c>
      <c r="M575" s="15">
        <f>Tabela32[[#This Row],[Hr Chegada]]-Tabela32[[#This Row],[Hr Saida]]</f>
        <v>0.21180555555555552</v>
      </c>
      <c r="N575" s="4">
        <v>145063</v>
      </c>
      <c r="O575" s="4">
        <v>145183</v>
      </c>
      <c r="P575" s="4">
        <f>Tabela32[[#This Row],[Km Chegada]]-Tabela32[[#This Row],[Km Saída]]</f>
        <v>120</v>
      </c>
      <c r="Q575" s="4">
        <v>115</v>
      </c>
      <c r="R575" s="4">
        <v>19</v>
      </c>
      <c r="S575" s="4">
        <v>19</v>
      </c>
      <c r="T575" s="12">
        <f>Tabela32[[#This Row],[Entregas]]-Tabela32[[#This Row],[Realizadas]]</f>
        <v>0</v>
      </c>
      <c r="U575" s="18">
        <f>Tabela32[[#This Row],[Realizadas]]/Tabela32[[#This Row],[Entregas]]</f>
        <v>1</v>
      </c>
      <c r="V575" s="19" t="str">
        <f>IF(Tabela32[[#This Row],[% Entrega]]&gt;=96%,"Atendeu a Meta","Não Atendeu a Meta")</f>
        <v>Atendeu a Meta</v>
      </c>
      <c r="W575" s="4" t="s">
        <v>41</v>
      </c>
      <c r="X575" s="4">
        <v>0</v>
      </c>
      <c r="Y575" s="5">
        <v>0</v>
      </c>
    </row>
    <row r="576" spans="1:25" x14ac:dyDescent="0.25">
      <c r="A576" s="8">
        <v>46314</v>
      </c>
      <c r="B576" s="16">
        <f>YEAR(Tabela32[[#This Row],[Data]])</f>
        <v>2026</v>
      </c>
      <c r="C576" s="16">
        <f>MONTH(Tabela32[[#This Row],[Data]])</f>
        <v>10</v>
      </c>
      <c r="D576" s="4" t="s">
        <v>96</v>
      </c>
      <c r="E576" s="4">
        <v>3</v>
      </c>
      <c r="F576" s="4" t="str">
        <f>IFERROR(VLOOKUP(Tabela32[[#This Row],[Placa]],Planilha2!$A$1:$B$12,2,0),"")</f>
        <v>Manoel</v>
      </c>
      <c r="G576" s="10">
        <v>350.56</v>
      </c>
      <c r="H576" s="10">
        <v>13187.31</v>
      </c>
      <c r="I576" s="4">
        <v>74</v>
      </c>
      <c r="J576" s="17">
        <f>IFERROR(Tabela32[[#This Row],[Valor Frete]]/Tabela32[[#This Row],[Valor Mercadoria]],"")</f>
        <v>2.6583131813842246E-2</v>
      </c>
      <c r="K576" s="11">
        <v>0.625</v>
      </c>
      <c r="L576" s="15">
        <v>0.72222222222222221</v>
      </c>
      <c r="M576" s="15">
        <f>Tabela32[[#This Row],[Hr Chegada]]-Tabela32[[#This Row],[Hr Saida]]</f>
        <v>9.722222222222221E-2</v>
      </c>
      <c r="N576" s="4">
        <v>64345</v>
      </c>
      <c r="O576" s="4">
        <v>64401</v>
      </c>
      <c r="P576" s="4">
        <f>Tabela32[[#This Row],[Km Chegada]]-Tabela32[[#This Row],[Km Saída]]</f>
        <v>56</v>
      </c>
      <c r="Q576" s="4">
        <v>12</v>
      </c>
      <c r="R576" s="4">
        <v>1</v>
      </c>
      <c r="S576" s="4">
        <v>1</v>
      </c>
      <c r="T576" s="12">
        <f>Tabela32[[#This Row],[Entregas]]-Tabela32[[#This Row],[Realizadas]]</f>
        <v>0</v>
      </c>
      <c r="U576" s="18">
        <f>Tabela32[[#This Row],[Realizadas]]/Tabela32[[#This Row],[Entregas]]</f>
        <v>1</v>
      </c>
      <c r="V576" s="19" t="str">
        <f>IF(Tabela32[[#This Row],[% Entrega]]&gt;=96%,"Atendeu a Meta","Não Atendeu a Meta")</f>
        <v>Atendeu a Meta</v>
      </c>
      <c r="W576" s="4" t="s">
        <v>39</v>
      </c>
      <c r="X576" s="4">
        <v>0</v>
      </c>
      <c r="Y576" s="5">
        <v>0</v>
      </c>
    </row>
    <row r="577" spans="1:25" x14ac:dyDescent="0.25">
      <c r="A577" s="8">
        <v>46314</v>
      </c>
      <c r="B577" s="16">
        <f>YEAR(Tabela32[[#This Row],[Data]])</f>
        <v>2026</v>
      </c>
      <c r="C577" s="16">
        <f>MONTH(Tabela32[[#This Row],[Data]])</f>
        <v>10</v>
      </c>
      <c r="D577" s="4" t="s">
        <v>23</v>
      </c>
      <c r="E577" s="4">
        <v>1</v>
      </c>
      <c r="F577" s="4" t="str">
        <f>IFERROR(VLOOKUP(Tabela32[[#This Row],[Placa]],Planilha2!$A$1:$B$12,2,0),"")</f>
        <v>William</v>
      </c>
      <c r="G577" s="10">
        <v>10650.83</v>
      </c>
      <c r="H577" s="10">
        <v>96416.72</v>
      </c>
      <c r="I577" s="4">
        <v>2218</v>
      </c>
      <c r="J577" s="17">
        <f>IFERROR(Tabela32[[#This Row],[Valor Frete]]/Tabela32[[#This Row],[Valor Mercadoria]],"")</f>
        <v>0.11046662860964364</v>
      </c>
      <c r="K577" s="11">
        <v>0.3125</v>
      </c>
      <c r="L577" s="15">
        <v>0.78819444444444442</v>
      </c>
      <c r="M577" s="15">
        <f>Tabela32[[#This Row],[Hr Chegada]]-Tabela32[[#This Row],[Hr Saida]]</f>
        <v>0.47569444444444442</v>
      </c>
      <c r="N577" s="4">
        <v>127272</v>
      </c>
      <c r="O577" s="4">
        <v>127326</v>
      </c>
      <c r="P577" s="4">
        <f>Tabela32[[#This Row],[Km Chegada]]-Tabela32[[#This Row],[Km Saída]]</f>
        <v>54</v>
      </c>
      <c r="Q577" s="4">
        <v>349</v>
      </c>
      <c r="R577" s="4">
        <v>21</v>
      </c>
      <c r="S577" s="4">
        <v>21</v>
      </c>
      <c r="T577" s="12">
        <f>Tabela32[[#This Row],[Entregas]]-Tabela32[[#This Row],[Realizadas]]</f>
        <v>0</v>
      </c>
      <c r="U577" s="18">
        <f>Tabela32[[#This Row],[Realizadas]]/Tabela32[[#This Row],[Entregas]]</f>
        <v>1</v>
      </c>
      <c r="V577" s="19" t="str">
        <f>IF(Tabela32[[#This Row],[% Entrega]]&gt;=96%,"Atendeu a Meta","Não Atendeu a Meta")</f>
        <v>Atendeu a Meta</v>
      </c>
      <c r="W577" s="4" t="s">
        <v>43</v>
      </c>
      <c r="X577" s="4">
        <v>3</v>
      </c>
      <c r="Y577" s="5" t="s">
        <v>104</v>
      </c>
    </row>
    <row r="578" spans="1:25" x14ac:dyDescent="0.25">
      <c r="A578" s="8">
        <v>46314</v>
      </c>
      <c r="B578" s="16">
        <f>YEAR(Tabela32[[#This Row],[Data]])</f>
        <v>2026</v>
      </c>
      <c r="C578" s="16">
        <f>MONTH(Tabela32[[#This Row],[Data]])</f>
        <v>10</v>
      </c>
      <c r="D578" s="4" t="s">
        <v>31</v>
      </c>
      <c r="E578" s="4">
        <v>5</v>
      </c>
      <c r="F578" s="4" t="str">
        <f>IFERROR(VLOOKUP(Tabela32[[#This Row],[Placa]],Planilha2!$A$1:$B$12,2,0),"")</f>
        <v>Jerson</v>
      </c>
      <c r="G578" s="10">
        <v>9934.5300000000007</v>
      </c>
      <c r="H578" s="10">
        <v>147864.54</v>
      </c>
      <c r="I578" s="4">
        <v>2293</v>
      </c>
      <c r="J578" s="17">
        <f>IFERROR(Tabela32[[#This Row],[Valor Frete]]/Tabela32[[#This Row],[Valor Mercadoria]],"")</f>
        <v>6.7186696688739569E-2</v>
      </c>
      <c r="K578" s="11">
        <v>0.31805555555555554</v>
      </c>
      <c r="L578" s="15">
        <v>0.82291666666666663</v>
      </c>
      <c r="M578" s="15">
        <f>Tabela32[[#This Row],[Hr Chegada]]-Tabela32[[#This Row],[Hr Saida]]</f>
        <v>0.50486111111111109</v>
      </c>
      <c r="N578" s="4">
        <v>282254</v>
      </c>
      <c r="O578" s="4">
        <v>282336</v>
      </c>
      <c r="P578" s="4">
        <f>Tabela32[[#This Row],[Km Chegada]]-Tabela32[[#This Row],[Km Saída]]</f>
        <v>82</v>
      </c>
      <c r="Q578" s="4">
        <v>250</v>
      </c>
      <c r="R578" s="4">
        <v>33</v>
      </c>
      <c r="S578" s="4">
        <v>33</v>
      </c>
      <c r="T578" s="12">
        <f>Tabela32[[#This Row],[Entregas]]-Tabela32[[#This Row],[Realizadas]]</f>
        <v>0</v>
      </c>
      <c r="U578" s="18">
        <f>Tabela32[[#This Row],[Realizadas]]/Tabela32[[#This Row],[Entregas]]</f>
        <v>1</v>
      </c>
      <c r="V578" s="19" t="str">
        <f>IF(Tabela32[[#This Row],[% Entrega]]&gt;=96%,"Atendeu a Meta","Não Atendeu a Meta")</f>
        <v>Atendeu a Meta</v>
      </c>
      <c r="W578" s="4" t="s">
        <v>39</v>
      </c>
      <c r="X578" s="4">
        <v>0</v>
      </c>
      <c r="Y578" s="5">
        <v>0</v>
      </c>
    </row>
    <row r="579" spans="1:25" x14ac:dyDescent="0.25">
      <c r="A579" s="8">
        <v>46314</v>
      </c>
      <c r="B579" s="16">
        <f>YEAR(Tabela32[[#This Row],[Data]])</f>
        <v>2026</v>
      </c>
      <c r="C579" s="16">
        <f>MONTH(Tabela32[[#This Row],[Data]])</f>
        <v>10</v>
      </c>
      <c r="D579" s="4" t="s">
        <v>28</v>
      </c>
      <c r="E579" s="4">
        <v>11</v>
      </c>
      <c r="F579" s="4" t="str">
        <f>IFERROR(VLOOKUP(Tabela32[[#This Row],[Placa]],Planilha2!$A$1:$B$12,2,0),"")</f>
        <v>Edilson</v>
      </c>
      <c r="G579" s="10">
        <v>13799.75</v>
      </c>
      <c r="H579" s="10">
        <v>261701.28</v>
      </c>
      <c r="I579" s="4">
        <v>2250</v>
      </c>
      <c r="J579" s="17">
        <f>IFERROR(Tabela32[[#This Row],[Valor Frete]]/Tabela32[[#This Row],[Valor Mercadoria]],"")</f>
        <v>5.2730922829265489E-2</v>
      </c>
      <c r="K579" s="11">
        <v>0.27083333333333331</v>
      </c>
      <c r="L579" s="15">
        <v>0.79305555555555551</v>
      </c>
      <c r="M579" s="15">
        <f>Tabela32[[#This Row],[Hr Chegada]]-Tabela32[[#This Row],[Hr Saida]]</f>
        <v>0.52222222222222214</v>
      </c>
      <c r="N579" s="4">
        <v>107561</v>
      </c>
      <c r="O579" s="4">
        <v>107711</v>
      </c>
      <c r="P579" s="4">
        <f>Tabela32[[#This Row],[Km Chegada]]-Tabela32[[#This Row],[Km Saída]]</f>
        <v>150</v>
      </c>
      <c r="Q579" s="4">
        <v>384</v>
      </c>
      <c r="R579" s="4">
        <v>33</v>
      </c>
      <c r="S579" s="4">
        <v>33</v>
      </c>
      <c r="T579" s="12">
        <f>Tabela32[[#This Row],[Entregas]]-Tabela32[[#This Row],[Realizadas]]</f>
        <v>0</v>
      </c>
      <c r="U579" s="18">
        <f>Tabela32[[#This Row],[Realizadas]]/Tabela32[[#This Row],[Entregas]]</f>
        <v>1</v>
      </c>
      <c r="V579" s="19" t="str">
        <f>IF(Tabela32[[#This Row],[% Entrega]]&gt;=96%,"Atendeu a Meta","Não Atendeu a Meta")</f>
        <v>Atendeu a Meta</v>
      </c>
      <c r="W579" s="4" t="s">
        <v>41</v>
      </c>
      <c r="X579" s="4">
        <v>0</v>
      </c>
      <c r="Y579" s="5">
        <v>38.380000000000003</v>
      </c>
    </row>
    <row r="580" spans="1:25" x14ac:dyDescent="0.25">
      <c r="A580" s="8">
        <v>46314</v>
      </c>
      <c r="B580" s="16">
        <f>YEAR(Tabela32[[#This Row],[Data]])</f>
        <v>2026</v>
      </c>
      <c r="C580" s="16">
        <f>MONTH(Tabela32[[#This Row],[Data]])</f>
        <v>10</v>
      </c>
      <c r="D580" s="4" t="s">
        <v>36</v>
      </c>
      <c r="E580" s="4">
        <v>5</v>
      </c>
      <c r="F580" s="4" t="str">
        <f>IFERROR(VLOOKUP(Tabela32[[#This Row],[Placa]],Planilha2!$A$1:$B$12,2,0),"")</f>
        <v>Heremilton</v>
      </c>
      <c r="G580" s="10">
        <v>17819.759999999998</v>
      </c>
      <c r="H580" s="10">
        <v>343768.23</v>
      </c>
      <c r="I580" s="4">
        <v>4415</v>
      </c>
      <c r="J580" s="17">
        <f>IFERROR(Tabela32[[#This Row],[Valor Frete]]/Tabela32[[#This Row],[Valor Mercadoria]],"")</f>
        <v>5.1836552784415242E-2</v>
      </c>
      <c r="K580" s="11">
        <v>0.27638888888888891</v>
      </c>
      <c r="L580" s="15">
        <v>0.72916666666666663</v>
      </c>
      <c r="M580" s="15">
        <f>Tabela32[[#This Row],[Hr Chegada]]-Tabela32[[#This Row],[Hr Saida]]</f>
        <v>0.45277777777777772</v>
      </c>
      <c r="N580" s="4">
        <v>369199</v>
      </c>
      <c r="O580" s="4">
        <v>369235</v>
      </c>
      <c r="P580" s="4">
        <f>Tabela32[[#This Row],[Km Chegada]]-Tabela32[[#This Row],[Km Saída]]</f>
        <v>36</v>
      </c>
      <c r="Q580" s="4">
        <v>670</v>
      </c>
      <c r="R580" s="4">
        <v>16</v>
      </c>
      <c r="S580" s="4">
        <v>16</v>
      </c>
      <c r="T580" s="12">
        <f>Tabela32[[#This Row],[Entregas]]-Tabela32[[#This Row],[Realizadas]]</f>
        <v>0</v>
      </c>
      <c r="U580" s="18">
        <f>Tabela32[[#This Row],[Realizadas]]/Tabela32[[#This Row],[Entregas]]</f>
        <v>1</v>
      </c>
      <c r="V580" s="19" t="str">
        <f>IF(Tabela32[[#This Row],[% Entrega]]&gt;=96%,"Atendeu a Meta","Não Atendeu a Meta")</f>
        <v>Atendeu a Meta</v>
      </c>
      <c r="W580" s="4" t="s">
        <v>39</v>
      </c>
      <c r="X580" s="4">
        <v>0</v>
      </c>
      <c r="Y580" s="5">
        <v>0</v>
      </c>
    </row>
    <row r="581" spans="1:25" x14ac:dyDescent="0.25">
      <c r="A581" s="8">
        <v>46314</v>
      </c>
      <c r="B581" s="16">
        <f>YEAR(Tabela32[[#This Row],[Data]])</f>
        <v>2026</v>
      </c>
      <c r="C581" s="16">
        <f>MONTH(Tabela32[[#This Row],[Data]])</f>
        <v>10</v>
      </c>
      <c r="D581" s="4" t="s">
        <v>29</v>
      </c>
      <c r="E581" s="4">
        <v>5</v>
      </c>
      <c r="F581" s="4" t="str">
        <f>IFERROR(VLOOKUP(Tabela32[[#This Row],[Placa]],Planilha2!$A$1:$B$12,2,0),"")</f>
        <v>Sandro</v>
      </c>
      <c r="G581" s="10">
        <v>4789.96</v>
      </c>
      <c r="H581" s="10">
        <v>79727.63</v>
      </c>
      <c r="I581" s="4">
        <v>870</v>
      </c>
      <c r="J581" s="17">
        <f>IFERROR(Tabela32[[#This Row],[Valor Frete]]/Tabela32[[#This Row],[Valor Mercadoria]],"")</f>
        <v>6.007904662411262E-2</v>
      </c>
      <c r="K581" s="11">
        <v>0.3125</v>
      </c>
      <c r="L581" s="15">
        <v>0.71527777777777779</v>
      </c>
      <c r="M581" s="15">
        <f>Tabela32[[#This Row],[Hr Chegada]]-Tabela32[[#This Row],[Hr Saida]]</f>
        <v>0.40277777777777779</v>
      </c>
      <c r="N581" s="4">
        <v>277151</v>
      </c>
      <c r="O581" s="4">
        <v>277217</v>
      </c>
      <c r="P581" s="4">
        <f>Tabela32[[#This Row],[Km Chegada]]-Tabela32[[#This Row],[Km Saída]]</f>
        <v>66</v>
      </c>
      <c r="Q581" s="4">
        <v>152</v>
      </c>
      <c r="R581" s="4">
        <v>14</v>
      </c>
      <c r="S581" s="4">
        <v>14</v>
      </c>
      <c r="T581" s="12">
        <f>Tabela32[[#This Row],[Entregas]]-Tabela32[[#This Row],[Realizadas]]</f>
        <v>0</v>
      </c>
      <c r="U581" s="18">
        <f>Tabela32[[#This Row],[Realizadas]]/Tabela32[[#This Row],[Entregas]]</f>
        <v>1</v>
      </c>
      <c r="V581" s="19" t="str">
        <f>IF(Tabela32[[#This Row],[% Entrega]]&gt;=96%,"Atendeu a Meta","Não Atendeu a Meta")</f>
        <v>Atendeu a Meta</v>
      </c>
      <c r="W581" s="4" t="s">
        <v>39</v>
      </c>
      <c r="X581" s="4">
        <v>0</v>
      </c>
      <c r="Y581" s="5">
        <v>0</v>
      </c>
    </row>
    <row r="582" spans="1:25" x14ac:dyDescent="0.25">
      <c r="A582" s="8">
        <v>46314</v>
      </c>
      <c r="B582" s="16">
        <f>YEAR(Tabela32[[#This Row],[Data]])</f>
        <v>2026</v>
      </c>
      <c r="C582" s="16">
        <f>MONTH(Tabela32[[#This Row],[Data]])</f>
        <v>10</v>
      </c>
      <c r="D582" s="4" t="s">
        <v>33</v>
      </c>
      <c r="E582" s="4">
        <v>1</v>
      </c>
      <c r="F582" s="4" t="str">
        <f>IFERROR(VLOOKUP(Tabela32[[#This Row],[Placa]],Planilha2!$A$1:$B$12,2,0),"")</f>
        <v>Paulo</v>
      </c>
      <c r="G582" s="10">
        <v>2364.9299999999998</v>
      </c>
      <c r="H582" s="10">
        <v>63772.87</v>
      </c>
      <c r="I582" s="4">
        <v>629</v>
      </c>
      <c r="J582" s="17">
        <f>IFERROR(Tabela32[[#This Row],[Valor Frete]]/Tabela32[[#This Row],[Valor Mercadoria]],"")</f>
        <v>3.7083637603262949E-2</v>
      </c>
      <c r="K582" s="11">
        <v>0.3125</v>
      </c>
      <c r="L582" s="15">
        <v>0.57847222222222228</v>
      </c>
      <c r="M582" s="15">
        <f>Tabela32[[#This Row],[Hr Chegada]]-Tabela32[[#This Row],[Hr Saida]]</f>
        <v>0.26597222222222228</v>
      </c>
      <c r="N582" s="4">
        <v>157561</v>
      </c>
      <c r="O582" s="4">
        <v>157659</v>
      </c>
      <c r="P582" s="4">
        <f>Tabela32[[#This Row],[Km Chegada]]-Tabela32[[#This Row],[Km Saída]]</f>
        <v>98</v>
      </c>
      <c r="Q582" s="4">
        <v>67</v>
      </c>
      <c r="R582" s="4">
        <v>5</v>
      </c>
      <c r="S582" s="4">
        <v>5</v>
      </c>
      <c r="T582" s="12">
        <f>Tabela32[[#This Row],[Entregas]]-Tabela32[[#This Row],[Realizadas]]</f>
        <v>0</v>
      </c>
      <c r="U582" s="18">
        <f>Tabela32[[#This Row],[Realizadas]]/Tabela32[[#This Row],[Entregas]]</f>
        <v>1</v>
      </c>
      <c r="V582" s="19" t="str">
        <f>IF(Tabela32[[#This Row],[% Entrega]]&gt;=96%,"Atendeu a Meta","Não Atendeu a Meta")</f>
        <v>Atendeu a Meta</v>
      </c>
      <c r="W582" s="4" t="s">
        <v>43</v>
      </c>
      <c r="X582" s="4">
        <v>0</v>
      </c>
      <c r="Y582" s="5">
        <v>0</v>
      </c>
    </row>
    <row r="583" spans="1:25" x14ac:dyDescent="0.25">
      <c r="A583" s="8">
        <v>46314</v>
      </c>
      <c r="B583" s="16">
        <f>YEAR(Tabela32[[#This Row],[Data]])</f>
        <v>2026</v>
      </c>
      <c r="C583" s="16">
        <f>MONTH(Tabela32[[#This Row],[Data]])</f>
        <v>10</v>
      </c>
      <c r="D583" s="4" t="s">
        <v>33</v>
      </c>
      <c r="E583" s="4">
        <v>1</v>
      </c>
      <c r="F583" s="4" t="str">
        <f>IFERROR(VLOOKUP(Tabela32[[#This Row],[Placa]],Planilha2!$A$1:$B$12,2,0),"")</f>
        <v>Paulo</v>
      </c>
      <c r="G583" s="10">
        <v>1558.36</v>
      </c>
      <c r="H583" s="10">
        <v>24322.73</v>
      </c>
      <c r="I583" s="4">
        <v>56</v>
      </c>
      <c r="J583" s="17">
        <f>IFERROR(Tabela32[[#This Row],[Valor Frete]]/Tabela32[[#This Row],[Valor Mercadoria]],"")</f>
        <v>6.4070110550912662E-2</v>
      </c>
      <c r="K583" s="11">
        <v>0.58819444444444446</v>
      </c>
      <c r="L583" s="15">
        <v>0.69791666666666663</v>
      </c>
      <c r="M583" s="15">
        <f>Tabela32[[#This Row],[Hr Chegada]]-Tabela32[[#This Row],[Hr Saida]]</f>
        <v>0.10972222222222217</v>
      </c>
      <c r="N583" s="4">
        <v>157659</v>
      </c>
      <c r="O583" s="4">
        <v>157700</v>
      </c>
      <c r="P583" s="4">
        <f>Tabela32[[#This Row],[Km Chegada]]-Tabela32[[#This Row],[Km Saída]]</f>
        <v>41</v>
      </c>
      <c r="Q583" s="4">
        <v>52</v>
      </c>
      <c r="R583" s="4">
        <v>3</v>
      </c>
      <c r="S583" s="4">
        <v>3</v>
      </c>
      <c r="T583" s="12">
        <f>Tabela32[[#This Row],[Entregas]]-Tabela32[[#This Row],[Realizadas]]</f>
        <v>0</v>
      </c>
      <c r="U583" s="18">
        <f>Tabela32[[#This Row],[Realizadas]]/Tabela32[[#This Row],[Entregas]]</f>
        <v>1</v>
      </c>
      <c r="V583" s="19" t="str">
        <f>IF(Tabela32[[#This Row],[% Entrega]]&gt;=96%,"Atendeu a Meta","Não Atendeu a Meta")</f>
        <v>Atendeu a Meta</v>
      </c>
      <c r="W583" s="4" t="s">
        <v>43</v>
      </c>
      <c r="X583" s="4">
        <v>0</v>
      </c>
      <c r="Y583" s="5">
        <v>0</v>
      </c>
    </row>
    <row r="584" spans="1:25" x14ac:dyDescent="0.25">
      <c r="A584" s="8">
        <v>46314</v>
      </c>
      <c r="B584" s="16">
        <f>YEAR(Tabela32[[#This Row],[Data]])</f>
        <v>2026</v>
      </c>
      <c r="C584" s="16">
        <f>MONTH(Tabela32[[#This Row],[Data]])</f>
        <v>10</v>
      </c>
      <c r="D584" s="4" t="s">
        <v>25</v>
      </c>
      <c r="E584" s="4">
        <v>2</v>
      </c>
      <c r="F584" s="4" t="str">
        <f>IFERROR(VLOOKUP(Tabela32[[#This Row],[Placa]],Planilha2!$A$1:$B$12,2,0),"")</f>
        <v>Gilberto</v>
      </c>
      <c r="G584" s="10">
        <v>9440.3799999999992</v>
      </c>
      <c r="H584" s="10">
        <v>171185.29</v>
      </c>
      <c r="I584" s="4">
        <v>3022</v>
      </c>
      <c r="J584" s="17">
        <f>IFERROR(Tabela32[[#This Row],[Valor Frete]]/Tabela32[[#This Row],[Valor Mercadoria]],"")</f>
        <v>5.5147144944521803E-2</v>
      </c>
      <c r="K584" s="11">
        <v>0.29166666666666669</v>
      </c>
      <c r="L584" s="15">
        <v>0.72222222222222221</v>
      </c>
      <c r="M584" s="15">
        <f>Tabela32[[#This Row],[Hr Chegada]]-Tabela32[[#This Row],[Hr Saida]]</f>
        <v>0.43055555555555552</v>
      </c>
      <c r="N584" s="4">
        <v>121193</v>
      </c>
      <c r="O584" s="4">
        <v>121242</v>
      </c>
      <c r="P584" s="4">
        <f>Tabela32[[#This Row],[Km Chegada]]-Tabela32[[#This Row],[Km Saída]]</f>
        <v>49</v>
      </c>
      <c r="Q584" s="4">
        <v>606</v>
      </c>
      <c r="R584" s="4">
        <v>19</v>
      </c>
      <c r="S584" s="4">
        <v>19</v>
      </c>
      <c r="T584" s="12">
        <f>Tabela32[[#This Row],[Entregas]]-Tabela32[[#This Row],[Realizadas]]</f>
        <v>0</v>
      </c>
      <c r="U584" s="18">
        <f>Tabela32[[#This Row],[Realizadas]]/Tabela32[[#This Row],[Entregas]]</f>
        <v>1</v>
      </c>
      <c r="V584" s="19" t="str">
        <f>IF(Tabela32[[#This Row],[% Entrega]]&gt;=96%,"Atendeu a Meta","Não Atendeu a Meta")</f>
        <v>Atendeu a Meta</v>
      </c>
      <c r="W584" s="4" t="s">
        <v>39</v>
      </c>
      <c r="X584" s="4">
        <v>0</v>
      </c>
      <c r="Y584" s="5">
        <v>0</v>
      </c>
    </row>
    <row r="585" spans="1:25" x14ac:dyDescent="0.25">
      <c r="A585" s="8">
        <v>46314</v>
      </c>
      <c r="B585" s="16">
        <f>YEAR(Tabela32[[#This Row],[Data]])</f>
        <v>2026</v>
      </c>
      <c r="C585" s="16">
        <f>MONTH(Tabela32[[#This Row],[Data]])</f>
        <v>10</v>
      </c>
      <c r="D585" s="4" t="s">
        <v>53</v>
      </c>
      <c r="E585" s="4">
        <v>1</v>
      </c>
      <c r="F585" s="4" t="str">
        <f>IFERROR(VLOOKUP(Tabela32[[#This Row],[Placa]],Planilha2!$A$1:$B$12,2,0),"")</f>
        <v>Arnaldo</v>
      </c>
      <c r="G585" s="10">
        <v>10512.32</v>
      </c>
      <c r="H585" s="10">
        <v>225921.51</v>
      </c>
      <c r="I585" s="4">
        <v>4140</v>
      </c>
      <c r="J585" s="17">
        <f>IFERROR(Tabela32[[#This Row],[Valor Frete]]/Tabela32[[#This Row],[Valor Mercadoria]],"")</f>
        <v>4.6530850471033058E-2</v>
      </c>
      <c r="K585" s="11">
        <v>0.3263888888888889</v>
      </c>
      <c r="L585" s="15">
        <v>0.75</v>
      </c>
      <c r="M585" s="15">
        <f>Tabela32[[#This Row],[Hr Chegada]]-Tabela32[[#This Row],[Hr Saida]]</f>
        <v>0.4236111111111111</v>
      </c>
      <c r="N585" s="4">
        <v>14889</v>
      </c>
      <c r="O585" s="4">
        <v>14998</v>
      </c>
      <c r="P585" s="4">
        <f>Tabela32[[#This Row],[Km Chegada]]-Tabela32[[#This Row],[Km Saída]]</f>
        <v>109</v>
      </c>
      <c r="Q585" s="4">
        <v>445</v>
      </c>
      <c r="R585" s="4">
        <v>7</v>
      </c>
      <c r="S585" s="4">
        <v>7</v>
      </c>
      <c r="T585" s="12">
        <f>Tabela32[[#This Row],[Entregas]]-Tabela32[[#This Row],[Realizadas]]</f>
        <v>0</v>
      </c>
      <c r="U585" s="18">
        <f>Tabela32[[#This Row],[Realizadas]]/Tabela32[[#This Row],[Entregas]]</f>
        <v>1</v>
      </c>
      <c r="V585" s="19" t="str">
        <f>IF(Tabela32[[#This Row],[% Entrega]]&gt;=96%,"Atendeu a Meta","Não Atendeu a Meta")</f>
        <v>Atendeu a Meta</v>
      </c>
      <c r="W585" s="4" t="s">
        <v>40</v>
      </c>
      <c r="X585" s="4">
        <v>0</v>
      </c>
      <c r="Y585" s="5">
        <v>0</v>
      </c>
    </row>
    <row r="586" spans="1:25" x14ac:dyDescent="0.25">
      <c r="A586" s="8">
        <v>46314</v>
      </c>
      <c r="B586" s="16">
        <f>YEAR(Tabela32[[#This Row],[Data]])</f>
        <v>2026</v>
      </c>
      <c r="C586" s="16">
        <f>MONTH(Tabela32[[#This Row],[Data]])</f>
        <v>10</v>
      </c>
      <c r="D586" s="4" t="s">
        <v>22</v>
      </c>
      <c r="E586" s="4">
        <v>4</v>
      </c>
      <c r="F586" s="4" t="str">
        <f>IFERROR(VLOOKUP(Tabela32[[#This Row],[Placa]],Planilha2!$A$1:$B$12,2,0),"")</f>
        <v>Juscelino</v>
      </c>
      <c r="G586" s="10">
        <v>7808.9</v>
      </c>
      <c r="H586" s="10">
        <v>161554.95000000001</v>
      </c>
      <c r="I586" s="4">
        <v>3215</v>
      </c>
      <c r="J586" s="17">
        <f>IFERROR(Tabela32[[#This Row],[Valor Frete]]/Tabela32[[#This Row],[Valor Mercadoria]],"")</f>
        <v>4.8335875811914147E-2</v>
      </c>
      <c r="K586" s="11">
        <v>0.3125</v>
      </c>
      <c r="L586" s="15">
        <v>0.73611111111111116</v>
      </c>
      <c r="M586" s="15">
        <f>Tabela32[[#This Row],[Hr Chegada]]-Tabela32[[#This Row],[Hr Saida]]</f>
        <v>0.42361111111111116</v>
      </c>
      <c r="N586" s="4">
        <v>306655</v>
      </c>
      <c r="O586" s="4">
        <v>306713</v>
      </c>
      <c r="P586" s="4">
        <f>Tabela32[[#This Row],[Km Chegada]]-Tabela32[[#This Row],[Km Saída]]</f>
        <v>58</v>
      </c>
      <c r="Q586" s="4">
        <v>480</v>
      </c>
      <c r="R586" s="4">
        <v>11</v>
      </c>
      <c r="S586" s="4">
        <v>11</v>
      </c>
      <c r="T586" s="12">
        <f>Tabela32[[#This Row],[Entregas]]-Tabela32[[#This Row],[Realizadas]]</f>
        <v>0</v>
      </c>
      <c r="U586" s="18">
        <f>Tabela32[[#This Row],[Realizadas]]/Tabela32[[#This Row],[Entregas]]</f>
        <v>1</v>
      </c>
      <c r="V586" s="19" t="str">
        <f>IF(Tabela32[[#This Row],[% Entrega]]&gt;=96%,"Atendeu a Meta","Não Atendeu a Meta")</f>
        <v>Atendeu a Meta</v>
      </c>
      <c r="W586" s="4" t="s">
        <v>39</v>
      </c>
      <c r="X586" s="4">
        <v>0</v>
      </c>
      <c r="Y586" s="5">
        <v>0</v>
      </c>
    </row>
    <row r="587" spans="1:25" x14ac:dyDescent="0.25">
      <c r="A587" s="8">
        <v>46314</v>
      </c>
      <c r="B587" s="16">
        <f>YEAR(Tabela32[[#This Row],[Data]])</f>
        <v>2026</v>
      </c>
      <c r="C587" s="16">
        <f>MONTH(Tabela32[[#This Row],[Data]])</f>
        <v>10</v>
      </c>
      <c r="D587" s="4" t="s">
        <v>35</v>
      </c>
      <c r="E587" s="4">
        <v>3</v>
      </c>
      <c r="F587" s="4" t="str">
        <f>IFERROR(VLOOKUP(Tabela32[[#This Row],[Placa]],Planilha2!$A$1:$B$12,2,0),"")</f>
        <v>Osvaldo</v>
      </c>
      <c r="G587" s="10">
        <v>5825.17</v>
      </c>
      <c r="H587" s="10">
        <v>111862.03</v>
      </c>
      <c r="I587" s="4">
        <v>869</v>
      </c>
      <c r="J587" s="17">
        <f>IFERROR(Tabela32[[#This Row],[Valor Frete]]/Tabela32[[#This Row],[Valor Mercadoria]],"")</f>
        <v>5.2074595821298794E-2</v>
      </c>
      <c r="K587" s="11">
        <v>0.3125</v>
      </c>
      <c r="L587" s="15">
        <v>0.75</v>
      </c>
      <c r="M587" s="15">
        <f>Tabela32[[#This Row],[Hr Chegada]]-Tabela32[[#This Row],[Hr Saida]]</f>
        <v>0.4375</v>
      </c>
      <c r="N587" s="4">
        <v>145183</v>
      </c>
      <c r="O587" s="4">
        <v>145236</v>
      </c>
      <c r="P587" s="4">
        <f>Tabela32[[#This Row],[Km Chegada]]-Tabela32[[#This Row],[Km Saída]]</f>
        <v>53</v>
      </c>
      <c r="Q587" s="4">
        <v>146</v>
      </c>
      <c r="R587" s="4">
        <v>19</v>
      </c>
      <c r="S587" s="4">
        <v>19</v>
      </c>
      <c r="T587" s="12">
        <f>Tabela32[[#This Row],[Entregas]]-Tabela32[[#This Row],[Realizadas]]</f>
        <v>0</v>
      </c>
      <c r="U587" s="18">
        <f>Tabela32[[#This Row],[Realizadas]]/Tabela32[[#This Row],[Entregas]]</f>
        <v>1</v>
      </c>
      <c r="V587" s="19" t="str">
        <f>IF(Tabela32[[#This Row],[% Entrega]]&gt;=96%,"Atendeu a Meta","Não Atendeu a Meta")</f>
        <v>Atendeu a Meta</v>
      </c>
      <c r="W587" s="4" t="s">
        <v>39</v>
      </c>
      <c r="X587" s="4">
        <v>0</v>
      </c>
      <c r="Y587" s="5">
        <v>0</v>
      </c>
    </row>
    <row r="588" spans="1:25" x14ac:dyDescent="0.25">
      <c r="A588" s="8">
        <v>46314</v>
      </c>
      <c r="B588" s="16">
        <f>YEAR(Tabela32[[#This Row],[Data]])</f>
        <v>2026</v>
      </c>
      <c r="C588" s="16">
        <f>MONTH(Tabela32[[#This Row],[Data]])</f>
        <v>10</v>
      </c>
      <c r="D588" s="4" t="s">
        <v>27</v>
      </c>
      <c r="E588" s="4">
        <v>3</v>
      </c>
      <c r="F588" s="4" t="str">
        <f>IFERROR(VLOOKUP(Tabela32[[#This Row],[Placa]],Planilha2!$A$1:$B$12,2,0),"")</f>
        <v>Rosinaldo</v>
      </c>
      <c r="G588" s="10">
        <v>8578.77</v>
      </c>
      <c r="H588" s="10">
        <v>161474.5</v>
      </c>
      <c r="I588" s="4">
        <v>1516</v>
      </c>
      <c r="J588" s="17">
        <f>IFERROR(Tabela32[[#This Row],[Valor Frete]]/Tabela32[[#This Row],[Valor Mercadoria]],"")</f>
        <v>5.3127707470839051E-2</v>
      </c>
      <c r="K588" s="11">
        <v>0.3125</v>
      </c>
      <c r="L588" s="15">
        <v>0.7416666666666667</v>
      </c>
      <c r="M588" s="15">
        <f>Tabela32[[#This Row],[Hr Chegada]]-Tabela32[[#This Row],[Hr Saida]]</f>
        <v>0.4291666666666667</v>
      </c>
      <c r="N588" s="4">
        <v>292707</v>
      </c>
      <c r="O588" s="4">
        <v>292762</v>
      </c>
      <c r="P588" s="4">
        <f>Tabela32[[#This Row],[Km Chegada]]-Tabela32[[#This Row],[Km Saída]]</f>
        <v>55</v>
      </c>
      <c r="Q588" s="4">
        <v>275</v>
      </c>
      <c r="R588" s="4">
        <v>29</v>
      </c>
      <c r="S588" s="4">
        <v>29</v>
      </c>
      <c r="T588" s="12">
        <f>Tabela32[[#This Row],[Entregas]]-Tabela32[[#This Row],[Realizadas]]</f>
        <v>0</v>
      </c>
      <c r="U588" s="18">
        <f>Tabela32[[#This Row],[Realizadas]]/Tabela32[[#This Row],[Entregas]]</f>
        <v>1</v>
      </c>
      <c r="V588" s="19" t="str">
        <f>IF(Tabela32[[#This Row],[% Entrega]]&gt;=96%,"Atendeu a Meta","Não Atendeu a Meta")</f>
        <v>Atendeu a Meta</v>
      </c>
      <c r="W588" s="4" t="s">
        <v>39</v>
      </c>
      <c r="X588" s="4">
        <v>2</v>
      </c>
      <c r="Y588" s="5">
        <v>9.9</v>
      </c>
    </row>
    <row r="589" spans="1:25" x14ac:dyDescent="0.25">
      <c r="A589" s="8">
        <v>46315</v>
      </c>
      <c r="B589" s="16">
        <f>YEAR(Tabela32[[#This Row],[Data]])</f>
        <v>2026</v>
      </c>
      <c r="C589" s="16">
        <f>MONTH(Tabela32[[#This Row],[Data]])</f>
        <v>10</v>
      </c>
      <c r="D589" s="4" t="s">
        <v>22</v>
      </c>
      <c r="E589" s="4">
        <v>5</v>
      </c>
      <c r="F589" s="4" t="str">
        <f>IFERROR(VLOOKUP(Tabela32[[#This Row],[Placa]],Planilha2!$A$1:$B$12,2,0),"")</f>
        <v>Juscelino</v>
      </c>
      <c r="G589" s="10">
        <v>8910.6200000000008</v>
      </c>
      <c r="H589" s="10">
        <v>154705.03</v>
      </c>
      <c r="I589" s="4">
        <v>1791</v>
      </c>
      <c r="J589" s="17">
        <f>IFERROR(Tabela32[[#This Row],[Valor Frete]]/Tabela32[[#This Row],[Valor Mercadoria]],"")</f>
        <v>5.759748083174801E-2</v>
      </c>
      <c r="K589" s="11">
        <v>0.3125</v>
      </c>
      <c r="L589" s="15">
        <v>0.69166666666666665</v>
      </c>
      <c r="M589" s="15">
        <f>Tabela32[[#This Row],[Hr Chegada]]-Tabela32[[#This Row],[Hr Saida]]</f>
        <v>0.37916666666666665</v>
      </c>
      <c r="N589" s="4">
        <v>306713</v>
      </c>
      <c r="O589" s="4">
        <v>306802</v>
      </c>
      <c r="P589" s="4">
        <f>Tabela32[[#This Row],[Km Chegada]]-Tabela32[[#This Row],[Km Saída]]</f>
        <v>89</v>
      </c>
      <c r="Q589" s="4">
        <v>308</v>
      </c>
      <c r="R589" s="4">
        <v>14</v>
      </c>
      <c r="S589" s="4">
        <v>14</v>
      </c>
      <c r="T589" s="12">
        <f>Tabela32[[#This Row],[Entregas]]-Tabela32[[#This Row],[Realizadas]]</f>
        <v>0</v>
      </c>
      <c r="U589" s="18">
        <f>Tabela32[[#This Row],[Realizadas]]/Tabela32[[#This Row],[Entregas]]</f>
        <v>1</v>
      </c>
      <c r="V589" s="19" t="str">
        <f>IF(Tabela32[[#This Row],[% Entrega]]&gt;=96%,"Atendeu a Meta","Não Atendeu a Meta")</f>
        <v>Atendeu a Meta</v>
      </c>
      <c r="W589" s="4" t="s">
        <v>39</v>
      </c>
      <c r="X589" s="4">
        <v>0</v>
      </c>
      <c r="Y589" s="5">
        <v>0</v>
      </c>
    </row>
    <row r="590" spans="1:25" x14ac:dyDescent="0.25">
      <c r="A590" s="8">
        <v>46315</v>
      </c>
      <c r="B590" s="16">
        <f>YEAR(Tabela32[[#This Row],[Data]])</f>
        <v>2026</v>
      </c>
      <c r="C590" s="16">
        <f>MONTH(Tabela32[[#This Row],[Data]])</f>
        <v>10</v>
      </c>
      <c r="D590" s="4" t="s">
        <v>28</v>
      </c>
      <c r="E590" s="4">
        <v>11</v>
      </c>
      <c r="F590" s="4" t="str">
        <f>IFERROR(VLOOKUP(Tabela32[[#This Row],[Placa]],Planilha2!$A$1:$B$12,2,0),"")</f>
        <v>Edilson</v>
      </c>
      <c r="G590" s="10">
        <v>31294.400000000001</v>
      </c>
      <c r="H590" s="10">
        <v>774001.49</v>
      </c>
      <c r="I590" s="4">
        <v>6346</v>
      </c>
      <c r="J590" s="17">
        <f>IFERROR(Tabela32[[#This Row],[Valor Frete]]/Tabela32[[#This Row],[Valor Mercadoria]],"")</f>
        <v>4.0431963509527616E-2</v>
      </c>
      <c r="K590" s="11">
        <v>0.27083333333333331</v>
      </c>
      <c r="L590" s="15">
        <v>0.70833333333333337</v>
      </c>
      <c r="M590" s="15">
        <f>Tabela32[[#This Row],[Hr Chegada]]-Tabela32[[#This Row],[Hr Saida]]</f>
        <v>0.43750000000000006</v>
      </c>
      <c r="N590" s="4">
        <v>107711</v>
      </c>
      <c r="O590" s="4">
        <v>107835</v>
      </c>
      <c r="P590" s="4">
        <f>Tabela32[[#This Row],[Km Chegada]]-Tabela32[[#This Row],[Km Saída]]</f>
        <v>124</v>
      </c>
      <c r="Q590" s="4">
        <v>17</v>
      </c>
      <c r="R590" s="4">
        <v>1</v>
      </c>
      <c r="S590" s="4">
        <v>1</v>
      </c>
      <c r="T590" s="12">
        <f>Tabela32[[#This Row],[Entregas]]-Tabela32[[#This Row],[Realizadas]]</f>
        <v>0</v>
      </c>
      <c r="U590" s="18">
        <f>Tabela32[[#This Row],[Realizadas]]/Tabela32[[#This Row],[Entregas]]</f>
        <v>1</v>
      </c>
      <c r="V590" s="19" t="str">
        <f>IF(Tabela32[[#This Row],[% Entrega]]&gt;=96%,"Atendeu a Meta","Não Atendeu a Meta")</f>
        <v>Atendeu a Meta</v>
      </c>
      <c r="W590" s="4" t="s">
        <v>41</v>
      </c>
      <c r="X590" s="4">
        <v>0</v>
      </c>
      <c r="Y590" s="5">
        <v>0</v>
      </c>
    </row>
    <row r="591" spans="1:25" x14ac:dyDescent="0.25">
      <c r="A591" s="8">
        <v>46315</v>
      </c>
      <c r="B591" s="16">
        <f>YEAR(Tabela32[[#This Row],[Data]])</f>
        <v>2026</v>
      </c>
      <c r="C591" s="16">
        <f>MONTH(Tabela32[[#This Row],[Data]])</f>
        <v>10</v>
      </c>
      <c r="D591" s="4" t="s">
        <v>27</v>
      </c>
      <c r="E591" s="4">
        <v>3</v>
      </c>
      <c r="F591" s="4" t="str">
        <f>IFERROR(VLOOKUP(Tabela32[[#This Row],[Placa]],Planilha2!$A$1:$B$12,2,0),"")</f>
        <v>Rosinaldo</v>
      </c>
      <c r="G591" s="10">
        <v>10343.709999999999</v>
      </c>
      <c r="H591" s="10">
        <v>357847.19</v>
      </c>
      <c r="I591" s="4">
        <v>2447</v>
      </c>
      <c r="J591" s="17">
        <f>IFERROR(Tabela32[[#This Row],[Valor Frete]]/Tabela32[[#This Row],[Valor Mercadoria]],"")</f>
        <v>2.8905382769667688E-2</v>
      </c>
      <c r="K591" s="11">
        <v>0.29166666666666669</v>
      </c>
      <c r="L591" s="15">
        <v>0.73055555555555551</v>
      </c>
      <c r="M591" s="15">
        <f>Tabela32[[#This Row],[Hr Chegada]]-Tabela32[[#This Row],[Hr Saida]]</f>
        <v>0.43888888888888883</v>
      </c>
      <c r="N591" s="4">
        <v>292762</v>
      </c>
      <c r="O591" s="4">
        <v>292852</v>
      </c>
      <c r="P591" s="4">
        <f>Tabela32[[#This Row],[Km Chegada]]-Tabela32[[#This Row],[Km Saída]]</f>
        <v>90</v>
      </c>
      <c r="Q591" s="4">
        <v>271</v>
      </c>
      <c r="R591" s="4">
        <v>16</v>
      </c>
      <c r="S591" s="4">
        <v>16</v>
      </c>
      <c r="T591" s="12">
        <f>Tabela32[[#This Row],[Entregas]]-Tabela32[[#This Row],[Realizadas]]</f>
        <v>0</v>
      </c>
      <c r="U591" s="18">
        <f>Tabela32[[#This Row],[Realizadas]]/Tabela32[[#This Row],[Entregas]]</f>
        <v>1</v>
      </c>
      <c r="V591" s="19" t="str">
        <f>IF(Tabela32[[#This Row],[% Entrega]]&gt;=96%,"Atendeu a Meta","Não Atendeu a Meta")</f>
        <v>Atendeu a Meta</v>
      </c>
      <c r="W591" s="4" t="s">
        <v>39</v>
      </c>
      <c r="X591" s="4">
        <v>0</v>
      </c>
      <c r="Y591" s="5">
        <v>38</v>
      </c>
    </row>
    <row r="592" spans="1:25" x14ac:dyDescent="0.25">
      <c r="A592" s="8">
        <v>46315</v>
      </c>
      <c r="B592" s="16">
        <f>YEAR(Tabela32[[#This Row],[Data]])</f>
        <v>2026</v>
      </c>
      <c r="C592" s="16">
        <f>MONTH(Tabela32[[#This Row],[Data]])</f>
        <v>10</v>
      </c>
      <c r="D592" s="4" t="s">
        <v>33</v>
      </c>
      <c r="E592" s="4">
        <v>1</v>
      </c>
      <c r="F592" s="4" t="str">
        <f>IFERROR(VLOOKUP(Tabela32[[#This Row],[Placa]],Planilha2!$A$1:$B$12,2,0),"")</f>
        <v>Paulo</v>
      </c>
      <c r="G592" s="10">
        <v>4937.08</v>
      </c>
      <c r="H592" s="10">
        <v>53124.21</v>
      </c>
      <c r="I592" s="4">
        <v>671</v>
      </c>
      <c r="J592" s="17">
        <f>IFERROR(Tabela32[[#This Row],[Valor Frete]]/Tabela32[[#This Row],[Valor Mercadoria]],"")</f>
        <v>9.2934652581186619E-2</v>
      </c>
      <c r="K592" s="11">
        <v>0.29166666666666669</v>
      </c>
      <c r="L592" s="15">
        <v>0.69722222222222219</v>
      </c>
      <c r="M592" s="15">
        <f>Tabela32[[#This Row],[Hr Chegada]]-Tabela32[[#This Row],[Hr Saida]]</f>
        <v>0.4055555555555555</v>
      </c>
      <c r="N592" s="4">
        <v>157700</v>
      </c>
      <c r="O592" s="4">
        <v>157777</v>
      </c>
      <c r="P592" s="4">
        <f>Tabela32[[#This Row],[Km Chegada]]-Tabela32[[#This Row],[Km Saída]]</f>
        <v>77</v>
      </c>
      <c r="Q592" s="4">
        <v>87</v>
      </c>
      <c r="R592" s="4">
        <v>6</v>
      </c>
      <c r="S592" s="4">
        <v>6</v>
      </c>
      <c r="T592" s="12">
        <f>Tabela32[[#This Row],[Entregas]]-Tabela32[[#This Row],[Realizadas]]</f>
        <v>0</v>
      </c>
      <c r="U592" s="18">
        <f>Tabela32[[#This Row],[Realizadas]]/Tabela32[[#This Row],[Entregas]]</f>
        <v>1</v>
      </c>
      <c r="V592" s="19" t="str">
        <f>IF(Tabela32[[#This Row],[% Entrega]]&gt;=96%,"Atendeu a Meta","Não Atendeu a Meta")</f>
        <v>Atendeu a Meta</v>
      </c>
      <c r="W592" s="4" t="s">
        <v>40</v>
      </c>
      <c r="X592" s="4">
        <v>0</v>
      </c>
      <c r="Y592" s="5">
        <v>0</v>
      </c>
    </row>
    <row r="593" spans="1:25" x14ac:dyDescent="0.25">
      <c r="A593" s="8">
        <v>46315</v>
      </c>
      <c r="B593" s="16">
        <f>YEAR(Tabela32[[#This Row],[Data]])</f>
        <v>2026</v>
      </c>
      <c r="C593" s="16">
        <f>MONTH(Tabela32[[#This Row],[Data]])</f>
        <v>10</v>
      </c>
      <c r="D593" s="4" t="s">
        <v>35</v>
      </c>
      <c r="E593" s="4">
        <v>3</v>
      </c>
      <c r="F593" s="4" t="str">
        <f>IFERROR(VLOOKUP(Tabela32[[#This Row],[Placa]],Planilha2!$A$1:$B$12,2,0),"")</f>
        <v>Osvaldo</v>
      </c>
      <c r="G593" s="10">
        <v>11018.08</v>
      </c>
      <c r="H593" s="10">
        <v>296007.76</v>
      </c>
      <c r="I593" s="4">
        <v>1833</v>
      </c>
      <c r="J593" s="17">
        <f>IFERROR(Tabela32[[#This Row],[Valor Frete]]/Tabela32[[#This Row],[Valor Mercadoria]],"")</f>
        <v>3.72222674162326E-2</v>
      </c>
      <c r="K593" s="11">
        <v>0.30355324074074075</v>
      </c>
      <c r="L593" s="15">
        <v>0.71319444444444446</v>
      </c>
      <c r="M593" s="15">
        <f>Tabela32[[#This Row],[Hr Chegada]]-Tabela32[[#This Row],[Hr Saida]]</f>
        <v>0.40964120370370372</v>
      </c>
      <c r="N593" s="4">
        <v>145236</v>
      </c>
      <c r="O593" s="4">
        <v>145287</v>
      </c>
      <c r="P593" s="4">
        <f>Tabela32[[#This Row],[Km Chegada]]-Tabela32[[#This Row],[Km Saída]]</f>
        <v>51</v>
      </c>
      <c r="Q593" s="4">
        <v>380</v>
      </c>
      <c r="R593" s="4">
        <v>27</v>
      </c>
      <c r="S593" s="4">
        <v>27</v>
      </c>
      <c r="T593" s="12">
        <f>Tabela32[[#This Row],[Entregas]]-Tabela32[[#This Row],[Realizadas]]</f>
        <v>0</v>
      </c>
      <c r="U593" s="18">
        <f>Tabela32[[#This Row],[Realizadas]]/Tabela32[[#This Row],[Entregas]]</f>
        <v>1</v>
      </c>
      <c r="V593" s="19" t="str">
        <f>IF(Tabela32[[#This Row],[% Entrega]]&gt;=96%,"Atendeu a Meta","Não Atendeu a Meta")</f>
        <v>Atendeu a Meta</v>
      </c>
      <c r="W593" s="4" t="s">
        <v>39</v>
      </c>
      <c r="X593" s="4">
        <v>0</v>
      </c>
      <c r="Y593" s="5">
        <v>0</v>
      </c>
    </row>
    <row r="594" spans="1:25" x14ac:dyDescent="0.25">
      <c r="A594" s="8">
        <v>46315</v>
      </c>
      <c r="B594" s="16">
        <f>YEAR(Tabela32[[#This Row],[Data]])</f>
        <v>2026</v>
      </c>
      <c r="C594" s="16">
        <f>MONTH(Tabela32[[#This Row],[Data]])</f>
        <v>10</v>
      </c>
      <c r="D594" s="4" t="s">
        <v>29</v>
      </c>
      <c r="E594" s="4">
        <v>1</v>
      </c>
      <c r="F594" s="4" t="str">
        <f>IFERROR(VLOOKUP(Tabela32[[#This Row],[Placa]],Planilha2!$A$1:$B$12,2,0),"")</f>
        <v>Sandro</v>
      </c>
      <c r="G594" s="10">
        <v>8422.27</v>
      </c>
      <c r="H594" s="10">
        <v>108755.44</v>
      </c>
      <c r="I594" s="4">
        <v>1434</v>
      </c>
      <c r="J594" s="17">
        <f>IFERROR(Tabela32[[#This Row],[Valor Frete]]/Tabela32[[#This Row],[Valor Mercadoria]],"")</f>
        <v>7.744228702490652E-2</v>
      </c>
      <c r="K594" s="11">
        <v>0.3125</v>
      </c>
      <c r="L594" s="15">
        <v>0.76041666666666663</v>
      </c>
      <c r="M594" s="15">
        <f>Tabela32[[#This Row],[Hr Chegada]]-Tabela32[[#This Row],[Hr Saida]]</f>
        <v>0.44791666666666663</v>
      </c>
      <c r="N594" s="4">
        <v>277217</v>
      </c>
      <c r="O594" s="4">
        <v>277388</v>
      </c>
      <c r="P594" s="4">
        <f>Tabela32[[#This Row],[Km Chegada]]-Tabela32[[#This Row],[Km Saída]]</f>
        <v>171</v>
      </c>
      <c r="Q594" s="4">
        <v>161</v>
      </c>
      <c r="R594" s="4">
        <v>31</v>
      </c>
      <c r="S594" s="4">
        <v>31</v>
      </c>
      <c r="T594" s="12">
        <f>Tabela32[[#This Row],[Entregas]]-Tabela32[[#This Row],[Realizadas]]</f>
        <v>0</v>
      </c>
      <c r="U594" s="18">
        <f>Tabela32[[#This Row],[Realizadas]]/Tabela32[[#This Row],[Entregas]]</f>
        <v>1</v>
      </c>
      <c r="V594" s="19" t="str">
        <f>IF(Tabela32[[#This Row],[% Entrega]]&gt;=96%,"Atendeu a Meta","Não Atendeu a Meta")</f>
        <v>Atendeu a Meta</v>
      </c>
      <c r="W594" s="4" t="s">
        <v>40</v>
      </c>
      <c r="X594" s="4">
        <v>0</v>
      </c>
      <c r="Y594" s="5">
        <v>10</v>
      </c>
    </row>
    <row r="595" spans="1:25" x14ac:dyDescent="0.25">
      <c r="A595" s="8">
        <v>46315</v>
      </c>
      <c r="B595" s="16">
        <f>YEAR(Tabela32[[#This Row],[Data]])</f>
        <v>2026</v>
      </c>
      <c r="C595" s="16">
        <f>MONTH(Tabela32[[#This Row],[Data]])</f>
        <v>10</v>
      </c>
      <c r="D595" s="4" t="s">
        <v>31</v>
      </c>
      <c r="E595" s="4">
        <v>5</v>
      </c>
      <c r="F595" s="4" t="str">
        <f>IFERROR(VLOOKUP(Tabela32[[#This Row],[Placa]],Planilha2!$A$1:$B$12,2,0),"")</f>
        <v>Jerson</v>
      </c>
      <c r="G595" s="10">
        <v>10335.64</v>
      </c>
      <c r="H595" s="10">
        <v>126768.55</v>
      </c>
      <c r="I595" s="4">
        <v>1443</v>
      </c>
      <c r="J595" s="17">
        <f>IFERROR(Tabela32[[#This Row],[Valor Frete]]/Tabela32[[#This Row],[Valor Mercadoria]],"")</f>
        <v>8.1531578613149705E-2</v>
      </c>
      <c r="K595" s="11">
        <v>0.3125</v>
      </c>
      <c r="L595" s="15">
        <v>0.78125</v>
      </c>
      <c r="M595" s="15">
        <f>Tabela32[[#This Row],[Hr Chegada]]-Tabela32[[#This Row],[Hr Saida]]</f>
        <v>0.46875</v>
      </c>
      <c r="N595" s="4">
        <v>282336</v>
      </c>
      <c r="O595" s="4">
        <v>282391</v>
      </c>
      <c r="P595" s="4">
        <f>Tabela32[[#This Row],[Km Chegada]]-Tabela32[[#This Row],[Km Saída]]</f>
        <v>55</v>
      </c>
      <c r="Q595" s="4">
        <v>185</v>
      </c>
      <c r="R595" s="4">
        <v>30</v>
      </c>
      <c r="S595" s="4">
        <v>30</v>
      </c>
      <c r="T595" s="12">
        <f>Tabela32[[#This Row],[Entregas]]-Tabela32[[#This Row],[Realizadas]]</f>
        <v>0</v>
      </c>
      <c r="U595" s="18">
        <f>Tabela32[[#This Row],[Realizadas]]/Tabela32[[#This Row],[Entregas]]</f>
        <v>1</v>
      </c>
      <c r="V595" s="19" t="str">
        <f>IF(Tabela32[[#This Row],[% Entrega]]&gt;=96%,"Atendeu a Meta","Não Atendeu a Meta")</f>
        <v>Atendeu a Meta</v>
      </c>
      <c r="W595" s="4" t="s">
        <v>39</v>
      </c>
      <c r="X595" s="4">
        <v>0</v>
      </c>
      <c r="Y595" s="5">
        <v>0</v>
      </c>
    </row>
    <row r="596" spans="1:25" x14ac:dyDescent="0.25">
      <c r="A596" s="8">
        <v>46315</v>
      </c>
      <c r="B596" s="16">
        <f>YEAR(Tabela32[[#This Row],[Data]])</f>
        <v>2026</v>
      </c>
      <c r="C596" s="16">
        <f>MONTH(Tabela32[[#This Row],[Data]])</f>
        <v>10</v>
      </c>
      <c r="D596" s="4" t="s">
        <v>23</v>
      </c>
      <c r="E596" s="4">
        <v>1</v>
      </c>
      <c r="F596" s="4" t="str">
        <f>IFERROR(VLOOKUP(Tabela32[[#This Row],[Placa]],Planilha2!$A$1:$B$12,2,0),"")</f>
        <v>William</v>
      </c>
      <c r="G596" s="10">
        <v>11945.55</v>
      </c>
      <c r="H596" s="10">
        <v>159995.82</v>
      </c>
      <c r="I596" s="4">
        <v>2035</v>
      </c>
      <c r="J596" s="17">
        <f>IFERROR(Tabela32[[#This Row],[Valor Frete]]/Tabela32[[#This Row],[Valor Mercadoria]],"")</f>
        <v>7.4661638035293659E-2</v>
      </c>
      <c r="K596" s="11">
        <v>0.3125</v>
      </c>
      <c r="L596" s="15">
        <v>0.78472222222222221</v>
      </c>
      <c r="M596" s="15">
        <f>Tabela32[[#This Row],[Hr Chegada]]-Tabela32[[#This Row],[Hr Saida]]</f>
        <v>0.47222222222222221</v>
      </c>
      <c r="N596" s="4">
        <v>127326</v>
      </c>
      <c r="O596" s="4">
        <v>127397</v>
      </c>
      <c r="P596" s="4">
        <f>Tabela32[[#This Row],[Km Chegada]]-Tabela32[[#This Row],[Km Saída]]</f>
        <v>71</v>
      </c>
      <c r="Q596" s="4">
        <v>277</v>
      </c>
      <c r="R596" s="4">
        <v>28</v>
      </c>
      <c r="S596" s="4">
        <v>28</v>
      </c>
      <c r="T596" s="12">
        <f>Tabela32[[#This Row],[Entregas]]-Tabela32[[#This Row],[Realizadas]]</f>
        <v>0</v>
      </c>
      <c r="U596" s="18">
        <f>Tabela32[[#This Row],[Realizadas]]/Tabela32[[#This Row],[Entregas]]</f>
        <v>1</v>
      </c>
      <c r="V596" s="19" t="str">
        <f>IF(Tabela32[[#This Row],[% Entrega]]&gt;=96%,"Atendeu a Meta","Não Atendeu a Meta")</f>
        <v>Atendeu a Meta</v>
      </c>
      <c r="W596" s="4" t="s">
        <v>43</v>
      </c>
      <c r="X596" s="4">
        <v>1</v>
      </c>
      <c r="Y596" s="5">
        <v>27</v>
      </c>
    </row>
    <row r="597" spans="1:25" x14ac:dyDescent="0.25">
      <c r="A597" s="8">
        <v>46315</v>
      </c>
      <c r="B597" s="16">
        <f>YEAR(Tabela32[[#This Row],[Data]])</f>
        <v>2026</v>
      </c>
      <c r="C597" s="16">
        <f>MONTH(Tabela32[[#This Row],[Data]])</f>
        <v>10</v>
      </c>
      <c r="D597" s="4" t="s">
        <v>53</v>
      </c>
      <c r="E597" s="4">
        <v>11</v>
      </c>
      <c r="F597" s="4" t="str">
        <f>IFERROR(VLOOKUP(Tabela32[[#This Row],[Placa]],Planilha2!$A$1:$B$12,2,0),"")</f>
        <v>Arnaldo</v>
      </c>
      <c r="G597" s="10">
        <v>12821.04</v>
      </c>
      <c r="H597" s="10">
        <v>228080.39</v>
      </c>
      <c r="I597" s="4">
        <v>2382</v>
      </c>
      <c r="J597" s="17">
        <f>IFERROR(Tabela32[[#This Row],[Valor Frete]]/Tabela32[[#This Row],[Valor Mercadoria]],"")</f>
        <v>5.6212811631898736E-2</v>
      </c>
      <c r="K597" s="11">
        <v>0.27430555555555558</v>
      </c>
      <c r="L597" s="15">
        <v>0.78125</v>
      </c>
      <c r="M597" s="15">
        <f>Tabela32[[#This Row],[Hr Chegada]]-Tabela32[[#This Row],[Hr Saida]]</f>
        <v>0.50694444444444442</v>
      </c>
      <c r="N597" s="4">
        <v>15040</v>
      </c>
      <c r="O597" s="4">
        <v>15182</v>
      </c>
      <c r="P597" s="4">
        <f>Tabela32[[#This Row],[Km Chegada]]-Tabela32[[#This Row],[Km Saída]]</f>
        <v>142</v>
      </c>
      <c r="Q597" s="4">
        <v>510</v>
      </c>
      <c r="R597" s="4">
        <v>35</v>
      </c>
      <c r="S597" s="4">
        <v>35</v>
      </c>
      <c r="T597" s="12">
        <f>Tabela32[[#This Row],[Entregas]]-Tabela32[[#This Row],[Realizadas]]</f>
        <v>0</v>
      </c>
      <c r="U597" s="18">
        <f>Tabela32[[#This Row],[Realizadas]]/Tabela32[[#This Row],[Entregas]]</f>
        <v>1</v>
      </c>
      <c r="V597" s="19" t="str">
        <f>IF(Tabela32[[#This Row],[% Entrega]]&gt;=96%,"Atendeu a Meta","Não Atendeu a Meta")</f>
        <v>Atendeu a Meta</v>
      </c>
      <c r="W597" s="4" t="s">
        <v>41</v>
      </c>
      <c r="X597" s="4">
        <v>0</v>
      </c>
      <c r="Y597" s="5">
        <v>38</v>
      </c>
    </row>
    <row r="598" spans="1:25" x14ac:dyDescent="0.25">
      <c r="A598" s="8">
        <v>46316</v>
      </c>
      <c r="B598" s="16">
        <f>YEAR(Tabela32[[#This Row],[Data]])</f>
        <v>2026</v>
      </c>
      <c r="C598" s="16">
        <f>MONTH(Tabela32[[#This Row],[Data]])</f>
        <v>10</v>
      </c>
      <c r="D598" s="4" t="s">
        <v>25</v>
      </c>
      <c r="E598" s="4">
        <v>2</v>
      </c>
      <c r="F598" s="4" t="str">
        <f>IFERROR(VLOOKUP(Tabela32[[#This Row],[Placa]],Planilha2!$A$1:$B$12,2,0),"")</f>
        <v>Gilberto</v>
      </c>
      <c r="G598" s="10">
        <v>11456.15</v>
      </c>
      <c r="H598" s="10">
        <v>127013.88</v>
      </c>
      <c r="I598" s="4">
        <v>1411</v>
      </c>
      <c r="J598" s="17">
        <f>IFERROR(Tabela32[[#This Row],[Valor Frete]]/Tabela32[[#This Row],[Valor Mercadoria]],"")</f>
        <v>9.0196047865004986E-2</v>
      </c>
      <c r="K598" s="11">
        <v>0.29166666666666669</v>
      </c>
      <c r="L598" s="15">
        <v>0.70833333333333337</v>
      </c>
      <c r="M598" s="15">
        <f>Tabela32[[#This Row],[Hr Chegada]]-Tabela32[[#This Row],[Hr Saida]]</f>
        <v>0.41666666666666669</v>
      </c>
      <c r="N598" s="4">
        <v>121274</v>
      </c>
      <c r="O598" s="4">
        <v>121338</v>
      </c>
      <c r="P598" s="4">
        <f>Tabela32[[#This Row],[Km Chegada]]-Tabela32[[#This Row],[Km Saída]]</f>
        <v>64</v>
      </c>
      <c r="Q598" s="4">
        <v>262</v>
      </c>
      <c r="R598" s="4">
        <v>41</v>
      </c>
      <c r="S598" s="4">
        <v>41</v>
      </c>
      <c r="T598" s="12">
        <f>Tabela32[[#This Row],[Entregas]]-Tabela32[[#This Row],[Realizadas]]</f>
        <v>0</v>
      </c>
      <c r="U598" s="18">
        <f>Tabela32[[#This Row],[Realizadas]]/Tabela32[[#This Row],[Entregas]]</f>
        <v>1</v>
      </c>
      <c r="V598" s="19" t="str">
        <f>IF(Tabela32[[#This Row],[% Entrega]]&gt;=96%,"Atendeu a Meta","Não Atendeu a Meta")</f>
        <v>Atendeu a Meta</v>
      </c>
      <c r="W598" s="4" t="s">
        <v>39</v>
      </c>
      <c r="X598" s="4">
        <v>0</v>
      </c>
      <c r="Y598" s="5">
        <v>0</v>
      </c>
    </row>
    <row r="599" spans="1:25" x14ac:dyDescent="0.25">
      <c r="A599" s="8">
        <v>46316</v>
      </c>
      <c r="B599" s="16">
        <f>YEAR(Tabela32[[#This Row],[Data]])</f>
        <v>2026</v>
      </c>
      <c r="C599" s="16">
        <f>MONTH(Tabela32[[#This Row],[Data]])</f>
        <v>10</v>
      </c>
      <c r="D599" s="4" t="s">
        <v>22</v>
      </c>
      <c r="E599" s="4">
        <v>1</v>
      </c>
      <c r="F599" s="4" t="str">
        <f>IFERROR(VLOOKUP(Tabela32[[#This Row],[Placa]],Planilha2!$A$1:$B$12,2,0),"")</f>
        <v>Juscelino</v>
      </c>
      <c r="G599" s="10">
        <v>7360.57</v>
      </c>
      <c r="H599" s="10">
        <v>284340.5</v>
      </c>
      <c r="I599" s="4">
        <v>2078</v>
      </c>
      <c r="J599" s="17">
        <f>IFERROR(Tabela32[[#This Row],[Valor Frete]]/Tabela32[[#This Row],[Valor Mercadoria]],"")</f>
        <v>2.5886463588549641E-2</v>
      </c>
      <c r="K599" s="11">
        <v>0.3125</v>
      </c>
      <c r="L599" s="15">
        <v>0.75694444444444442</v>
      </c>
      <c r="M599" s="15">
        <f>Tabela32[[#This Row],[Hr Chegada]]-Tabela32[[#This Row],[Hr Saida]]</f>
        <v>0.44444444444444442</v>
      </c>
      <c r="N599" s="4">
        <v>306802</v>
      </c>
      <c r="O599" s="4">
        <v>306844</v>
      </c>
      <c r="P599" s="4">
        <f>Tabela32[[#This Row],[Km Chegada]]-Tabela32[[#This Row],[Km Saída]]</f>
        <v>42</v>
      </c>
      <c r="Q599" s="4">
        <v>314</v>
      </c>
      <c r="R599" s="4">
        <v>2</v>
      </c>
      <c r="S599" s="4">
        <v>2</v>
      </c>
      <c r="T599" s="12">
        <f>Tabela32[[#This Row],[Entregas]]-Tabela32[[#This Row],[Realizadas]]</f>
        <v>0</v>
      </c>
      <c r="U599" s="18">
        <f>Tabela32[[#This Row],[Realizadas]]/Tabela32[[#This Row],[Entregas]]</f>
        <v>1</v>
      </c>
      <c r="V599" s="19" t="str">
        <f>IF(Tabela32[[#This Row],[% Entrega]]&gt;=96%,"Atendeu a Meta","Não Atendeu a Meta")</f>
        <v>Atendeu a Meta</v>
      </c>
      <c r="W599" s="4" t="s">
        <v>43</v>
      </c>
      <c r="X599" s="4">
        <v>0</v>
      </c>
      <c r="Y599" s="5">
        <v>0</v>
      </c>
    </row>
    <row r="600" spans="1:25" x14ac:dyDescent="0.25">
      <c r="A600" s="8">
        <v>46316</v>
      </c>
      <c r="B600" s="16">
        <f>YEAR(Tabela32[[#This Row],[Data]])</f>
        <v>2026</v>
      </c>
      <c r="C600" s="16">
        <f>MONTH(Tabela32[[#This Row],[Data]])</f>
        <v>10</v>
      </c>
      <c r="D600" s="4" t="s">
        <v>29</v>
      </c>
      <c r="E600" s="4">
        <v>1</v>
      </c>
      <c r="F600" s="4" t="str">
        <f>IFERROR(VLOOKUP(Tabela32[[#This Row],[Placa]],Planilha2!$A$1:$B$12,2,0),"")</f>
        <v>Sandro</v>
      </c>
      <c r="G600" s="10">
        <v>2004.41</v>
      </c>
      <c r="H600" s="10">
        <v>24964.32</v>
      </c>
      <c r="I600" s="4">
        <v>246</v>
      </c>
      <c r="J600" s="17">
        <f>IFERROR(Tabela32[[#This Row],[Valor Frete]]/Tabela32[[#This Row],[Valor Mercadoria]],"")</f>
        <v>8.0290991302787343E-2</v>
      </c>
      <c r="K600" s="11">
        <v>0.29166666666666669</v>
      </c>
      <c r="L600" s="15">
        <v>0.57291666666666663</v>
      </c>
      <c r="M600" s="15">
        <f>Tabela32[[#This Row],[Hr Chegada]]-Tabela32[[#This Row],[Hr Saida]]</f>
        <v>0.28124999999999994</v>
      </c>
      <c r="N600" s="4">
        <v>277388</v>
      </c>
      <c r="O600" s="4">
        <v>277431</v>
      </c>
      <c r="P600" s="4">
        <f>Tabela32[[#This Row],[Km Chegada]]-Tabela32[[#This Row],[Km Saída]]</f>
        <v>43</v>
      </c>
      <c r="Q600" s="4">
        <v>87</v>
      </c>
      <c r="R600" s="4">
        <v>2</v>
      </c>
      <c r="S600" s="4">
        <v>2</v>
      </c>
      <c r="T600" s="12">
        <f>Tabela32[[#This Row],[Entregas]]-Tabela32[[#This Row],[Realizadas]]</f>
        <v>0</v>
      </c>
      <c r="U600" s="18">
        <f>Tabela32[[#This Row],[Realizadas]]/Tabela32[[#This Row],[Entregas]]</f>
        <v>1</v>
      </c>
      <c r="V600" s="19" t="str">
        <f>IF(Tabela32[[#This Row],[% Entrega]]&gt;=96%,"Atendeu a Meta","Não Atendeu a Meta")</f>
        <v>Atendeu a Meta</v>
      </c>
      <c r="W600" s="4" t="s">
        <v>40</v>
      </c>
      <c r="X600" s="4">
        <v>0</v>
      </c>
      <c r="Y600" s="5">
        <v>0</v>
      </c>
    </row>
    <row r="601" spans="1:25" x14ac:dyDescent="0.25">
      <c r="A601" s="8">
        <v>46316</v>
      </c>
      <c r="B601" s="16">
        <f>YEAR(Tabela32[[#This Row],[Data]])</f>
        <v>2026</v>
      </c>
      <c r="C601" s="16">
        <f>MONTH(Tabela32[[#This Row],[Data]])</f>
        <v>10</v>
      </c>
      <c r="D601" s="4" t="s">
        <v>23</v>
      </c>
      <c r="E601" s="4">
        <v>1</v>
      </c>
      <c r="F601" s="4" t="str">
        <f>IFERROR(VLOOKUP(Tabela32[[#This Row],[Placa]],Planilha2!$A$1:$B$12,2,0),"")</f>
        <v>William</v>
      </c>
      <c r="G601" s="10">
        <v>10373.64</v>
      </c>
      <c r="H601" s="10">
        <v>216225.6</v>
      </c>
      <c r="I601" s="4">
        <v>5113</v>
      </c>
      <c r="J601" s="17">
        <f>IFERROR(Tabela32[[#This Row],[Valor Frete]]/Tabela32[[#This Row],[Valor Mercadoria]],"")</f>
        <v>4.7976002841476677E-2</v>
      </c>
      <c r="K601" s="11">
        <v>0.3125</v>
      </c>
      <c r="L601" s="15">
        <v>0.75208333333333333</v>
      </c>
      <c r="M601" s="15">
        <f>Tabela32[[#This Row],[Hr Chegada]]-Tabela32[[#This Row],[Hr Saida]]</f>
        <v>0.43958333333333333</v>
      </c>
      <c r="N601" s="4">
        <v>127397</v>
      </c>
      <c r="O601" s="4">
        <v>127439</v>
      </c>
      <c r="P601" s="4">
        <f>Tabela32[[#This Row],[Km Chegada]]-Tabela32[[#This Row],[Km Saída]]</f>
        <v>42</v>
      </c>
      <c r="Q601" s="4">
        <v>374</v>
      </c>
      <c r="R601" s="4">
        <v>6</v>
      </c>
      <c r="S601" s="4">
        <v>6</v>
      </c>
      <c r="T601" s="12">
        <f>Tabela32[[#This Row],[Entregas]]-Tabela32[[#This Row],[Realizadas]]</f>
        <v>0</v>
      </c>
      <c r="U601" s="18">
        <f>Tabela32[[#This Row],[Realizadas]]/Tabela32[[#This Row],[Entregas]]</f>
        <v>1</v>
      </c>
      <c r="V601" s="19" t="str">
        <f>IF(Tabela32[[#This Row],[% Entrega]]&gt;=96%,"Atendeu a Meta","Não Atendeu a Meta")</f>
        <v>Atendeu a Meta</v>
      </c>
      <c r="W601" s="4" t="s">
        <v>43</v>
      </c>
      <c r="X601" s="4">
        <v>0</v>
      </c>
      <c r="Y601" s="5">
        <v>0</v>
      </c>
    </row>
    <row r="602" spans="1:25" x14ac:dyDescent="0.25">
      <c r="A602" s="8">
        <v>46316</v>
      </c>
      <c r="B602" s="16">
        <f>YEAR(Tabela32[[#This Row],[Data]])</f>
        <v>2026</v>
      </c>
      <c r="C602" s="16">
        <f>MONTH(Tabela32[[#This Row],[Data]])</f>
        <v>10</v>
      </c>
      <c r="D602" s="4" t="s">
        <v>35</v>
      </c>
      <c r="E602" s="4">
        <v>3</v>
      </c>
      <c r="F602" s="4" t="str">
        <f>IFERROR(VLOOKUP(Tabela32[[#This Row],[Placa]],Planilha2!$A$1:$B$12,2,0),"")</f>
        <v>Osvaldo</v>
      </c>
      <c r="G602" s="10">
        <v>6256.37</v>
      </c>
      <c r="H602" s="10">
        <v>105039.2</v>
      </c>
      <c r="I602" s="4">
        <v>826</v>
      </c>
      <c r="J602" s="17">
        <f>IFERROR(Tabela32[[#This Row],[Valor Frete]]/Tabela32[[#This Row],[Valor Mercadoria]],"")</f>
        <v>5.9562239621017678E-2</v>
      </c>
      <c r="K602" s="11">
        <v>0.29166666666666669</v>
      </c>
      <c r="L602" s="15">
        <v>0.70347222222222228</v>
      </c>
      <c r="M602" s="15">
        <f>Tabela32[[#This Row],[Hr Chegada]]-Tabela32[[#This Row],[Hr Saida]]</f>
        <v>0.41180555555555559</v>
      </c>
      <c r="N602" s="4">
        <v>145287</v>
      </c>
      <c r="O602" s="4">
        <v>145355</v>
      </c>
      <c r="P602" s="4">
        <f>Tabela32[[#This Row],[Km Chegada]]-Tabela32[[#This Row],[Km Saída]]</f>
        <v>68</v>
      </c>
      <c r="Q602" s="4">
        <v>142</v>
      </c>
      <c r="R602" s="4">
        <v>13</v>
      </c>
      <c r="S602" s="4">
        <v>13</v>
      </c>
      <c r="T602" s="12">
        <f>Tabela32[[#This Row],[Entregas]]-Tabela32[[#This Row],[Realizadas]]</f>
        <v>0</v>
      </c>
      <c r="U602" s="18">
        <f>Tabela32[[#This Row],[Realizadas]]/Tabela32[[#This Row],[Entregas]]</f>
        <v>1</v>
      </c>
      <c r="V602" s="19" t="str">
        <f>IF(Tabela32[[#This Row],[% Entrega]]&gt;=96%,"Atendeu a Meta","Não Atendeu a Meta")</f>
        <v>Atendeu a Meta</v>
      </c>
      <c r="W602" s="4" t="s">
        <v>39</v>
      </c>
      <c r="X602" s="4">
        <v>0</v>
      </c>
      <c r="Y602" s="5">
        <v>0</v>
      </c>
    </row>
    <row r="603" spans="1:25" x14ac:dyDescent="0.25">
      <c r="A603" s="8">
        <v>46316</v>
      </c>
      <c r="B603" s="16">
        <f>YEAR(Tabela32[[#This Row],[Data]])</f>
        <v>2026</v>
      </c>
      <c r="C603" s="16">
        <f>MONTH(Tabela32[[#This Row],[Data]])</f>
        <v>10</v>
      </c>
      <c r="D603" s="4" t="s">
        <v>27</v>
      </c>
      <c r="E603" s="4">
        <v>4</v>
      </c>
      <c r="F603" s="4" t="str">
        <f>IFERROR(VLOOKUP(Tabela32[[#This Row],[Placa]],Planilha2!$A$1:$B$12,2,0),"")</f>
        <v>Rosinaldo</v>
      </c>
      <c r="G603" s="10">
        <v>9152.48</v>
      </c>
      <c r="H603" s="10">
        <v>190013.36</v>
      </c>
      <c r="I603" s="4">
        <v>1860</v>
      </c>
      <c r="J603" s="17">
        <f>IFERROR(Tabela32[[#This Row],[Valor Frete]]/Tabela32[[#This Row],[Valor Mercadoria]],"")</f>
        <v>4.8167560428382508E-2</v>
      </c>
      <c r="K603" s="11">
        <v>0.29166666666666669</v>
      </c>
      <c r="L603" s="15">
        <v>0.74791666666666667</v>
      </c>
      <c r="M603" s="15">
        <f>Tabela32[[#This Row],[Hr Chegada]]-Tabela32[[#This Row],[Hr Saida]]</f>
        <v>0.45624999999999999</v>
      </c>
      <c r="N603" s="4">
        <v>292822</v>
      </c>
      <c r="O603" s="4">
        <v>292922</v>
      </c>
      <c r="P603" s="4">
        <f>Tabela32[[#This Row],[Km Chegada]]-Tabela32[[#This Row],[Km Saída]]</f>
        <v>100</v>
      </c>
      <c r="Q603" s="4">
        <v>288</v>
      </c>
      <c r="R603" s="4">
        <v>34</v>
      </c>
      <c r="S603" s="4">
        <v>34</v>
      </c>
      <c r="T603" s="12">
        <f>Tabela32[[#This Row],[Entregas]]-Tabela32[[#This Row],[Realizadas]]</f>
        <v>0</v>
      </c>
      <c r="U603" s="18">
        <f>Tabela32[[#This Row],[Realizadas]]/Tabela32[[#This Row],[Entregas]]</f>
        <v>1</v>
      </c>
      <c r="V603" s="19" t="str">
        <f>IF(Tabela32[[#This Row],[% Entrega]]&gt;=96%,"Atendeu a Meta","Não Atendeu a Meta")</f>
        <v>Atendeu a Meta</v>
      </c>
      <c r="W603" s="4" t="s">
        <v>39</v>
      </c>
      <c r="X603" s="4">
        <v>0</v>
      </c>
      <c r="Y603" s="5">
        <v>0</v>
      </c>
    </row>
    <row r="604" spans="1:25" x14ac:dyDescent="0.25">
      <c r="A604" s="8">
        <v>46316</v>
      </c>
      <c r="B604" s="16">
        <f>YEAR(Tabela32[[#This Row],[Data]])</f>
        <v>2026</v>
      </c>
      <c r="C604" s="16">
        <f>MONTH(Tabela32[[#This Row],[Data]])</f>
        <v>10</v>
      </c>
      <c r="D604" s="4" t="s">
        <v>53</v>
      </c>
      <c r="E604" s="4">
        <v>11</v>
      </c>
      <c r="F604" s="4" t="str">
        <f>IFERROR(VLOOKUP(Tabela32[[#This Row],[Placa]],Planilha2!$A$1:$B$12,2,0),"")</f>
        <v>Arnaldo</v>
      </c>
      <c r="G604" s="10">
        <v>12293.29</v>
      </c>
      <c r="H604" s="10">
        <v>173218.38</v>
      </c>
      <c r="I604" s="4">
        <v>1625</v>
      </c>
      <c r="J604" s="17">
        <f>IFERROR(Tabela32[[#This Row],[Valor Frete]]/Tabela32[[#This Row],[Valor Mercadoria]],"")</f>
        <v>7.0969893610597218E-2</v>
      </c>
      <c r="K604" s="11">
        <v>0.28472222222222221</v>
      </c>
      <c r="L604" s="15">
        <v>0.77569444444444446</v>
      </c>
      <c r="M604" s="15">
        <f>Tabela32[[#This Row],[Hr Chegada]]-Tabela32[[#This Row],[Hr Saida]]</f>
        <v>0.49097222222222225</v>
      </c>
      <c r="N604" s="4">
        <v>15182</v>
      </c>
      <c r="O604" s="4">
        <v>15322</v>
      </c>
      <c r="P604" s="4">
        <f>Tabela32[[#This Row],[Km Chegada]]-Tabela32[[#This Row],[Km Saída]]</f>
        <v>140</v>
      </c>
      <c r="Q604" s="4">
        <v>199</v>
      </c>
      <c r="R604" s="4">
        <v>35</v>
      </c>
      <c r="S604" s="4">
        <v>35</v>
      </c>
      <c r="T604" s="12">
        <f>Tabela32[[#This Row],[Entregas]]-Tabela32[[#This Row],[Realizadas]]</f>
        <v>0</v>
      </c>
      <c r="U604" s="18">
        <f>Tabela32[[#This Row],[Realizadas]]/Tabela32[[#This Row],[Entregas]]</f>
        <v>1</v>
      </c>
      <c r="V604" s="19" t="str">
        <f>IF(Tabela32[[#This Row],[% Entrega]]&gt;=96%,"Atendeu a Meta","Não Atendeu a Meta")</f>
        <v>Atendeu a Meta</v>
      </c>
      <c r="W604" s="4" t="s">
        <v>41</v>
      </c>
      <c r="X604" s="4">
        <v>0</v>
      </c>
      <c r="Y604" s="5">
        <v>0</v>
      </c>
    </row>
    <row r="605" spans="1:25" x14ac:dyDescent="0.25">
      <c r="A605" s="8">
        <v>46316</v>
      </c>
      <c r="B605" s="16">
        <f>YEAR(Tabela32[[#This Row],[Data]])</f>
        <v>2026</v>
      </c>
      <c r="C605" s="16">
        <f>MONTH(Tabela32[[#This Row],[Data]])</f>
        <v>10</v>
      </c>
      <c r="D605" s="4" t="s">
        <v>29</v>
      </c>
      <c r="E605" s="4">
        <v>4</v>
      </c>
      <c r="F605" s="4" t="str">
        <f>IFERROR(VLOOKUP(Tabela32[[#This Row],[Placa]],Planilha2!$A$1:$B$12,2,0),"")</f>
        <v>Sandro</v>
      </c>
      <c r="G605" s="10">
        <v>2880.48</v>
      </c>
      <c r="H605" s="10">
        <v>49041.02</v>
      </c>
      <c r="I605" s="4">
        <v>408</v>
      </c>
      <c r="J605" s="17">
        <f>IFERROR(Tabela32[[#This Row],[Valor Frete]]/Tabela32[[#This Row],[Valor Mercadoria]],"")</f>
        <v>5.8736135586086917E-2</v>
      </c>
      <c r="K605" s="11">
        <v>0.5625</v>
      </c>
      <c r="L605" s="15">
        <v>0.77638888888888891</v>
      </c>
      <c r="M605" s="15">
        <f>Tabela32[[#This Row],[Hr Chegada]]-Tabela32[[#This Row],[Hr Saida]]</f>
        <v>0.21388888888888891</v>
      </c>
      <c r="N605" s="4">
        <v>277431</v>
      </c>
      <c r="O605" s="4">
        <v>277494</v>
      </c>
      <c r="P605" s="4">
        <f>Tabela32[[#This Row],[Km Chegada]]-Tabela32[[#This Row],[Km Saída]]</f>
        <v>63</v>
      </c>
      <c r="Q605" s="4">
        <v>54</v>
      </c>
      <c r="R605" s="4">
        <v>6</v>
      </c>
      <c r="S605" s="4">
        <v>6</v>
      </c>
      <c r="T605" s="12">
        <f>Tabela32[[#This Row],[Entregas]]-Tabela32[[#This Row],[Realizadas]]</f>
        <v>0</v>
      </c>
      <c r="U605" s="18">
        <f>Tabela32[[#This Row],[Realizadas]]/Tabela32[[#This Row],[Entregas]]</f>
        <v>1</v>
      </c>
      <c r="V605" s="19" t="str">
        <f>IF(Tabela32[[#This Row],[% Entrega]]&gt;=96%,"Atendeu a Meta","Não Atendeu a Meta")</f>
        <v>Atendeu a Meta</v>
      </c>
      <c r="W605" s="4" t="s">
        <v>39</v>
      </c>
      <c r="X605" s="4">
        <v>0</v>
      </c>
      <c r="Y605" s="5">
        <v>0</v>
      </c>
    </row>
    <row r="606" spans="1:25" x14ac:dyDescent="0.25">
      <c r="A606" s="8">
        <v>46316</v>
      </c>
      <c r="B606" s="16">
        <f>YEAR(Tabela32[[#This Row],[Data]])</f>
        <v>2026</v>
      </c>
      <c r="C606" s="16">
        <f>MONTH(Tabela32[[#This Row],[Data]])</f>
        <v>10</v>
      </c>
      <c r="D606" s="4" t="s">
        <v>28</v>
      </c>
      <c r="E606" s="4">
        <v>5</v>
      </c>
      <c r="F606" s="4" t="str">
        <f>IFERROR(VLOOKUP(Tabela32[[#This Row],[Placa]],Planilha2!$A$1:$B$12,2,0),"")</f>
        <v>Edilson</v>
      </c>
      <c r="G606" s="10">
        <v>32903.57</v>
      </c>
      <c r="H606" s="10">
        <v>895953.75</v>
      </c>
      <c r="I606" s="4">
        <v>4165</v>
      </c>
      <c r="J606" s="17">
        <f>IFERROR(Tabela32[[#This Row],[Valor Frete]]/Tabela32[[#This Row],[Valor Mercadoria]],"")</f>
        <v>3.6724630038101856E-2</v>
      </c>
      <c r="K606" s="11">
        <v>0.27083333333333331</v>
      </c>
      <c r="L606" s="15">
        <v>0.71875</v>
      </c>
      <c r="M606" s="15">
        <f>Tabela32[[#This Row],[Hr Chegada]]-Tabela32[[#This Row],[Hr Saida]]</f>
        <v>0.44791666666666669</v>
      </c>
      <c r="N606" s="4">
        <v>107835</v>
      </c>
      <c r="O606" s="4">
        <v>107861</v>
      </c>
      <c r="P606" s="4">
        <f>Tabela32[[#This Row],[Km Chegada]]-Tabela32[[#This Row],[Km Saída]]</f>
        <v>26</v>
      </c>
      <c r="Q606" s="4">
        <v>795</v>
      </c>
      <c r="R606" s="4">
        <v>11</v>
      </c>
      <c r="S606" s="4">
        <v>11</v>
      </c>
      <c r="T606" s="12">
        <f>Tabela32[[#This Row],[Entregas]]-Tabela32[[#This Row],[Realizadas]]</f>
        <v>0</v>
      </c>
      <c r="U606" s="18">
        <f>Tabela32[[#This Row],[Realizadas]]/Tabela32[[#This Row],[Entregas]]</f>
        <v>1</v>
      </c>
      <c r="V606" s="19" t="str">
        <f>IF(Tabela32[[#This Row],[% Entrega]]&gt;=96%,"Atendeu a Meta","Não Atendeu a Meta")</f>
        <v>Atendeu a Meta</v>
      </c>
      <c r="W606" s="4" t="s">
        <v>39</v>
      </c>
      <c r="X606" s="4">
        <v>0</v>
      </c>
      <c r="Y606" s="5">
        <v>0</v>
      </c>
    </row>
    <row r="607" spans="1:25" x14ac:dyDescent="0.25">
      <c r="A607" s="8">
        <v>46316</v>
      </c>
      <c r="B607" s="16">
        <f>YEAR(Tabela32[[#This Row],[Data]])</f>
        <v>2026</v>
      </c>
      <c r="C607" s="16">
        <f>MONTH(Tabela32[[#This Row],[Data]])</f>
        <v>10</v>
      </c>
      <c r="D607" s="4" t="s">
        <v>33</v>
      </c>
      <c r="E607" s="4">
        <v>1</v>
      </c>
      <c r="F607" s="4" t="str">
        <f>IFERROR(VLOOKUP(Tabela32[[#This Row],[Placa]],Planilha2!$A$1:$B$12,2,0),"")</f>
        <v>Paulo</v>
      </c>
      <c r="G607" s="10">
        <v>2705.44</v>
      </c>
      <c r="H607" s="10">
        <v>29614.84</v>
      </c>
      <c r="I607" s="4">
        <v>331</v>
      </c>
      <c r="J607" s="17">
        <f>IFERROR(Tabela32[[#This Row],[Valor Frete]]/Tabela32[[#This Row],[Valor Mercadoria]],"")</f>
        <v>9.1354199448654791E-2</v>
      </c>
      <c r="K607" s="11">
        <v>0.54236111111111107</v>
      </c>
      <c r="L607" s="15">
        <v>0.82291666666666663</v>
      </c>
      <c r="M607" s="15">
        <f>Tabela32[[#This Row],[Hr Chegada]]-Tabela32[[#This Row],[Hr Saida]]</f>
        <v>0.28055555555555556</v>
      </c>
      <c r="N607" s="4">
        <v>157822</v>
      </c>
      <c r="O607" s="4">
        <v>157965</v>
      </c>
      <c r="P607" s="4">
        <f>Tabela32[[#This Row],[Km Chegada]]-Tabela32[[#This Row],[Km Saída]]</f>
        <v>143</v>
      </c>
      <c r="Q607" s="4">
        <v>31</v>
      </c>
      <c r="R607" s="4">
        <v>10</v>
      </c>
      <c r="S607" s="4">
        <v>10</v>
      </c>
      <c r="T607" s="12">
        <f>Tabela32[[#This Row],[Entregas]]-Tabela32[[#This Row],[Realizadas]]</f>
        <v>0</v>
      </c>
      <c r="U607" s="18">
        <f>Tabela32[[#This Row],[Realizadas]]/Tabela32[[#This Row],[Entregas]]</f>
        <v>1</v>
      </c>
      <c r="V607" s="19" t="str">
        <f>IF(Tabela32[[#This Row],[% Entrega]]&gt;=96%,"Atendeu a Meta","Não Atendeu a Meta")</f>
        <v>Atendeu a Meta</v>
      </c>
      <c r="W607" s="4" t="s">
        <v>43</v>
      </c>
      <c r="X607" s="4">
        <v>0</v>
      </c>
      <c r="Y607" s="5">
        <v>0</v>
      </c>
    </row>
    <row r="608" spans="1:25" x14ac:dyDescent="0.25">
      <c r="A608" s="8">
        <v>46316</v>
      </c>
      <c r="B608" s="16">
        <f>YEAR(Tabela32[[#This Row],[Data]])</f>
        <v>2026</v>
      </c>
      <c r="C608" s="16">
        <f>MONTH(Tabela32[[#This Row],[Data]])</f>
        <v>10</v>
      </c>
      <c r="D608" s="4" t="s">
        <v>31</v>
      </c>
      <c r="E608" s="4">
        <v>5</v>
      </c>
      <c r="F608" s="4" t="str">
        <f>IFERROR(VLOOKUP(Tabela32[[#This Row],[Placa]],Planilha2!$A$1:$B$12,2,0),"")</f>
        <v>Jerson</v>
      </c>
      <c r="G608" s="10">
        <v>8870.34</v>
      </c>
      <c r="H608" s="10">
        <v>130858.49</v>
      </c>
      <c r="I608" s="4">
        <v>1035</v>
      </c>
      <c r="J608" s="17">
        <f>IFERROR(Tabela32[[#This Row],[Valor Frete]]/Tabela32[[#This Row],[Valor Mercadoria]],"")</f>
        <v>6.7785743210088997E-2</v>
      </c>
      <c r="K608" s="11">
        <v>0.32430555555555557</v>
      </c>
      <c r="L608" s="15">
        <v>0.85069444444444442</v>
      </c>
      <c r="M608" s="15">
        <f>Tabela32[[#This Row],[Hr Chegada]]-Tabela32[[#This Row],[Hr Saida]]</f>
        <v>0.5263888888888888</v>
      </c>
      <c r="N608" s="4">
        <v>282391</v>
      </c>
      <c r="O608" s="4">
        <v>282476</v>
      </c>
      <c r="P608" s="4">
        <f>Tabela32[[#This Row],[Km Chegada]]-Tabela32[[#This Row],[Km Saída]]</f>
        <v>85</v>
      </c>
      <c r="Q608" s="4">
        <v>176</v>
      </c>
      <c r="R608" s="4">
        <v>37</v>
      </c>
      <c r="S608" s="4">
        <v>34</v>
      </c>
      <c r="T608" s="12">
        <f>Tabela32[[#This Row],[Entregas]]-Tabela32[[#This Row],[Realizadas]]</f>
        <v>3</v>
      </c>
      <c r="U608" s="18">
        <f>Tabela32[[#This Row],[Realizadas]]/Tabela32[[#This Row],[Entregas]]</f>
        <v>0.91891891891891897</v>
      </c>
      <c r="V608" s="19" t="str">
        <f>IF(Tabela32[[#This Row],[% Entrega]]&gt;=96%,"Atendeu a Meta","Não Atendeu a Meta")</f>
        <v>Não Atendeu a Meta</v>
      </c>
      <c r="W608" s="4" t="s">
        <v>39</v>
      </c>
      <c r="X608" s="4">
        <v>3</v>
      </c>
      <c r="Y608" s="5" t="s">
        <v>106</v>
      </c>
    </row>
    <row r="609" spans="1:25" x14ac:dyDescent="0.25">
      <c r="A609" s="8">
        <v>46316</v>
      </c>
      <c r="B609" s="16">
        <f>YEAR(Tabela32[[#This Row],[Data]])</f>
        <v>2026</v>
      </c>
      <c r="C609" s="16">
        <f>MONTH(Tabela32[[#This Row],[Data]])</f>
        <v>10</v>
      </c>
      <c r="D609" s="4" t="s">
        <v>25</v>
      </c>
      <c r="E609" s="4">
        <v>2</v>
      </c>
      <c r="F609" s="4" t="str">
        <f>IFERROR(VLOOKUP(Tabela32[[#This Row],[Placa]],Planilha2!$A$1:$B$12,2,0),"")</f>
        <v>Gilberto</v>
      </c>
      <c r="G609" s="10">
        <v>10582.3</v>
      </c>
      <c r="H609" s="10">
        <v>125692.66</v>
      </c>
      <c r="I609" s="4">
        <v>1219</v>
      </c>
      <c r="J609" s="17">
        <f>IFERROR(Tabela32[[#This Row],[Valor Frete]]/Tabela32[[#This Row],[Valor Mercadoria]],"")</f>
        <v>8.4191869278603851E-2</v>
      </c>
      <c r="K609" s="11">
        <v>0.29166666666666669</v>
      </c>
      <c r="L609" s="15">
        <v>0.66666666666666663</v>
      </c>
      <c r="M609" s="15">
        <f>Tabela32[[#This Row],[Hr Chegada]]-Tabela32[[#This Row],[Hr Saida]]</f>
        <v>0.37499999999999994</v>
      </c>
      <c r="N609" s="4">
        <v>121338</v>
      </c>
      <c r="O609" s="4">
        <v>121402</v>
      </c>
      <c r="P609" s="4">
        <f>Tabela32[[#This Row],[Km Chegada]]-Tabela32[[#This Row],[Km Saída]]</f>
        <v>64</v>
      </c>
      <c r="Q609" s="4">
        <v>203</v>
      </c>
      <c r="R609" s="4">
        <v>36</v>
      </c>
      <c r="S609" s="4">
        <v>36</v>
      </c>
      <c r="T609" s="12">
        <f>Tabela32[[#This Row],[Entregas]]-Tabela32[[#This Row],[Realizadas]]</f>
        <v>0</v>
      </c>
      <c r="U609" s="18">
        <f>Tabela32[[#This Row],[Realizadas]]/Tabela32[[#This Row],[Entregas]]</f>
        <v>1</v>
      </c>
      <c r="V609" s="19" t="str">
        <f>IF(Tabela32[[#This Row],[% Entrega]]&gt;=96%,"Atendeu a Meta","Não Atendeu a Meta")</f>
        <v>Atendeu a Meta</v>
      </c>
      <c r="W609" s="4" t="s">
        <v>39</v>
      </c>
      <c r="X609" s="4">
        <v>0</v>
      </c>
      <c r="Y609" s="5">
        <v>0</v>
      </c>
    </row>
    <row r="610" spans="1:25" x14ac:dyDescent="0.25">
      <c r="A610" s="8">
        <v>46317</v>
      </c>
      <c r="B610" s="16">
        <f>YEAR(Tabela32[[#This Row],[Data]])</f>
        <v>2026</v>
      </c>
      <c r="C610" s="16">
        <f>MONTH(Tabela32[[#This Row],[Data]])</f>
        <v>10</v>
      </c>
      <c r="D610" s="4" t="s">
        <v>35</v>
      </c>
      <c r="E610" s="4">
        <v>3</v>
      </c>
      <c r="F610" s="4" t="str">
        <f>IFERROR(VLOOKUP(Tabela32[[#This Row],[Placa]],Planilha2!$A$1:$B$12,2,0),"")</f>
        <v>Osvaldo</v>
      </c>
      <c r="G610" s="10">
        <v>9297.7900000000009</v>
      </c>
      <c r="H610" s="10">
        <v>180871.62</v>
      </c>
      <c r="I610" s="4">
        <v>2085</v>
      </c>
      <c r="J610" s="17">
        <f>IFERROR(Tabela32[[#This Row],[Valor Frete]]/Tabela32[[#This Row],[Valor Mercadoria]],"")</f>
        <v>5.1405466485012964E-2</v>
      </c>
      <c r="K610" s="11">
        <v>0.29166666666666669</v>
      </c>
      <c r="L610" s="15">
        <v>0.74305555555555558</v>
      </c>
      <c r="M610" s="15">
        <f>Tabela32[[#This Row],[Hr Chegada]]-Tabela32[[#This Row],[Hr Saida]]</f>
        <v>0.4513888888888889</v>
      </c>
      <c r="N610" s="4">
        <v>145355</v>
      </c>
      <c r="O610" s="4">
        <v>145427</v>
      </c>
      <c r="P610" s="4">
        <f>Tabela32[[#This Row],[Km Chegada]]-Tabela32[[#This Row],[Km Saída]]</f>
        <v>72</v>
      </c>
      <c r="Q610" s="4">
        <v>240</v>
      </c>
      <c r="R610" s="4">
        <v>29</v>
      </c>
      <c r="S610" s="4">
        <v>29</v>
      </c>
      <c r="T610" s="12">
        <f>Tabela32[[#This Row],[Entregas]]-Tabela32[[#This Row],[Realizadas]]</f>
        <v>0</v>
      </c>
      <c r="U610" s="18">
        <f>Tabela32[[#This Row],[Realizadas]]/Tabela32[[#This Row],[Entregas]]</f>
        <v>1</v>
      </c>
      <c r="V610" s="19" t="str">
        <f>IF(Tabela32[[#This Row],[% Entrega]]&gt;=96%,"Atendeu a Meta","Não Atendeu a Meta")</f>
        <v>Atendeu a Meta</v>
      </c>
      <c r="W610" s="4" t="s">
        <v>39</v>
      </c>
      <c r="X610" s="4">
        <v>0</v>
      </c>
      <c r="Y610" s="5">
        <v>0</v>
      </c>
    </row>
    <row r="611" spans="1:25" x14ac:dyDescent="0.25">
      <c r="A611" s="8">
        <v>46317</v>
      </c>
      <c r="B611" s="16">
        <f>YEAR(Tabela32[[#This Row],[Data]])</f>
        <v>2026</v>
      </c>
      <c r="C611" s="16">
        <f>MONTH(Tabela32[[#This Row],[Data]])</f>
        <v>10</v>
      </c>
      <c r="D611" s="4" t="s">
        <v>33</v>
      </c>
      <c r="E611" s="4">
        <v>5</v>
      </c>
      <c r="F611" s="4" t="str">
        <f>IFERROR(VLOOKUP(Tabela32[[#This Row],[Placa]],Planilha2!$A$1:$B$12,2,0),"")</f>
        <v>Paulo</v>
      </c>
      <c r="G611" s="10">
        <v>1676.83</v>
      </c>
      <c r="H611" s="10">
        <v>14910.7</v>
      </c>
      <c r="I611" s="4">
        <v>217</v>
      </c>
      <c r="J611" s="17">
        <f>IFERROR(Tabela32[[#This Row],[Valor Frete]]/Tabela32[[#This Row],[Valor Mercadoria]],"")</f>
        <v>0.11245816762459172</v>
      </c>
      <c r="K611" s="11">
        <v>0.29166666666666669</v>
      </c>
      <c r="L611" s="15">
        <v>0.56666666666666665</v>
      </c>
      <c r="M611" s="15">
        <f>Tabela32[[#This Row],[Hr Chegada]]-Tabela32[[#This Row],[Hr Saida]]</f>
        <v>0.27499999999999997</v>
      </c>
      <c r="N611" s="4">
        <v>157965</v>
      </c>
      <c r="O611" s="4">
        <v>157997</v>
      </c>
      <c r="P611" s="4">
        <f>Tabela32[[#This Row],[Km Chegada]]-Tabela32[[#This Row],[Km Saída]]</f>
        <v>32</v>
      </c>
      <c r="Q611" s="4">
        <v>46</v>
      </c>
      <c r="R611" s="4">
        <v>2</v>
      </c>
      <c r="S611" s="4">
        <v>2</v>
      </c>
      <c r="T611" s="12">
        <f>Tabela32[[#This Row],[Entregas]]-Tabela32[[#This Row],[Realizadas]]</f>
        <v>0</v>
      </c>
      <c r="U611" s="18">
        <f>Tabela32[[#This Row],[Realizadas]]/Tabela32[[#This Row],[Entregas]]</f>
        <v>1</v>
      </c>
      <c r="V611" s="19" t="str">
        <f>IF(Tabela32[[#This Row],[% Entrega]]&gt;=96%,"Atendeu a Meta","Não Atendeu a Meta")</f>
        <v>Atendeu a Meta</v>
      </c>
      <c r="W611" s="4" t="s">
        <v>39</v>
      </c>
      <c r="X611" s="4">
        <v>0</v>
      </c>
      <c r="Y611" s="5">
        <v>0</v>
      </c>
    </row>
    <row r="612" spans="1:25" x14ac:dyDescent="0.25">
      <c r="A612" s="8">
        <v>46317</v>
      </c>
      <c r="B612" s="16">
        <f>YEAR(Tabela32[[#This Row],[Data]])</f>
        <v>2026</v>
      </c>
      <c r="C612" s="16">
        <f>MONTH(Tabela32[[#This Row],[Data]])</f>
        <v>10</v>
      </c>
      <c r="D612" s="4" t="s">
        <v>27</v>
      </c>
      <c r="E612" s="4">
        <v>1</v>
      </c>
      <c r="F612" s="4" t="str">
        <f>IFERROR(VLOOKUP(Tabela32[[#This Row],[Placa]],Planilha2!$A$1:$B$12,2,0),"")</f>
        <v>Rosinaldo</v>
      </c>
      <c r="G612" s="10">
        <v>5510.53</v>
      </c>
      <c r="H612" s="10">
        <v>82063.34</v>
      </c>
      <c r="I612" s="4">
        <v>756</v>
      </c>
      <c r="J612" s="17">
        <f>IFERROR(Tabela32[[#This Row],[Valor Frete]]/Tabela32[[#This Row],[Valor Mercadoria]],"")</f>
        <v>6.7149716304503324E-2</v>
      </c>
      <c r="K612" s="11">
        <v>0.29166666666666669</v>
      </c>
      <c r="L612" s="15">
        <v>0.72569444444444442</v>
      </c>
      <c r="M612" s="15">
        <f>Tabela32[[#This Row],[Hr Chegada]]-Tabela32[[#This Row],[Hr Saida]]</f>
        <v>0.43402777777777773</v>
      </c>
      <c r="N612" s="4">
        <v>292922</v>
      </c>
      <c r="O612" s="4">
        <v>292975</v>
      </c>
      <c r="P612" s="4">
        <f>Tabela32[[#This Row],[Km Chegada]]-Tabela32[[#This Row],[Km Saída]]</f>
        <v>53</v>
      </c>
      <c r="Q612" s="4">
        <v>120</v>
      </c>
      <c r="R612" s="4">
        <v>15</v>
      </c>
      <c r="S612" s="4">
        <v>15</v>
      </c>
      <c r="T612" s="12">
        <f>Tabela32[[#This Row],[Entregas]]-Tabela32[[#This Row],[Realizadas]]</f>
        <v>0</v>
      </c>
      <c r="U612" s="18">
        <f>Tabela32[[#This Row],[Realizadas]]/Tabela32[[#This Row],[Entregas]]</f>
        <v>1</v>
      </c>
      <c r="V612" s="19" t="str">
        <f>IF(Tabela32[[#This Row],[% Entrega]]&gt;=96%,"Atendeu a Meta","Não Atendeu a Meta")</f>
        <v>Atendeu a Meta</v>
      </c>
      <c r="W612" s="4" t="s">
        <v>43</v>
      </c>
      <c r="X612" s="4">
        <v>0</v>
      </c>
      <c r="Y612" s="5">
        <v>0</v>
      </c>
    </row>
    <row r="613" spans="1:25" x14ac:dyDescent="0.25">
      <c r="A613" s="8">
        <v>46317</v>
      </c>
      <c r="B613" s="16">
        <f>YEAR(Tabela32[[#This Row],[Data]])</f>
        <v>2026</v>
      </c>
      <c r="C613" s="16">
        <f>MONTH(Tabela32[[#This Row],[Data]])</f>
        <v>10</v>
      </c>
      <c r="D613" s="4" t="s">
        <v>29</v>
      </c>
      <c r="E613" s="4">
        <v>1</v>
      </c>
      <c r="F613" s="4" t="str">
        <f>IFERROR(VLOOKUP(Tabela32[[#This Row],[Placa]],Planilha2!$A$1:$B$12,2,0),"")</f>
        <v>Sandro</v>
      </c>
      <c r="G613" s="10">
        <v>8713.2800000000007</v>
      </c>
      <c r="H613" s="10">
        <v>128123.14</v>
      </c>
      <c r="I613" s="4">
        <v>2598.9</v>
      </c>
      <c r="J613" s="17">
        <f>IFERROR(Tabela32[[#This Row],[Valor Frete]]/Tabela32[[#This Row],[Valor Mercadoria]],"")</f>
        <v>6.8007075068562947E-2</v>
      </c>
      <c r="K613" s="11">
        <v>0.3125</v>
      </c>
      <c r="L613" s="15">
        <v>0.77708333333333335</v>
      </c>
      <c r="M613" s="15">
        <f>Tabela32[[#This Row],[Hr Chegada]]-Tabela32[[#This Row],[Hr Saida]]</f>
        <v>0.46458333333333335</v>
      </c>
      <c r="N613" s="4">
        <v>277494</v>
      </c>
      <c r="O613" s="4">
        <v>277541</v>
      </c>
      <c r="P613" s="4">
        <f>Tabela32[[#This Row],[Km Chegada]]-Tabela32[[#This Row],[Km Saída]]</f>
        <v>47</v>
      </c>
      <c r="Q613" s="4">
        <v>325</v>
      </c>
      <c r="R613" s="4">
        <v>4</v>
      </c>
      <c r="S613" s="4">
        <v>4</v>
      </c>
      <c r="T613" s="12">
        <f>Tabela32[[#This Row],[Entregas]]-Tabela32[[#This Row],[Realizadas]]</f>
        <v>0</v>
      </c>
      <c r="U613" s="18">
        <f>Tabela32[[#This Row],[Realizadas]]/Tabela32[[#This Row],[Entregas]]</f>
        <v>1</v>
      </c>
      <c r="V613" s="19" t="str">
        <f>IF(Tabela32[[#This Row],[% Entrega]]&gt;=96%,"Atendeu a Meta","Não Atendeu a Meta")</f>
        <v>Atendeu a Meta</v>
      </c>
      <c r="W613" s="4" t="s">
        <v>43</v>
      </c>
      <c r="X613" s="4">
        <v>0</v>
      </c>
      <c r="Y613" s="5">
        <v>0</v>
      </c>
    </row>
    <row r="614" spans="1:25" x14ac:dyDescent="0.25">
      <c r="A614" s="8">
        <v>46317</v>
      </c>
      <c r="B614" s="16">
        <f>YEAR(Tabela32[[#This Row],[Data]])</f>
        <v>2026</v>
      </c>
      <c r="C614" s="16">
        <f>MONTH(Tabela32[[#This Row],[Data]])</f>
        <v>10</v>
      </c>
      <c r="D614" s="4" t="s">
        <v>53</v>
      </c>
      <c r="E614" s="4">
        <v>5</v>
      </c>
      <c r="F614" s="4" t="str">
        <f>IFERROR(VLOOKUP(Tabela32[[#This Row],[Placa]],Planilha2!$A$1:$B$12,2,0),"")</f>
        <v>Arnaldo</v>
      </c>
      <c r="G614" s="10">
        <v>5004.63</v>
      </c>
      <c r="H614" s="10">
        <v>181379.51</v>
      </c>
      <c r="I614" s="4">
        <v>951</v>
      </c>
      <c r="J614" s="17">
        <f>IFERROR(Tabela32[[#This Row],[Valor Frete]]/Tabela32[[#This Row],[Valor Mercadoria]],"")</f>
        <v>2.7592036167701631E-2</v>
      </c>
      <c r="K614" s="11">
        <v>0.31597222222222221</v>
      </c>
      <c r="L614" s="15">
        <v>0.6875</v>
      </c>
      <c r="M614" s="15">
        <f>Tabela32[[#This Row],[Hr Chegada]]-Tabela32[[#This Row],[Hr Saida]]</f>
        <v>0.37152777777777779</v>
      </c>
      <c r="N614" s="4">
        <v>15322</v>
      </c>
      <c r="O614" s="4">
        <v>15351</v>
      </c>
      <c r="P614" s="4">
        <f>Tabela32[[#This Row],[Km Chegada]]-Tabela32[[#This Row],[Km Saída]]</f>
        <v>29</v>
      </c>
      <c r="Q614" s="4">
        <v>87</v>
      </c>
      <c r="R614" s="4">
        <v>2</v>
      </c>
      <c r="S614" s="4">
        <v>2</v>
      </c>
      <c r="T614" s="12">
        <f>Tabela32[[#This Row],[Entregas]]-Tabela32[[#This Row],[Realizadas]]</f>
        <v>0</v>
      </c>
      <c r="U614" s="18">
        <f>Tabela32[[#This Row],[Realizadas]]/Tabela32[[#This Row],[Entregas]]</f>
        <v>1</v>
      </c>
      <c r="V614" s="19" t="str">
        <f>IF(Tabela32[[#This Row],[% Entrega]]&gt;=96%,"Atendeu a Meta","Não Atendeu a Meta")</f>
        <v>Atendeu a Meta</v>
      </c>
      <c r="W614" s="4" t="s">
        <v>39</v>
      </c>
      <c r="X614" s="4">
        <v>0</v>
      </c>
      <c r="Y614" s="5">
        <v>0</v>
      </c>
    </row>
    <row r="615" spans="1:25" x14ac:dyDescent="0.25">
      <c r="A615" s="8">
        <v>46317</v>
      </c>
      <c r="B615" s="16">
        <f>YEAR(Tabela32[[#This Row],[Data]])</f>
        <v>2026</v>
      </c>
      <c r="C615" s="16">
        <f>MONTH(Tabela32[[#This Row],[Data]])</f>
        <v>10</v>
      </c>
      <c r="D615" s="4" t="s">
        <v>23</v>
      </c>
      <c r="E615" s="4">
        <v>1</v>
      </c>
      <c r="F615" s="4" t="str">
        <f>IFERROR(VLOOKUP(Tabela32[[#This Row],[Placa]],Planilha2!$A$1:$B$12,2,0),"")</f>
        <v>William</v>
      </c>
      <c r="G615" s="10">
        <v>7835.36</v>
      </c>
      <c r="H615" s="10">
        <v>82454.31</v>
      </c>
      <c r="I615" s="4">
        <v>747</v>
      </c>
      <c r="J615" s="17">
        <f>IFERROR(Tabela32[[#This Row],[Valor Frete]]/Tabela32[[#This Row],[Valor Mercadoria]],"")</f>
        <v>9.502668811369594E-2</v>
      </c>
      <c r="K615" s="11">
        <v>0.29166666666666669</v>
      </c>
      <c r="L615" s="15">
        <v>0.70833333333333337</v>
      </c>
      <c r="M615" s="15">
        <f>Tabela32[[#This Row],[Hr Chegada]]-Tabela32[[#This Row],[Hr Saida]]</f>
        <v>0.41666666666666669</v>
      </c>
      <c r="N615" s="4">
        <v>127439</v>
      </c>
      <c r="O615" s="4">
        <v>127504</v>
      </c>
      <c r="P615" s="4">
        <f>Tabela32[[#This Row],[Km Chegada]]-Tabela32[[#This Row],[Km Saída]]</f>
        <v>65</v>
      </c>
      <c r="Q615" s="4">
        <v>110</v>
      </c>
      <c r="R615" s="4">
        <v>26</v>
      </c>
      <c r="S615" s="4">
        <v>26</v>
      </c>
      <c r="T615" s="12">
        <f>Tabela32[[#This Row],[Entregas]]-Tabela32[[#This Row],[Realizadas]]</f>
        <v>0</v>
      </c>
      <c r="U615" s="18">
        <f>Tabela32[[#This Row],[Realizadas]]/Tabela32[[#This Row],[Entregas]]</f>
        <v>1</v>
      </c>
      <c r="V615" s="19" t="str">
        <f>IF(Tabela32[[#This Row],[% Entrega]]&gt;=96%,"Atendeu a Meta","Não Atendeu a Meta")</f>
        <v>Atendeu a Meta</v>
      </c>
      <c r="W615" s="4" t="s">
        <v>43</v>
      </c>
      <c r="X615" s="4">
        <v>0</v>
      </c>
      <c r="Y615" s="5">
        <v>0</v>
      </c>
    </row>
    <row r="616" spans="1:25" x14ac:dyDescent="0.25">
      <c r="A616" s="8">
        <v>46317</v>
      </c>
      <c r="B616" s="16">
        <f>YEAR(Tabela32[[#This Row],[Data]])</f>
        <v>2026</v>
      </c>
      <c r="C616" s="16">
        <f>MONTH(Tabela32[[#This Row],[Data]])</f>
        <v>10</v>
      </c>
      <c r="D616" s="4" t="s">
        <v>28</v>
      </c>
      <c r="E616" s="4">
        <v>11</v>
      </c>
      <c r="F616" s="4" t="str">
        <f>IFERROR(VLOOKUP(Tabela32[[#This Row],[Placa]],Planilha2!$A$1:$B$12,2,0),"")</f>
        <v>Edilson</v>
      </c>
      <c r="G616" s="10">
        <v>17999.8</v>
      </c>
      <c r="H616" s="10">
        <v>237653.09</v>
      </c>
      <c r="I616" s="4">
        <v>2337</v>
      </c>
      <c r="J616" s="17">
        <f>IFERROR(Tabela32[[#This Row],[Valor Frete]]/Tabela32[[#This Row],[Valor Mercadoria]],"")</f>
        <v>7.573981049436386E-2</v>
      </c>
      <c r="K616" s="11">
        <v>0.27083333333333331</v>
      </c>
      <c r="L616" s="15">
        <v>0.75624999999999998</v>
      </c>
      <c r="M616" s="15">
        <f>Tabela32[[#This Row],[Hr Chegada]]-Tabela32[[#This Row],[Hr Saida]]</f>
        <v>0.48541666666666666</v>
      </c>
      <c r="N616" s="4">
        <v>107835</v>
      </c>
      <c r="O616" s="4">
        <v>108004</v>
      </c>
      <c r="P616" s="4">
        <f>Tabela32[[#This Row],[Km Chegada]]-Tabela32[[#This Row],[Km Saída]]</f>
        <v>169</v>
      </c>
      <c r="Q616" s="4">
        <v>463</v>
      </c>
      <c r="R616" s="4">
        <v>45</v>
      </c>
      <c r="S616" s="4">
        <v>45</v>
      </c>
      <c r="T616" s="12">
        <f>Tabela32[[#This Row],[Entregas]]-Tabela32[[#This Row],[Realizadas]]</f>
        <v>0</v>
      </c>
      <c r="U616" s="18">
        <f>Tabela32[[#This Row],[Realizadas]]/Tabela32[[#This Row],[Entregas]]</f>
        <v>1</v>
      </c>
      <c r="V616" s="19" t="str">
        <f>IF(Tabela32[[#This Row],[% Entrega]]&gt;=96%,"Atendeu a Meta","Não Atendeu a Meta")</f>
        <v>Atendeu a Meta</v>
      </c>
      <c r="W616" s="4" t="s">
        <v>41</v>
      </c>
      <c r="X616" s="4">
        <v>1</v>
      </c>
      <c r="Y616" s="5">
        <v>38.799999999999997</v>
      </c>
    </row>
    <row r="617" spans="1:25" x14ac:dyDescent="0.25">
      <c r="A617" s="8">
        <v>46317</v>
      </c>
      <c r="B617" s="16">
        <f>YEAR(Tabela32[[#This Row],[Data]])</f>
        <v>2026</v>
      </c>
      <c r="C617" s="16">
        <f>MONTH(Tabela32[[#This Row],[Data]])</f>
        <v>10</v>
      </c>
      <c r="D617" s="4" t="s">
        <v>31</v>
      </c>
      <c r="E617" s="4">
        <v>5</v>
      </c>
      <c r="F617" s="4" t="str">
        <f>IFERROR(VLOOKUP(Tabela32[[#This Row],[Placa]],Planilha2!$A$1:$B$12,2,0),"")</f>
        <v>Jerson</v>
      </c>
      <c r="G617" s="10">
        <v>8860.52</v>
      </c>
      <c r="H617" s="10">
        <v>125805.88</v>
      </c>
      <c r="I617" s="4">
        <v>1370</v>
      </c>
      <c r="J617" s="17">
        <f>IFERROR(Tabela32[[#This Row],[Valor Frete]]/Tabela32[[#This Row],[Valor Mercadoria]],"")</f>
        <v>7.043009436442875E-2</v>
      </c>
      <c r="K617" s="11">
        <v>0.33333333333333331</v>
      </c>
      <c r="L617" s="15">
        <v>0.83333333333333337</v>
      </c>
      <c r="M617" s="15">
        <f>Tabela32[[#This Row],[Hr Chegada]]-Tabela32[[#This Row],[Hr Saida]]</f>
        <v>0.5</v>
      </c>
      <c r="N617" s="4">
        <v>282476</v>
      </c>
      <c r="O617" s="4">
        <v>282568</v>
      </c>
      <c r="P617" s="4">
        <f>Tabela32[[#This Row],[Km Chegada]]-Tabela32[[#This Row],[Km Saída]]</f>
        <v>92</v>
      </c>
      <c r="Q617" s="4">
        <v>253</v>
      </c>
      <c r="R617" s="4">
        <v>20</v>
      </c>
      <c r="S617" s="4">
        <v>20</v>
      </c>
      <c r="T617" s="12">
        <f>Tabela32[[#This Row],[Entregas]]-Tabela32[[#This Row],[Realizadas]]</f>
        <v>0</v>
      </c>
      <c r="U617" s="18">
        <f>Tabela32[[#This Row],[Realizadas]]/Tabela32[[#This Row],[Entregas]]</f>
        <v>1</v>
      </c>
      <c r="V617" s="19" t="str">
        <f>IF(Tabela32[[#This Row],[% Entrega]]&gt;=96%,"Atendeu a Meta","Não Atendeu a Meta")</f>
        <v>Atendeu a Meta</v>
      </c>
      <c r="W617" s="4" t="s">
        <v>39</v>
      </c>
      <c r="X617" s="4">
        <v>0</v>
      </c>
      <c r="Y617" s="5">
        <v>0</v>
      </c>
    </row>
    <row r="618" spans="1:25" x14ac:dyDescent="0.25">
      <c r="A618" s="8">
        <v>46317</v>
      </c>
      <c r="B618" s="16">
        <f>YEAR(Tabela32[[#This Row],[Data]])</f>
        <v>2026</v>
      </c>
      <c r="C618" s="16">
        <f>MONTH(Tabela32[[#This Row],[Data]])</f>
        <v>10</v>
      </c>
      <c r="D618" s="4" t="s">
        <v>22</v>
      </c>
      <c r="E618" s="4">
        <v>1</v>
      </c>
      <c r="F618" s="4" t="str">
        <f>IFERROR(VLOOKUP(Tabela32[[#This Row],[Placa]],Planilha2!$A$1:$B$12,2,0),"")</f>
        <v>Juscelino</v>
      </c>
      <c r="G618" s="10">
        <v>5568.14</v>
      </c>
      <c r="H618" s="10">
        <v>149817.13</v>
      </c>
      <c r="I618" s="4">
        <v>983</v>
      </c>
      <c r="J618" s="17">
        <f>IFERROR(Tabela32[[#This Row],[Valor Frete]]/Tabela32[[#This Row],[Valor Mercadoria]],"")</f>
        <v>3.7166243940195624E-2</v>
      </c>
      <c r="K618" s="11">
        <v>0.3125</v>
      </c>
      <c r="L618" s="15">
        <v>0.7104166666666667</v>
      </c>
      <c r="M618" s="15">
        <f>Tabela32[[#This Row],[Hr Chegada]]-Tabela32[[#This Row],[Hr Saida]]</f>
        <v>0.3979166666666667</v>
      </c>
      <c r="N618" s="4">
        <v>306844</v>
      </c>
      <c r="O618" s="4">
        <v>306990</v>
      </c>
      <c r="P618" s="4">
        <f>Tabela32[[#This Row],[Km Chegada]]-Tabela32[[#This Row],[Km Saída]]</f>
        <v>146</v>
      </c>
      <c r="Q618" s="4">
        <v>208</v>
      </c>
      <c r="R618" s="4">
        <v>14</v>
      </c>
      <c r="S618" s="4">
        <v>14</v>
      </c>
      <c r="T618" s="12">
        <f>Tabela32[[#This Row],[Entregas]]-Tabela32[[#This Row],[Realizadas]]</f>
        <v>0</v>
      </c>
      <c r="U618" s="18">
        <f>Tabela32[[#This Row],[Realizadas]]/Tabela32[[#This Row],[Entregas]]</f>
        <v>1</v>
      </c>
      <c r="V618" s="19" t="str">
        <f>IF(Tabela32[[#This Row],[% Entrega]]&gt;=96%,"Atendeu a Meta","Não Atendeu a Meta")</f>
        <v>Atendeu a Meta</v>
      </c>
      <c r="W618" s="4" t="s">
        <v>40</v>
      </c>
      <c r="X618" s="4">
        <v>1</v>
      </c>
      <c r="Y618" s="5">
        <v>9</v>
      </c>
    </row>
    <row r="619" spans="1:25" x14ac:dyDescent="0.25">
      <c r="A619" s="8">
        <v>46317</v>
      </c>
      <c r="B619" s="16">
        <f>YEAR(Tabela32[[#This Row],[Data]])</f>
        <v>2026</v>
      </c>
      <c r="C619" s="16">
        <f>MONTH(Tabela32[[#This Row],[Data]])</f>
        <v>10</v>
      </c>
      <c r="D619" s="4" t="s">
        <v>33</v>
      </c>
      <c r="E619" s="4">
        <v>5</v>
      </c>
      <c r="F619" s="4" t="str">
        <f>IFERROR(VLOOKUP(Tabela32[[#This Row],[Placa]],Planilha2!$A$1:$B$12,2,0),"")</f>
        <v>Paulo</v>
      </c>
      <c r="G619" s="10">
        <v>155.25</v>
      </c>
      <c r="H619" s="10">
        <v>2059.3200000000002</v>
      </c>
      <c r="I619" s="4">
        <v>18</v>
      </c>
      <c r="J619" s="17">
        <f>IFERROR(Tabela32[[#This Row],[Valor Frete]]/Tabela32[[#This Row],[Valor Mercadoria]],"")</f>
        <v>7.5388963347124291E-2</v>
      </c>
      <c r="K619" s="11">
        <v>0.57638888888888884</v>
      </c>
      <c r="L619" s="15">
        <v>0.7055555555555556</v>
      </c>
      <c r="M619" s="15">
        <f>Tabela32[[#This Row],[Hr Chegada]]-Tabela32[[#This Row],[Hr Saida]]</f>
        <v>0.12916666666666676</v>
      </c>
      <c r="N619" s="4">
        <v>157997</v>
      </c>
      <c r="O619" s="4">
        <v>158044</v>
      </c>
      <c r="P619" s="4">
        <f>Tabela32[[#This Row],[Km Chegada]]-Tabela32[[#This Row],[Km Saída]]</f>
        <v>47</v>
      </c>
      <c r="Q619" s="4">
        <v>3</v>
      </c>
      <c r="R619" s="4">
        <v>1</v>
      </c>
      <c r="S619" s="4">
        <v>1</v>
      </c>
      <c r="T619" s="12">
        <f>Tabela32[[#This Row],[Entregas]]-Tabela32[[#This Row],[Realizadas]]</f>
        <v>0</v>
      </c>
      <c r="U619" s="18">
        <f>Tabela32[[#This Row],[Realizadas]]/Tabela32[[#This Row],[Entregas]]</f>
        <v>1</v>
      </c>
      <c r="V619" s="19" t="str">
        <f>IF(Tabela32[[#This Row],[% Entrega]]&gt;=96%,"Atendeu a Meta","Não Atendeu a Meta")</f>
        <v>Atendeu a Meta</v>
      </c>
      <c r="W619" s="4" t="s">
        <v>39</v>
      </c>
      <c r="X619" s="4">
        <v>0</v>
      </c>
      <c r="Y619" s="5">
        <v>0</v>
      </c>
    </row>
    <row r="620" spans="1:25" x14ac:dyDescent="0.25">
      <c r="A620" s="8">
        <v>46318</v>
      </c>
      <c r="B620" s="16">
        <f>YEAR(Tabela32[[#This Row],[Data]])</f>
        <v>2026</v>
      </c>
      <c r="C620" s="16">
        <f>MONTH(Tabela32[[#This Row],[Data]])</f>
        <v>10</v>
      </c>
      <c r="D620" s="4" t="s">
        <v>33</v>
      </c>
      <c r="E620" s="4">
        <v>1</v>
      </c>
      <c r="F620" s="4" t="str">
        <f>IFERROR(VLOOKUP(Tabela32[[#This Row],[Placa]],Planilha2!$A$1:$B$12,2,0),"")</f>
        <v>Paulo</v>
      </c>
      <c r="G620" s="10">
        <v>1373.74</v>
      </c>
      <c r="H620" s="10">
        <v>8596.49</v>
      </c>
      <c r="I620" s="4">
        <v>282</v>
      </c>
      <c r="J620" s="17">
        <f>IFERROR(Tabela32[[#This Row],[Valor Frete]]/Tabela32[[#This Row],[Valor Mercadoria]],"")</f>
        <v>0.15980243099218402</v>
      </c>
      <c r="K620" s="11">
        <v>0.29166666666666669</v>
      </c>
      <c r="L620" s="15">
        <v>0.52083333333333337</v>
      </c>
      <c r="M620" s="15">
        <f>Tabela32[[#This Row],[Hr Chegada]]-Tabela32[[#This Row],[Hr Saida]]</f>
        <v>0.22916666666666669</v>
      </c>
      <c r="N620" s="4">
        <v>158044</v>
      </c>
      <c r="O620" s="4">
        <v>158136</v>
      </c>
      <c r="P620" s="4">
        <f>Tabela32[[#This Row],[Km Chegada]]-Tabela32[[#This Row],[Km Saída]]</f>
        <v>92</v>
      </c>
      <c r="Q620" s="4">
        <v>22</v>
      </c>
      <c r="R620" s="4">
        <v>1</v>
      </c>
      <c r="S620" s="4">
        <v>1</v>
      </c>
      <c r="T620" s="12">
        <f>Tabela32[[#This Row],[Entregas]]-Tabela32[[#This Row],[Realizadas]]</f>
        <v>0</v>
      </c>
      <c r="U620" s="18">
        <f>Tabela32[[#This Row],[Realizadas]]/Tabela32[[#This Row],[Entregas]]</f>
        <v>1</v>
      </c>
      <c r="V620" s="19" t="str">
        <f>IF(Tabela32[[#This Row],[% Entrega]]&gt;=96%,"Atendeu a Meta","Não Atendeu a Meta")</f>
        <v>Atendeu a Meta</v>
      </c>
      <c r="W620" s="4" t="s">
        <v>63</v>
      </c>
      <c r="X620" s="4">
        <v>0</v>
      </c>
      <c r="Y620" s="5">
        <v>0</v>
      </c>
    </row>
    <row r="621" spans="1:25" x14ac:dyDescent="0.25">
      <c r="A621" s="8">
        <v>46318</v>
      </c>
      <c r="B621" s="16">
        <f>YEAR(Tabela32[[#This Row],[Data]])</f>
        <v>2026</v>
      </c>
      <c r="C621" s="16">
        <f>MONTH(Tabela32[[#This Row],[Data]])</f>
        <v>10</v>
      </c>
      <c r="D621" s="4" t="s">
        <v>28</v>
      </c>
      <c r="E621" s="4">
        <v>11</v>
      </c>
      <c r="F621" s="4" t="str">
        <f>IFERROR(VLOOKUP(Tabela32[[#This Row],[Placa]],Planilha2!$A$1:$B$12,2,0),"")</f>
        <v>Edilson</v>
      </c>
      <c r="G621" s="10">
        <v>28649.52</v>
      </c>
      <c r="H621" s="10">
        <v>385543.58</v>
      </c>
      <c r="I621" s="4">
        <v>7917</v>
      </c>
      <c r="J621" s="17">
        <f>IFERROR(Tabela32[[#This Row],[Valor Frete]]/Tabela32[[#This Row],[Valor Mercadoria]],"")</f>
        <v>7.4309420481077651E-2</v>
      </c>
      <c r="K621" s="11">
        <v>0.27083333333333331</v>
      </c>
      <c r="L621" s="15">
        <v>0.75</v>
      </c>
      <c r="M621" s="15">
        <f>Tabela32[[#This Row],[Hr Chegada]]-Tabela32[[#This Row],[Hr Saida]]</f>
        <v>0.47916666666666669</v>
      </c>
      <c r="N621" s="4">
        <v>108004</v>
      </c>
      <c r="O621" s="4">
        <v>108142</v>
      </c>
      <c r="P621" s="4">
        <f>Tabela32[[#This Row],[Km Chegada]]-Tabela32[[#This Row],[Km Saída]]</f>
        <v>138</v>
      </c>
      <c r="Q621" s="4">
        <v>885</v>
      </c>
      <c r="R621" s="4">
        <v>3</v>
      </c>
      <c r="S621" s="4">
        <v>3</v>
      </c>
      <c r="T621" s="12">
        <f>Tabela32[[#This Row],[Entregas]]-Tabela32[[#This Row],[Realizadas]]</f>
        <v>0</v>
      </c>
      <c r="U621" s="18">
        <f>Tabela32[[#This Row],[Realizadas]]/Tabela32[[#This Row],[Entregas]]</f>
        <v>1</v>
      </c>
      <c r="V621" s="19" t="str">
        <f>IF(Tabela32[[#This Row],[% Entrega]]&gt;=96%,"Atendeu a Meta","Não Atendeu a Meta")</f>
        <v>Atendeu a Meta</v>
      </c>
      <c r="W621" s="4" t="s">
        <v>41</v>
      </c>
      <c r="X621" s="4">
        <v>0</v>
      </c>
      <c r="Y621" s="5">
        <v>0</v>
      </c>
    </row>
    <row r="622" spans="1:25" x14ac:dyDescent="0.25">
      <c r="A622" s="8">
        <v>46318</v>
      </c>
      <c r="B622" s="16">
        <f>YEAR(Tabela32[[#This Row],[Data]])</f>
        <v>2026</v>
      </c>
      <c r="C622" s="16">
        <f>MONTH(Tabela32[[#This Row],[Data]])</f>
        <v>10</v>
      </c>
      <c r="D622" s="4" t="s">
        <v>27</v>
      </c>
      <c r="E622" s="4">
        <v>1</v>
      </c>
      <c r="F622" s="4" t="str">
        <f>IFERROR(VLOOKUP(Tabela32[[#This Row],[Placa]],Planilha2!$A$1:$B$12,2,0),"")</f>
        <v>Rosinaldo</v>
      </c>
      <c r="G622" s="10">
        <v>4967.22</v>
      </c>
      <c r="H622" s="10">
        <v>223692.53</v>
      </c>
      <c r="I622" s="4">
        <v>505</v>
      </c>
      <c r="J622" s="17">
        <f>IFERROR(Tabela32[[#This Row],[Valor Frete]]/Tabela32[[#This Row],[Valor Mercadoria]],"")</f>
        <v>2.2205569403681027E-2</v>
      </c>
      <c r="K622" s="11">
        <v>0.29166666666666669</v>
      </c>
      <c r="L622" s="15">
        <v>0.4777777777777778</v>
      </c>
      <c r="M622" s="15">
        <f>Tabela32[[#This Row],[Hr Chegada]]-Tabela32[[#This Row],[Hr Saida]]</f>
        <v>0.18611111111111112</v>
      </c>
      <c r="N622" s="4">
        <v>292975</v>
      </c>
      <c r="O622" s="4">
        <v>293006</v>
      </c>
      <c r="P622" s="4">
        <f>Tabela32[[#This Row],[Km Chegada]]-Tabela32[[#This Row],[Km Saída]]</f>
        <v>31</v>
      </c>
      <c r="Q622" s="4">
        <v>3</v>
      </c>
      <c r="R622" s="4">
        <v>2</v>
      </c>
      <c r="S622" s="4">
        <v>2</v>
      </c>
      <c r="T622" s="12">
        <f>Tabela32[[#This Row],[Entregas]]-Tabela32[[#This Row],[Realizadas]]</f>
        <v>0</v>
      </c>
      <c r="U622" s="18">
        <f>Tabela32[[#This Row],[Realizadas]]/Tabela32[[#This Row],[Entregas]]</f>
        <v>1</v>
      </c>
      <c r="V622" s="19" t="str">
        <f>IF(Tabela32[[#This Row],[% Entrega]]&gt;=96%,"Atendeu a Meta","Não Atendeu a Meta")</f>
        <v>Atendeu a Meta</v>
      </c>
      <c r="W622" s="4" t="s">
        <v>40</v>
      </c>
      <c r="X622" s="4">
        <v>0</v>
      </c>
      <c r="Y622" s="5">
        <v>0</v>
      </c>
    </row>
    <row r="623" spans="1:25" x14ac:dyDescent="0.25">
      <c r="A623" s="8">
        <v>46318</v>
      </c>
      <c r="B623" s="16">
        <f>YEAR(Tabela32[[#This Row],[Data]])</f>
        <v>2026</v>
      </c>
      <c r="C623" s="16">
        <f>MONTH(Tabela32[[#This Row],[Data]])</f>
        <v>10</v>
      </c>
      <c r="D623" s="4" t="s">
        <v>23</v>
      </c>
      <c r="E623" s="4">
        <v>1</v>
      </c>
      <c r="F623" s="4" t="str">
        <f>IFERROR(VLOOKUP(Tabela32[[#This Row],[Placa]],Planilha2!$A$1:$B$12,2,0),"")</f>
        <v>William</v>
      </c>
      <c r="G623" s="10">
        <v>2290.2199999999998</v>
      </c>
      <c r="H623" s="10">
        <v>33686.78</v>
      </c>
      <c r="I623" s="4">
        <v>348</v>
      </c>
      <c r="J623" s="17">
        <f>IFERROR(Tabela32[[#This Row],[Valor Frete]]/Tabela32[[#This Row],[Valor Mercadoria]],"")</f>
        <v>6.7985720214279899E-2</v>
      </c>
      <c r="K623" s="11">
        <v>0.3125</v>
      </c>
      <c r="L623" s="15">
        <v>0.60972222222222228</v>
      </c>
      <c r="M623" s="15">
        <f>Tabela32[[#This Row],[Hr Chegada]]-Tabela32[[#This Row],[Hr Saida]]</f>
        <v>0.29722222222222228</v>
      </c>
      <c r="N623" s="4">
        <v>127504</v>
      </c>
      <c r="O623" s="4">
        <v>127533</v>
      </c>
      <c r="P623" s="4">
        <f>Tabela32[[#This Row],[Km Chegada]]-Tabela32[[#This Row],[Km Saída]]</f>
        <v>29</v>
      </c>
      <c r="Q623" s="4">
        <v>37</v>
      </c>
      <c r="R623" s="4">
        <v>5</v>
      </c>
      <c r="S623" s="4">
        <v>5</v>
      </c>
      <c r="T623" s="12">
        <f>Tabela32[[#This Row],[Entregas]]-Tabela32[[#This Row],[Realizadas]]</f>
        <v>0</v>
      </c>
      <c r="U623" s="18">
        <f>Tabela32[[#This Row],[Realizadas]]/Tabela32[[#This Row],[Entregas]]</f>
        <v>1</v>
      </c>
      <c r="V623" s="19" t="str">
        <f>IF(Tabela32[[#This Row],[% Entrega]]&gt;=96%,"Atendeu a Meta","Não Atendeu a Meta")</f>
        <v>Atendeu a Meta</v>
      </c>
      <c r="W623" s="4" t="s">
        <v>43</v>
      </c>
      <c r="X623" s="4">
        <v>0</v>
      </c>
      <c r="Y623" s="5">
        <v>0</v>
      </c>
    </row>
    <row r="624" spans="1:25" x14ac:dyDescent="0.25">
      <c r="A624" s="8">
        <v>46318</v>
      </c>
      <c r="B624" s="16">
        <f>YEAR(Tabela32[[#This Row],[Data]])</f>
        <v>2026</v>
      </c>
      <c r="C624" s="16">
        <f>MONTH(Tabela32[[#This Row],[Data]])</f>
        <v>10</v>
      </c>
      <c r="D624" s="4" t="s">
        <v>22</v>
      </c>
      <c r="E624" s="4">
        <v>5</v>
      </c>
      <c r="F624" s="4" t="str">
        <f>IFERROR(VLOOKUP(Tabela32[[#This Row],[Placa]],Planilha2!$A$1:$B$12,2,0),"")</f>
        <v>Juscelino</v>
      </c>
      <c r="G624" s="10">
        <v>14511.4</v>
      </c>
      <c r="H624" s="10">
        <v>253571.39</v>
      </c>
      <c r="I624" s="4">
        <v>2157</v>
      </c>
      <c r="J624" s="17">
        <f>IFERROR(Tabela32[[#This Row],[Valor Frete]]/Tabela32[[#This Row],[Valor Mercadoria]],"")</f>
        <v>5.7228065043142283E-2</v>
      </c>
      <c r="K624" s="11">
        <v>0.33333333333333331</v>
      </c>
      <c r="L624" s="15">
        <v>0.70833333333333337</v>
      </c>
      <c r="M624" s="15">
        <f>Tabela32[[#This Row],[Hr Chegada]]-Tabela32[[#This Row],[Hr Saida]]</f>
        <v>0.37500000000000006</v>
      </c>
      <c r="N624" s="4">
        <v>306990</v>
      </c>
      <c r="O624" s="4">
        <v>307019</v>
      </c>
      <c r="P624" s="4">
        <f>Tabela32[[#This Row],[Km Chegada]]-Tabela32[[#This Row],[Km Saída]]</f>
        <v>29</v>
      </c>
      <c r="Q624" s="4">
        <v>443</v>
      </c>
      <c r="R624" s="4">
        <v>9</v>
      </c>
      <c r="S624" s="4">
        <v>9</v>
      </c>
      <c r="T624" s="12">
        <f>Tabela32[[#This Row],[Entregas]]-Tabela32[[#This Row],[Realizadas]]</f>
        <v>0</v>
      </c>
      <c r="U624" s="18">
        <f>Tabela32[[#This Row],[Realizadas]]/Tabela32[[#This Row],[Entregas]]</f>
        <v>1</v>
      </c>
      <c r="V624" s="19" t="str">
        <f>IF(Tabela32[[#This Row],[% Entrega]]&gt;=96%,"Atendeu a Meta","Não Atendeu a Meta")</f>
        <v>Atendeu a Meta</v>
      </c>
      <c r="W624" s="4" t="s">
        <v>39</v>
      </c>
      <c r="X624" s="4">
        <v>0</v>
      </c>
      <c r="Y624" s="5">
        <v>0</v>
      </c>
    </row>
    <row r="625" spans="1:25" x14ac:dyDescent="0.25">
      <c r="A625" s="8">
        <v>46318</v>
      </c>
      <c r="B625" s="16">
        <f>YEAR(Tabela32[[#This Row],[Data]])</f>
        <v>2026</v>
      </c>
      <c r="C625" s="16">
        <f>MONTH(Tabela32[[#This Row],[Data]])</f>
        <v>10</v>
      </c>
      <c r="D625" s="4" t="s">
        <v>35</v>
      </c>
      <c r="E625" s="4">
        <v>3</v>
      </c>
      <c r="F625" s="4" t="str">
        <f>IFERROR(VLOOKUP(Tabela32[[#This Row],[Placa]],Planilha2!$A$1:$B$12,2,0),"")</f>
        <v>Osvaldo</v>
      </c>
      <c r="G625" s="10">
        <v>11743.97</v>
      </c>
      <c r="H625" s="10">
        <v>151604.01</v>
      </c>
      <c r="I625" s="4">
        <v>2025</v>
      </c>
      <c r="J625" s="17">
        <f>IFERROR(Tabela32[[#This Row],[Valor Frete]]/Tabela32[[#This Row],[Valor Mercadoria]],"")</f>
        <v>7.7464771545290911E-2</v>
      </c>
      <c r="K625" s="11">
        <v>0.29166666666666669</v>
      </c>
      <c r="L625" s="15">
        <v>0.67569444444444449</v>
      </c>
      <c r="M625" s="15">
        <f>Tabela32[[#This Row],[Hr Chegada]]-Tabela32[[#This Row],[Hr Saida]]</f>
        <v>0.3840277777777778</v>
      </c>
      <c r="N625" s="4">
        <v>145417</v>
      </c>
      <c r="O625" s="4">
        <v>145472</v>
      </c>
      <c r="P625" s="4">
        <f>Tabela32[[#This Row],[Km Chegada]]-Tabela32[[#This Row],[Km Saída]]</f>
        <v>55</v>
      </c>
      <c r="Q625" s="4">
        <v>288</v>
      </c>
      <c r="R625" s="4">
        <v>25</v>
      </c>
      <c r="S625" s="4">
        <v>25</v>
      </c>
      <c r="T625" s="12">
        <f>Tabela32[[#This Row],[Entregas]]-Tabela32[[#This Row],[Realizadas]]</f>
        <v>0</v>
      </c>
      <c r="U625" s="18">
        <f>Tabela32[[#This Row],[Realizadas]]/Tabela32[[#This Row],[Entregas]]</f>
        <v>1</v>
      </c>
      <c r="V625" s="19" t="str">
        <f>IF(Tabela32[[#This Row],[% Entrega]]&gt;=96%,"Atendeu a Meta","Não Atendeu a Meta")</f>
        <v>Atendeu a Meta</v>
      </c>
      <c r="W625" s="4" t="s">
        <v>39</v>
      </c>
      <c r="X625" s="4">
        <v>0</v>
      </c>
      <c r="Y625" s="5">
        <v>0</v>
      </c>
    </row>
    <row r="626" spans="1:25" x14ac:dyDescent="0.25">
      <c r="A626" s="8">
        <v>46318</v>
      </c>
      <c r="B626" s="16">
        <f>YEAR(Tabela32[[#This Row],[Data]])</f>
        <v>2026</v>
      </c>
      <c r="C626" s="16">
        <f>MONTH(Tabela32[[#This Row],[Data]])</f>
        <v>10</v>
      </c>
      <c r="D626" s="4" t="s">
        <v>31</v>
      </c>
      <c r="E626" s="4">
        <v>5</v>
      </c>
      <c r="F626" s="4" t="str">
        <f>IFERROR(VLOOKUP(Tabela32[[#This Row],[Placa]],Planilha2!$A$1:$B$12,2,0),"")</f>
        <v>Jerson</v>
      </c>
      <c r="G626" s="10">
        <v>7009.41</v>
      </c>
      <c r="H626" s="10">
        <v>134716.66</v>
      </c>
      <c r="I626" s="4">
        <v>1037</v>
      </c>
      <c r="J626" s="17">
        <f>IFERROR(Tabela32[[#This Row],[Valor Frete]]/Tabela32[[#This Row],[Valor Mercadoria]],"")</f>
        <v>5.2030758482284223E-2</v>
      </c>
      <c r="K626" s="11">
        <v>0.3125</v>
      </c>
      <c r="L626" s="15">
        <v>0.79166666666666663</v>
      </c>
      <c r="M626" s="15">
        <f>Tabela32[[#This Row],[Hr Chegada]]-Tabela32[[#This Row],[Hr Saida]]</f>
        <v>0.47916666666666663</v>
      </c>
      <c r="N626" s="4">
        <v>282569</v>
      </c>
      <c r="O626" s="4">
        <v>282648</v>
      </c>
      <c r="P626" s="4">
        <f>Tabela32[[#This Row],[Km Chegada]]-Tabela32[[#This Row],[Km Saída]]</f>
        <v>79</v>
      </c>
      <c r="Q626" s="4">
        <v>188</v>
      </c>
      <c r="R626" s="4">
        <v>29</v>
      </c>
      <c r="S626" s="4">
        <v>29</v>
      </c>
      <c r="T626" s="12">
        <f>Tabela32[[#This Row],[Entregas]]-Tabela32[[#This Row],[Realizadas]]</f>
        <v>0</v>
      </c>
      <c r="U626" s="18">
        <f>Tabela32[[#This Row],[Realizadas]]/Tabela32[[#This Row],[Entregas]]</f>
        <v>1</v>
      </c>
      <c r="V626" s="19" t="str">
        <f>IF(Tabela32[[#This Row],[% Entrega]]&gt;=96%,"Atendeu a Meta","Não Atendeu a Meta")</f>
        <v>Atendeu a Meta</v>
      </c>
      <c r="W626" s="4" t="s">
        <v>39</v>
      </c>
      <c r="X626" s="4">
        <v>0</v>
      </c>
      <c r="Y626" s="5">
        <v>0</v>
      </c>
    </row>
    <row r="627" spans="1:25" x14ac:dyDescent="0.25">
      <c r="A627" s="8">
        <v>46318</v>
      </c>
      <c r="B627" s="16">
        <f>YEAR(Tabela32[[#This Row],[Data]])</f>
        <v>2026</v>
      </c>
      <c r="C627" s="16">
        <f>MONTH(Tabela32[[#This Row],[Data]])</f>
        <v>10</v>
      </c>
      <c r="D627" s="4" t="s">
        <v>53</v>
      </c>
      <c r="E627" s="4">
        <v>11</v>
      </c>
      <c r="F627" s="4" t="str">
        <f>IFERROR(VLOOKUP(Tabela32[[#This Row],[Placa]],Planilha2!$A$1:$B$12,2,0),"")</f>
        <v>Arnaldo</v>
      </c>
      <c r="G627" s="10">
        <v>12573.76</v>
      </c>
      <c r="H627" s="10">
        <v>247780.94</v>
      </c>
      <c r="I627" s="4">
        <v>1549</v>
      </c>
      <c r="J627" s="17">
        <f>IFERROR(Tabela32[[#This Row],[Valor Frete]]/Tabela32[[#This Row],[Valor Mercadoria]],"")</f>
        <v>5.0745468961414061E-2</v>
      </c>
      <c r="K627" s="11">
        <v>0.28055555555555556</v>
      </c>
      <c r="L627" s="15">
        <v>0.7368055555555556</v>
      </c>
      <c r="M627" s="15">
        <f>Tabela32[[#This Row],[Hr Chegada]]-Tabela32[[#This Row],[Hr Saida]]</f>
        <v>0.45625000000000004</v>
      </c>
      <c r="N627" s="4">
        <v>15351</v>
      </c>
      <c r="O627" s="4">
        <v>15481</v>
      </c>
      <c r="P627" s="4">
        <f>Tabela32[[#This Row],[Km Chegada]]-Tabela32[[#This Row],[Km Saída]]</f>
        <v>130</v>
      </c>
      <c r="Q627" s="4">
        <v>230</v>
      </c>
      <c r="R627" s="4">
        <v>45</v>
      </c>
      <c r="S627" s="4">
        <v>45</v>
      </c>
      <c r="T627" s="12">
        <f>Tabela32[[#This Row],[Entregas]]-Tabela32[[#This Row],[Realizadas]]</f>
        <v>0</v>
      </c>
      <c r="U627" s="18">
        <f>Tabela32[[#This Row],[Realizadas]]/Tabela32[[#This Row],[Entregas]]</f>
        <v>1</v>
      </c>
      <c r="V627" s="19" t="str">
        <f>IF(Tabela32[[#This Row],[% Entrega]]&gt;=96%,"Atendeu a Meta","Não Atendeu a Meta")</f>
        <v>Atendeu a Meta</v>
      </c>
      <c r="W627" s="4" t="s">
        <v>41</v>
      </c>
      <c r="X627" s="4">
        <v>0</v>
      </c>
      <c r="Y627" s="5">
        <v>38.380000000000003</v>
      </c>
    </row>
    <row r="628" spans="1:25" x14ac:dyDescent="0.25">
      <c r="A628" s="8">
        <v>46318</v>
      </c>
      <c r="B628" s="16">
        <f>YEAR(Tabela32[[#This Row],[Data]])</f>
        <v>2026</v>
      </c>
      <c r="C628" s="16">
        <f>MONTH(Tabela32[[#This Row],[Data]])</f>
        <v>10</v>
      </c>
      <c r="D628" s="4" t="s">
        <v>27</v>
      </c>
      <c r="E628" s="4">
        <v>1</v>
      </c>
      <c r="F628" s="4" t="str">
        <f>IFERROR(VLOOKUP(Tabela32[[#This Row],[Placa]],Planilha2!$A$1:$B$12,2,0),"")</f>
        <v>Rosinaldo</v>
      </c>
      <c r="G628" s="10">
        <v>4628.04</v>
      </c>
      <c r="H628" s="10">
        <v>71220.009999999995</v>
      </c>
      <c r="I628" s="4">
        <v>522</v>
      </c>
      <c r="J628" s="17">
        <f>IFERROR(Tabela32[[#This Row],[Valor Frete]]/Tabela32[[#This Row],[Valor Mercadoria]],"")</f>
        <v>6.4982299216189393E-2</v>
      </c>
      <c r="K628" s="11">
        <v>0.56944444444444442</v>
      </c>
      <c r="L628" s="15">
        <v>0.74791666666666667</v>
      </c>
      <c r="M628" s="15">
        <f>Tabela32[[#This Row],[Hr Chegada]]-Tabela32[[#This Row],[Hr Saida]]</f>
        <v>0.17847222222222225</v>
      </c>
      <c r="N628" s="4">
        <v>293006</v>
      </c>
      <c r="O628" s="4">
        <v>293021</v>
      </c>
      <c r="P628" s="4">
        <f>Tabela32[[#This Row],[Km Chegada]]-Tabela32[[#This Row],[Km Saída]]</f>
        <v>15</v>
      </c>
      <c r="Q628" s="4">
        <v>71</v>
      </c>
      <c r="R628" s="4">
        <v>23</v>
      </c>
      <c r="S628" s="4">
        <v>23</v>
      </c>
      <c r="T628" s="12">
        <f>Tabela32[[#This Row],[Entregas]]-Tabela32[[#This Row],[Realizadas]]</f>
        <v>0</v>
      </c>
      <c r="U628" s="18">
        <f>Tabela32[[#This Row],[Realizadas]]/Tabela32[[#This Row],[Entregas]]</f>
        <v>1</v>
      </c>
      <c r="V628" s="19" t="str">
        <f>IF(Tabela32[[#This Row],[% Entrega]]&gt;=96%,"Atendeu a Meta","Não Atendeu a Meta")</f>
        <v>Atendeu a Meta</v>
      </c>
      <c r="W628" s="4" t="s">
        <v>43</v>
      </c>
      <c r="X628" s="4">
        <v>0</v>
      </c>
      <c r="Y628" s="5">
        <v>0</v>
      </c>
    </row>
    <row r="629" spans="1:25" x14ac:dyDescent="0.25">
      <c r="A629" s="8">
        <v>46318</v>
      </c>
      <c r="B629" s="16">
        <f>YEAR(Tabela32[[#This Row],[Data]])</f>
        <v>2026</v>
      </c>
      <c r="C629" s="16">
        <f>MONTH(Tabela32[[#This Row],[Data]])</f>
        <v>10</v>
      </c>
      <c r="D629" s="4" t="s">
        <v>29</v>
      </c>
      <c r="E629" s="4">
        <v>1</v>
      </c>
      <c r="F629" s="4" t="str">
        <f>IFERROR(VLOOKUP(Tabela32[[#This Row],[Placa]],Planilha2!$A$1:$B$12,2,0),"")</f>
        <v>Sandro</v>
      </c>
      <c r="G629" s="10">
        <v>1228</v>
      </c>
      <c r="H629" s="10">
        <v>8695.44</v>
      </c>
      <c r="I629" s="4">
        <v>4</v>
      </c>
      <c r="J629" s="17">
        <f>IFERROR(Tabela32[[#This Row],[Valor Frete]]/Tabela32[[#This Row],[Valor Mercadoria]],"")</f>
        <v>0.14122344585207877</v>
      </c>
      <c r="K629" s="11">
        <v>0.29166666666666669</v>
      </c>
      <c r="L629" s="15">
        <v>0.72916666666666663</v>
      </c>
      <c r="M629" s="15">
        <f>Tabela32[[#This Row],[Hr Chegada]]-Tabela32[[#This Row],[Hr Saida]]</f>
        <v>0.43749999999999994</v>
      </c>
      <c r="N629" s="4">
        <v>277541</v>
      </c>
      <c r="O629" s="4">
        <v>277599</v>
      </c>
      <c r="P629" s="4">
        <f>Tabela32[[#This Row],[Km Chegada]]-Tabela32[[#This Row],[Km Saída]]</f>
        <v>58</v>
      </c>
      <c r="Q629" s="4">
        <v>4</v>
      </c>
      <c r="R629" s="4">
        <v>2</v>
      </c>
      <c r="S629" s="4">
        <v>2</v>
      </c>
      <c r="T629" s="12">
        <f>Tabela32[[#This Row],[Entregas]]-Tabela32[[#This Row],[Realizadas]]</f>
        <v>0</v>
      </c>
      <c r="U629" s="18">
        <f>Tabela32[[#This Row],[Realizadas]]/Tabela32[[#This Row],[Entregas]]</f>
        <v>1</v>
      </c>
      <c r="V629" s="19" t="str">
        <f>IF(Tabela32[[#This Row],[% Entrega]]&gt;=96%,"Atendeu a Meta","Não Atendeu a Meta")</f>
        <v>Atendeu a Meta</v>
      </c>
      <c r="W629" s="4" t="s">
        <v>40</v>
      </c>
      <c r="X629" s="4">
        <v>0</v>
      </c>
      <c r="Y629" s="5">
        <v>0</v>
      </c>
    </row>
    <row r="630" spans="1:25" x14ac:dyDescent="0.25">
      <c r="A630" s="8">
        <v>46318</v>
      </c>
      <c r="B630" s="16">
        <f>YEAR(Tabela32[[#This Row],[Data]])</f>
        <v>2026</v>
      </c>
      <c r="C630" s="16">
        <f>MONTH(Tabela32[[#This Row],[Data]])</f>
        <v>10</v>
      </c>
      <c r="D630" s="4" t="s">
        <v>25</v>
      </c>
      <c r="E630" s="4">
        <v>4</v>
      </c>
      <c r="F630" s="4" t="str">
        <f>IFERROR(VLOOKUP(Tabela32[[#This Row],[Placa]],Planilha2!$A$1:$B$12,2,0),"")</f>
        <v>Gilberto</v>
      </c>
      <c r="G630" s="10">
        <v>5900.89</v>
      </c>
      <c r="H630" s="10">
        <v>147619.81</v>
      </c>
      <c r="I630" s="4">
        <v>955</v>
      </c>
      <c r="J630" s="17">
        <f>IFERROR(Tabela32[[#This Row],[Valor Frete]]/Tabela32[[#This Row],[Valor Mercadoria]],"")</f>
        <v>3.9973564523623224E-2</v>
      </c>
      <c r="K630" s="11">
        <v>0.29166666666666669</v>
      </c>
      <c r="L630" s="15">
        <v>0.70833333333333337</v>
      </c>
      <c r="M630" s="15">
        <f>Tabela32[[#This Row],[Hr Chegada]]-Tabela32[[#This Row],[Hr Saida]]</f>
        <v>0.41666666666666669</v>
      </c>
      <c r="N630" s="4">
        <v>121402</v>
      </c>
      <c r="O630" s="4">
        <v>121471</v>
      </c>
      <c r="P630" s="4">
        <f>Tabela32[[#This Row],[Km Chegada]]-Tabela32[[#This Row],[Km Saída]]</f>
        <v>69</v>
      </c>
      <c r="Q630" s="4">
        <v>143</v>
      </c>
      <c r="R630" s="4">
        <v>28</v>
      </c>
      <c r="S630" s="4">
        <v>28</v>
      </c>
      <c r="T630" s="12">
        <f>Tabela32[[#This Row],[Entregas]]-Tabela32[[#This Row],[Realizadas]]</f>
        <v>0</v>
      </c>
      <c r="U630" s="18">
        <f>Tabela32[[#This Row],[Realizadas]]/Tabela32[[#This Row],[Entregas]]</f>
        <v>1</v>
      </c>
      <c r="V630" s="19" t="str">
        <f>IF(Tabela32[[#This Row],[% Entrega]]&gt;=96%,"Atendeu a Meta","Não Atendeu a Meta")</f>
        <v>Atendeu a Meta</v>
      </c>
      <c r="W630" s="4" t="s">
        <v>39</v>
      </c>
      <c r="X630" s="4">
        <v>0</v>
      </c>
      <c r="Y630" s="5">
        <v>0</v>
      </c>
    </row>
    <row r="631" spans="1:25" x14ac:dyDescent="0.25">
      <c r="A631" s="8">
        <v>46319</v>
      </c>
      <c r="B631" s="16">
        <f>YEAR(Tabela32[[#This Row],[Data]])</f>
        <v>2026</v>
      </c>
      <c r="C631" s="16">
        <f>MONTH(Tabela32[[#This Row],[Data]])</f>
        <v>10</v>
      </c>
      <c r="D631" s="4" t="s">
        <v>22</v>
      </c>
      <c r="E631" s="4">
        <v>3</v>
      </c>
      <c r="F631" s="4" t="str">
        <f>IFERROR(VLOOKUP(Tabela32[[#This Row],[Placa]],Planilha2!$A$1:$B$12,2,0),"")</f>
        <v>Juscelino</v>
      </c>
      <c r="G631" s="10">
        <v>7160.94</v>
      </c>
      <c r="H631" s="10">
        <v>68056.27</v>
      </c>
      <c r="I631" s="4">
        <v>1468</v>
      </c>
      <c r="J631" s="17">
        <f>IFERROR(Tabela32[[#This Row],[Valor Frete]]/Tabela32[[#This Row],[Valor Mercadoria]],"")</f>
        <v>0.10522087090579603</v>
      </c>
      <c r="K631" s="11">
        <v>0.3125</v>
      </c>
      <c r="L631" s="15">
        <v>0.51111111111111107</v>
      </c>
      <c r="M631" s="15">
        <f>Tabela32[[#This Row],[Hr Chegada]]-Tabela32[[#This Row],[Hr Saida]]</f>
        <v>0.19861111111111107</v>
      </c>
      <c r="N631" s="4">
        <v>307019</v>
      </c>
      <c r="O631" s="4">
        <v>307058</v>
      </c>
      <c r="P631" s="4">
        <f>Tabela32[[#This Row],[Km Chegada]]-Tabela32[[#This Row],[Km Saída]]</f>
        <v>39</v>
      </c>
      <c r="Q631" s="4">
        <v>261</v>
      </c>
      <c r="R631" s="4">
        <v>2</v>
      </c>
      <c r="S631" s="4">
        <v>2</v>
      </c>
      <c r="T631" s="12">
        <f>Tabela32[[#This Row],[Entregas]]-Tabela32[[#This Row],[Realizadas]]</f>
        <v>0</v>
      </c>
      <c r="U631" s="18">
        <f>Tabela32[[#This Row],[Realizadas]]/Tabela32[[#This Row],[Entregas]]</f>
        <v>1</v>
      </c>
      <c r="V631" s="19" t="str">
        <f>IF(Tabela32[[#This Row],[% Entrega]]&gt;=96%,"Atendeu a Meta","Não Atendeu a Meta")</f>
        <v>Atendeu a Meta</v>
      </c>
      <c r="W631" s="4" t="s">
        <v>39</v>
      </c>
      <c r="X631" s="4">
        <v>0</v>
      </c>
      <c r="Y631" s="5">
        <v>0</v>
      </c>
    </row>
    <row r="632" spans="1:25" x14ac:dyDescent="0.25">
      <c r="A632" s="8">
        <v>46319</v>
      </c>
      <c r="B632" s="16">
        <f>YEAR(Tabela32[[#This Row],[Data]])</f>
        <v>2026</v>
      </c>
      <c r="C632" s="16">
        <f>MONTH(Tabela32[[#This Row],[Data]])</f>
        <v>10</v>
      </c>
      <c r="D632" s="4" t="s">
        <v>27</v>
      </c>
      <c r="E632" s="4">
        <v>1</v>
      </c>
      <c r="F632" s="4" t="str">
        <f>IFERROR(VLOOKUP(Tabela32[[#This Row],[Placa]],Planilha2!$A$1:$B$12,2,0),"")</f>
        <v>Rosinaldo</v>
      </c>
      <c r="G632" s="10">
        <v>3879.18</v>
      </c>
      <c r="H632" s="10">
        <v>51649.16</v>
      </c>
      <c r="I632" s="4">
        <v>171</v>
      </c>
      <c r="J632" s="17">
        <f>IFERROR(Tabela32[[#This Row],[Valor Frete]]/Tabela32[[#This Row],[Valor Mercadoria]],"")</f>
        <v>7.5106352165262694E-2</v>
      </c>
      <c r="K632" s="11">
        <v>0.29166666666666669</v>
      </c>
      <c r="L632" s="15">
        <v>0.52500000000000002</v>
      </c>
      <c r="M632" s="15">
        <f>Tabela32[[#This Row],[Hr Chegada]]-Tabela32[[#This Row],[Hr Saida]]</f>
        <v>0.23333333333333334</v>
      </c>
      <c r="N632" s="4">
        <v>293061</v>
      </c>
      <c r="O632" s="4">
        <v>293106</v>
      </c>
      <c r="P632" s="4">
        <f>Tabela32[[#This Row],[Km Chegada]]-Tabela32[[#This Row],[Km Saída]]</f>
        <v>45</v>
      </c>
      <c r="Q632" s="4">
        <v>23</v>
      </c>
      <c r="R632" s="4">
        <v>3</v>
      </c>
      <c r="S632" s="4">
        <v>3</v>
      </c>
      <c r="T632" s="12">
        <f>Tabela32[[#This Row],[Entregas]]-Tabela32[[#This Row],[Realizadas]]</f>
        <v>0</v>
      </c>
      <c r="U632" s="18">
        <f>Tabela32[[#This Row],[Realizadas]]/Tabela32[[#This Row],[Entregas]]</f>
        <v>1</v>
      </c>
      <c r="V632" s="19" t="str">
        <f>IF(Tabela32[[#This Row],[% Entrega]]&gt;=96%,"Atendeu a Meta","Não Atendeu a Meta")</f>
        <v>Atendeu a Meta</v>
      </c>
      <c r="W632" s="4" t="s">
        <v>40</v>
      </c>
      <c r="X632" s="4">
        <v>0</v>
      </c>
      <c r="Y632" s="5">
        <v>0</v>
      </c>
    </row>
    <row r="633" spans="1:25" x14ac:dyDescent="0.25">
      <c r="A633" s="8">
        <v>46319</v>
      </c>
      <c r="B633" s="16">
        <f>YEAR(Tabela32[[#This Row],[Data]])</f>
        <v>2026</v>
      </c>
      <c r="C633" s="16">
        <f>MONTH(Tabela32[[#This Row],[Data]])</f>
        <v>10</v>
      </c>
      <c r="D633" s="4" t="s">
        <v>33</v>
      </c>
      <c r="E633" s="4">
        <v>4</v>
      </c>
      <c r="F633" s="4" t="str">
        <f>IFERROR(VLOOKUP(Tabela32[[#This Row],[Placa]],Planilha2!$A$1:$B$12,2,0),"")</f>
        <v>Paulo</v>
      </c>
      <c r="G633" s="10">
        <v>5178.0200000000004</v>
      </c>
      <c r="H633" s="10">
        <v>38996.370000000003</v>
      </c>
      <c r="I633" s="4">
        <v>1083</v>
      </c>
      <c r="J633" s="17">
        <f>IFERROR(Tabela32[[#This Row],[Valor Frete]]/Tabela32[[#This Row],[Valor Mercadoria]],"")</f>
        <v>0.13278210253928763</v>
      </c>
      <c r="K633" s="11">
        <v>0.3125</v>
      </c>
      <c r="L633" s="15">
        <v>0.45694444444444443</v>
      </c>
      <c r="M633" s="15">
        <f>Tabela32[[#This Row],[Hr Chegada]]-Tabela32[[#This Row],[Hr Saida]]</f>
        <v>0.14444444444444443</v>
      </c>
      <c r="N633" s="4">
        <v>158158</v>
      </c>
      <c r="O633" s="4">
        <v>158213</v>
      </c>
      <c r="P633" s="4">
        <f>Tabela32[[#This Row],[Km Chegada]]-Tabela32[[#This Row],[Km Saída]]</f>
        <v>55</v>
      </c>
      <c r="Q633" s="4">
        <v>168</v>
      </c>
      <c r="R633" s="4">
        <v>1</v>
      </c>
      <c r="S633" s="4">
        <v>1</v>
      </c>
      <c r="T633" s="12">
        <f>Tabela32[[#This Row],[Entregas]]-Tabela32[[#This Row],[Realizadas]]</f>
        <v>0</v>
      </c>
      <c r="U633" s="18">
        <f>Tabela32[[#This Row],[Realizadas]]/Tabela32[[#This Row],[Entregas]]</f>
        <v>1</v>
      </c>
      <c r="V633" s="19" t="str">
        <f>IF(Tabela32[[#This Row],[% Entrega]]&gt;=96%,"Atendeu a Meta","Não Atendeu a Meta")</f>
        <v>Atendeu a Meta</v>
      </c>
      <c r="W633" s="4" t="s">
        <v>39</v>
      </c>
      <c r="X633" s="4">
        <v>0</v>
      </c>
      <c r="Y633" s="5">
        <v>0</v>
      </c>
    </row>
    <row r="634" spans="1:25" x14ac:dyDescent="0.25">
      <c r="A634" s="8">
        <v>46319</v>
      </c>
      <c r="B634" s="16">
        <f>YEAR(Tabela32[[#This Row],[Data]])</f>
        <v>2026</v>
      </c>
      <c r="C634" s="16">
        <f>MONTH(Tabela32[[#This Row],[Data]])</f>
        <v>10</v>
      </c>
      <c r="D634" s="4" t="s">
        <v>53</v>
      </c>
      <c r="E634" s="4">
        <v>11</v>
      </c>
      <c r="F634" s="4" t="str">
        <f>IFERROR(VLOOKUP(Tabela32[[#This Row],[Placa]],Planilha2!$A$1:$B$12,2,0),"")</f>
        <v>Arnaldo</v>
      </c>
      <c r="G634" s="10">
        <v>6066.44</v>
      </c>
      <c r="H634" s="10">
        <v>93360.8</v>
      </c>
      <c r="I634" s="4">
        <v>709</v>
      </c>
      <c r="J634" s="17">
        <f>IFERROR(Tabela32[[#This Row],[Valor Frete]]/Tabela32[[#This Row],[Valor Mercadoria]],"")</f>
        <v>6.4978449199235649E-2</v>
      </c>
      <c r="K634" s="11">
        <v>0.30069444444444443</v>
      </c>
      <c r="L634" s="15">
        <v>0.55000000000000004</v>
      </c>
      <c r="M634" s="15">
        <f>Tabela32[[#This Row],[Hr Chegada]]-Tabela32[[#This Row],[Hr Saida]]</f>
        <v>0.24930555555555561</v>
      </c>
      <c r="N634" s="4">
        <v>15483</v>
      </c>
      <c r="O634" s="4">
        <v>15604</v>
      </c>
      <c r="P634" s="4">
        <f>Tabela32[[#This Row],[Km Chegada]]-Tabela32[[#This Row],[Km Saída]]</f>
        <v>121</v>
      </c>
      <c r="Q634" s="4">
        <v>94</v>
      </c>
      <c r="R634" s="4">
        <v>24</v>
      </c>
      <c r="S634" s="4">
        <v>24</v>
      </c>
      <c r="T634" s="12">
        <f>Tabela32[[#This Row],[Entregas]]-Tabela32[[#This Row],[Realizadas]]</f>
        <v>0</v>
      </c>
      <c r="U634" s="18">
        <f>Tabela32[[#This Row],[Realizadas]]/Tabela32[[#This Row],[Entregas]]</f>
        <v>1</v>
      </c>
      <c r="V634" s="19" t="str">
        <f>IF(Tabela32[[#This Row],[% Entrega]]&gt;=96%,"Atendeu a Meta","Não Atendeu a Meta")</f>
        <v>Atendeu a Meta</v>
      </c>
      <c r="W634" s="4" t="s">
        <v>41</v>
      </c>
      <c r="X634" s="4">
        <v>0</v>
      </c>
      <c r="Y634" s="5">
        <v>0</v>
      </c>
    </row>
    <row r="635" spans="1:25" x14ac:dyDescent="0.25">
      <c r="A635" s="8">
        <v>46319</v>
      </c>
      <c r="B635" s="16">
        <f>YEAR(Tabela32[[#This Row],[Data]])</f>
        <v>2026</v>
      </c>
      <c r="C635" s="16">
        <f>MONTH(Tabela32[[#This Row],[Data]])</f>
        <v>10</v>
      </c>
      <c r="D635" s="4" t="s">
        <v>23</v>
      </c>
      <c r="E635" s="4">
        <v>3</v>
      </c>
      <c r="F635" s="4" t="str">
        <f>IFERROR(VLOOKUP(Tabela32[[#This Row],[Placa]],Planilha2!$A$1:$B$12,2,0),"")</f>
        <v>William</v>
      </c>
      <c r="G635" s="10">
        <v>3234.09</v>
      </c>
      <c r="H635" s="10">
        <v>142339.99</v>
      </c>
      <c r="I635" s="4">
        <v>463</v>
      </c>
      <c r="J635" s="17">
        <f>IFERROR(Tabela32[[#This Row],[Valor Frete]]/Tabela32[[#This Row],[Valor Mercadoria]],"")</f>
        <v>2.2720881180334496E-2</v>
      </c>
      <c r="K635" s="11">
        <v>0.3125</v>
      </c>
      <c r="L635" s="15">
        <v>0.51041666666666663</v>
      </c>
      <c r="M635" s="15">
        <f>Tabela32[[#This Row],[Hr Chegada]]-Tabela32[[#This Row],[Hr Saida]]</f>
        <v>0.19791666666666663</v>
      </c>
      <c r="N635" s="4">
        <v>127533</v>
      </c>
      <c r="O635" s="4">
        <v>127574</v>
      </c>
      <c r="P635" s="4">
        <f>Tabela32[[#This Row],[Km Chegada]]-Tabela32[[#This Row],[Km Saída]]</f>
        <v>41</v>
      </c>
      <c r="Q635" s="4">
        <v>182</v>
      </c>
      <c r="R635" s="4">
        <v>12</v>
      </c>
      <c r="S635" s="4">
        <v>12</v>
      </c>
      <c r="T635" s="12">
        <f>Tabela32[[#This Row],[Entregas]]-Tabela32[[#This Row],[Realizadas]]</f>
        <v>0</v>
      </c>
      <c r="U635" s="18">
        <f>Tabela32[[#This Row],[Realizadas]]/Tabela32[[#This Row],[Entregas]]</f>
        <v>1</v>
      </c>
      <c r="V635" s="19" t="str">
        <f>IF(Tabela32[[#This Row],[% Entrega]]&gt;=96%,"Atendeu a Meta","Não Atendeu a Meta")</f>
        <v>Atendeu a Meta</v>
      </c>
      <c r="W635" s="4" t="s">
        <v>39</v>
      </c>
      <c r="X635" s="4">
        <v>0</v>
      </c>
      <c r="Y635" s="5">
        <v>0</v>
      </c>
    </row>
    <row r="636" spans="1:25" x14ac:dyDescent="0.25">
      <c r="A636" s="8">
        <v>46321</v>
      </c>
      <c r="B636" s="16">
        <f>YEAR(Tabela32[[#This Row],[Data]])</f>
        <v>2026</v>
      </c>
      <c r="C636" s="16">
        <f>MONTH(Tabela32[[#This Row],[Data]])</f>
        <v>10</v>
      </c>
      <c r="D636" s="4" t="s">
        <v>28</v>
      </c>
      <c r="E636" s="4">
        <v>11</v>
      </c>
      <c r="F636" s="4" t="str">
        <f>IFERROR(VLOOKUP(Tabela32[[#This Row],[Placa]],Planilha2!$A$1:$B$12,2,0),"")</f>
        <v>Edilson</v>
      </c>
      <c r="G636" s="10">
        <v>11198.62</v>
      </c>
      <c r="H636" s="10">
        <v>169201.81</v>
      </c>
      <c r="I636" s="4">
        <v>1481</v>
      </c>
      <c r="J636" s="17">
        <f>IFERROR(Tabela32[[#This Row],[Valor Frete]]/Tabela32[[#This Row],[Valor Mercadoria]],"")</f>
        <v>6.6184989392252966E-2</v>
      </c>
      <c r="K636" s="11">
        <v>0.27083333333333331</v>
      </c>
      <c r="L636" s="15">
        <v>0.73958333333333337</v>
      </c>
      <c r="M636" s="15">
        <f>Tabela32[[#This Row],[Hr Chegada]]-Tabela32[[#This Row],[Hr Saida]]</f>
        <v>0.46875000000000006</v>
      </c>
      <c r="N636" s="4">
        <v>108742</v>
      </c>
      <c r="O636" s="4">
        <v>108853</v>
      </c>
      <c r="P636" s="4">
        <f>Tabela32[[#This Row],[Km Chegada]]-Tabela32[[#This Row],[Km Saída]]</f>
        <v>111</v>
      </c>
      <c r="Q636" s="4">
        <v>268</v>
      </c>
      <c r="R636" s="4">
        <v>26</v>
      </c>
      <c r="S636" s="4">
        <v>26</v>
      </c>
      <c r="T636" s="12">
        <f>Tabela32[[#This Row],[Entregas]]-Tabela32[[#This Row],[Realizadas]]</f>
        <v>0</v>
      </c>
      <c r="U636" s="18">
        <f>Tabela32[[#This Row],[Realizadas]]/Tabela32[[#This Row],[Entregas]]</f>
        <v>1</v>
      </c>
      <c r="V636" s="19" t="str">
        <f>IF(Tabela32[[#This Row],[% Entrega]]&gt;=96%,"Atendeu a Meta","Não Atendeu a Meta")</f>
        <v>Atendeu a Meta</v>
      </c>
      <c r="W636" s="4" t="s">
        <v>41</v>
      </c>
      <c r="X636" s="4">
        <v>1</v>
      </c>
      <c r="Y636" s="5">
        <v>9</v>
      </c>
    </row>
    <row r="637" spans="1:25" x14ac:dyDescent="0.25">
      <c r="A637" s="8">
        <v>46321</v>
      </c>
      <c r="B637" s="16">
        <f>YEAR(Tabela32[[#This Row],[Data]])</f>
        <v>2026</v>
      </c>
      <c r="C637" s="16">
        <f>MONTH(Tabela32[[#This Row],[Data]])</f>
        <v>10</v>
      </c>
      <c r="D637" s="4" t="s">
        <v>33</v>
      </c>
      <c r="E637" s="4">
        <v>1</v>
      </c>
      <c r="F637" s="4" t="str">
        <f>IFERROR(VLOOKUP(Tabela32[[#This Row],[Placa]],Planilha2!$A$1:$B$12,2,0),"")</f>
        <v>Paulo</v>
      </c>
      <c r="G637" s="10">
        <v>1735.4</v>
      </c>
      <c r="H637" s="10">
        <v>22241.7</v>
      </c>
      <c r="I637" s="4">
        <v>35</v>
      </c>
      <c r="J637" s="17">
        <f>IFERROR(Tabela32[[#This Row],[Valor Frete]]/Tabela32[[#This Row],[Valor Mercadoria]],"")</f>
        <v>7.8024611428083285E-2</v>
      </c>
      <c r="K637" s="11">
        <v>0.29166666666666669</v>
      </c>
      <c r="L637" s="15">
        <v>0.54652777777777772</v>
      </c>
      <c r="M637" s="15">
        <f>Tabela32[[#This Row],[Hr Chegada]]-Tabela32[[#This Row],[Hr Saida]]</f>
        <v>0.25486111111111104</v>
      </c>
      <c r="N637" s="4">
        <v>158213</v>
      </c>
      <c r="O637" s="4">
        <v>158249</v>
      </c>
      <c r="P637" s="4">
        <f>Tabela32[[#This Row],[Km Chegada]]-Tabela32[[#This Row],[Km Saída]]</f>
        <v>36</v>
      </c>
      <c r="Q637" s="4">
        <v>14</v>
      </c>
      <c r="R637" s="4">
        <v>3</v>
      </c>
      <c r="S637" s="4">
        <v>3</v>
      </c>
      <c r="T637" s="12">
        <f>Tabela32[[#This Row],[Entregas]]-Tabela32[[#This Row],[Realizadas]]</f>
        <v>0</v>
      </c>
      <c r="U637" s="18">
        <f>Tabela32[[#This Row],[Realizadas]]/Tabela32[[#This Row],[Entregas]]</f>
        <v>1</v>
      </c>
      <c r="V637" s="19" t="str">
        <f>IF(Tabela32[[#This Row],[% Entrega]]&gt;=96%,"Atendeu a Meta","Não Atendeu a Meta")</f>
        <v>Atendeu a Meta</v>
      </c>
      <c r="W637" s="4" t="s">
        <v>40</v>
      </c>
      <c r="X637" s="4">
        <v>0</v>
      </c>
      <c r="Y637" s="5">
        <v>0</v>
      </c>
    </row>
    <row r="638" spans="1:25" x14ac:dyDescent="0.25">
      <c r="A638" s="8">
        <v>46322</v>
      </c>
      <c r="B638" s="26">
        <f>YEAR(Tabela32[[#This Row],[Data]])</f>
        <v>2026</v>
      </c>
      <c r="C638" s="26">
        <f>MONTH(Tabela32[[#This Row],[Data]])</f>
        <v>10</v>
      </c>
      <c r="D638" s="4" t="s">
        <v>35</v>
      </c>
      <c r="E638" s="4">
        <v>5</v>
      </c>
      <c r="F638" s="4" t="str">
        <f>IFERROR(VLOOKUP(Tabela32[[#This Row],[Placa]],Planilha2!$A$1:$B$12,2,0),"")</f>
        <v>Osvaldo</v>
      </c>
      <c r="G638" s="10">
        <v>10128.870000000001</v>
      </c>
      <c r="H638" s="10">
        <v>177284.83</v>
      </c>
      <c r="I638" s="4">
        <v>1554</v>
      </c>
      <c r="J638" s="17">
        <f>IFERROR(Tabela32[[#This Row],[Valor Frete]]/Tabela32[[#This Row],[Valor Mercadoria]],"")</f>
        <v>5.7133314790667661E-2</v>
      </c>
      <c r="K638" s="11">
        <v>0.3125</v>
      </c>
      <c r="L638" s="15">
        <v>0.79236111111111107</v>
      </c>
      <c r="M638" s="15">
        <f>Tabela32[[#This Row],[Hr Chegada]]-Tabela32[[#This Row],[Hr Saida]]</f>
        <v>0.47986111111111107</v>
      </c>
      <c r="N638" s="4">
        <v>145490</v>
      </c>
      <c r="O638" s="4">
        <v>145557</v>
      </c>
      <c r="P638" s="4">
        <f>Tabela32[[#This Row],[Km Chegada]]-Tabela32[[#This Row],[Km Saída]]</f>
        <v>67</v>
      </c>
      <c r="Q638" s="4">
        <v>237</v>
      </c>
      <c r="R638" s="4">
        <v>49</v>
      </c>
      <c r="S638" s="4">
        <v>49</v>
      </c>
      <c r="T638" s="12">
        <f>Tabela32[[#This Row],[Entregas]]-Tabela32[[#This Row],[Realizadas]]</f>
        <v>0</v>
      </c>
      <c r="U638" s="18">
        <f>Tabela32[[#This Row],[Realizadas]]/Tabela32[[#This Row],[Entregas]]</f>
        <v>1</v>
      </c>
      <c r="V638" s="19" t="str">
        <f>IF(Tabela32[[#This Row],[% Entrega]]&gt;=96%,"Atendeu a Meta","Não Atendeu a Meta")</f>
        <v>Atendeu a Meta</v>
      </c>
      <c r="W638" s="4" t="s">
        <v>39</v>
      </c>
      <c r="X638" s="4">
        <v>0</v>
      </c>
      <c r="Y638" s="5">
        <v>0</v>
      </c>
    </row>
    <row r="639" spans="1:25" x14ac:dyDescent="0.25">
      <c r="A639" s="8">
        <v>46322</v>
      </c>
      <c r="B639" s="26">
        <f>YEAR(Tabela32[[#This Row],[Data]])</f>
        <v>2026</v>
      </c>
      <c r="C639" s="26">
        <f>MONTH(Tabela32[[#This Row],[Data]])</f>
        <v>10</v>
      </c>
      <c r="D639" s="4" t="s">
        <v>96</v>
      </c>
      <c r="E639" s="4">
        <v>3</v>
      </c>
      <c r="F639" s="4" t="str">
        <f>IFERROR(VLOOKUP(Tabela32[[#This Row],[Placa]],Planilha2!$A$1:$B$12,2,0),"")</f>
        <v>Manoel</v>
      </c>
      <c r="G639" s="10">
        <v>352.14</v>
      </c>
      <c r="H639" s="10">
        <v>2114.61</v>
      </c>
      <c r="I639" s="4">
        <v>42</v>
      </c>
      <c r="J639" s="17">
        <f>IFERROR(Tabela32[[#This Row],[Valor Frete]]/Tabela32[[#This Row],[Valor Mercadoria]],"")</f>
        <v>0.16652716103678691</v>
      </c>
      <c r="K639" s="11">
        <v>0.47916666666666669</v>
      </c>
      <c r="L639" s="15">
        <v>0.72569444444444442</v>
      </c>
      <c r="M639" s="15">
        <f>Tabela32[[#This Row],[Hr Chegada]]-Tabela32[[#This Row],[Hr Saida]]</f>
        <v>0.24652777777777773</v>
      </c>
      <c r="N639" s="4">
        <v>64671</v>
      </c>
      <c r="O639" s="4">
        <v>64693</v>
      </c>
      <c r="P639" s="4">
        <f>Tabela32[[#This Row],[Km Chegada]]-Tabela32[[#This Row],[Km Saída]]</f>
        <v>22</v>
      </c>
      <c r="Q639" s="4">
        <v>3</v>
      </c>
      <c r="R639" s="4">
        <v>1</v>
      </c>
      <c r="S639" s="4">
        <v>1</v>
      </c>
      <c r="T639" s="12">
        <f>Tabela32[[#This Row],[Entregas]]-Tabela32[[#This Row],[Realizadas]]</f>
        <v>0</v>
      </c>
      <c r="U639" s="18">
        <f>Tabela32[[#This Row],[Realizadas]]/Tabela32[[#This Row],[Entregas]]</f>
        <v>1</v>
      </c>
      <c r="V639" s="19" t="str">
        <f>IF(Tabela32[[#This Row],[% Entrega]]&gt;=96%,"Atendeu a Meta","Não Atendeu a Meta")</f>
        <v>Atendeu a Meta</v>
      </c>
      <c r="W639" s="4" t="s">
        <v>39</v>
      </c>
      <c r="X639" s="4">
        <v>0</v>
      </c>
      <c r="Y639" s="5">
        <v>0</v>
      </c>
    </row>
    <row r="640" spans="1:25" x14ac:dyDescent="0.25">
      <c r="A640" s="8">
        <v>46322</v>
      </c>
      <c r="B640" s="26">
        <f>YEAR(Tabela32[[#This Row],[Data]])</f>
        <v>2026</v>
      </c>
      <c r="C640" s="26">
        <f>MONTH(Tabela32[[#This Row],[Data]])</f>
        <v>10</v>
      </c>
      <c r="D640" s="4" t="s">
        <v>27</v>
      </c>
      <c r="E640" s="4">
        <v>5</v>
      </c>
      <c r="F640" s="4" t="str">
        <f>IFERROR(VLOOKUP(Tabela32[[#This Row],[Placa]],Planilha2!$A$1:$B$12,2,0),"")</f>
        <v>Rosinaldo</v>
      </c>
      <c r="G640" s="10">
        <v>7984.99</v>
      </c>
      <c r="H640" s="10">
        <v>214799.67</v>
      </c>
      <c r="I640" s="4">
        <v>1458</v>
      </c>
      <c r="J640" s="17">
        <f>IFERROR(Tabela32[[#This Row],[Valor Frete]]/Tabela32[[#This Row],[Valor Mercadoria]],"")</f>
        <v>3.7174126012390986E-2</v>
      </c>
      <c r="K640" s="11">
        <v>0.3125</v>
      </c>
      <c r="L640" s="15">
        <v>0.74027777777777781</v>
      </c>
      <c r="M640" s="15">
        <f>Tabela32[[#This Row],[Hr Chegada]]-Tabela32[[#This Row],[Hr Saida]]</f>
        <v>0.42777777777777781</v>
      </c>
      <c r="N640" s="4">
        <v>293106</v>
      </c>
      <c r="O640" s="4">
        <v>293181</v>
      </c>
      <c r="P640" s="4">
        <f>Tabela32[[#This Row],[Km Chegada]]-Tabela32[[#This Row],[Km Saída]]</f>
        <v>75</v>
      </c>
      <c r="Q640" s="4">
        <v>371</v>
      </c>
      <c r="R640" s="4">
        <v>32</v>
      </c>
      <c r="S640" s="4">
        <v>32</v>
      </c>
      <c r="T640" s="12">
        <f>Tabela32[[#This Row],[Entregas]]-Tabela32[[#This Row],[Realizadas]]</f>
        <v>0</v>
      </c>
      <c r="U640" s="18">
        <f>Tabela32[[#This Row],[Realizadas]]/Tabela32[[#This Row],[Entregas]]</f>
        <v>1</v>
      </c>
      <c r="V640" s="19" t="str">
        <f>IF(Tabela32[[#This Row],[% Entrega]]&gt;=96%,"Atendeu a Meta","Não Atendeu a Meta")</f>
        <v>Atendeu a Meta</v>
      </c>
      <c r="W640" s="4" t="s">
        <v>39</v>
      </c>
      <c r="X640" s="4">
        <v>0</v>
      </c>
      <c r="Y640" s="5">
        <v>39.380000000000003</v>
      </c>
    </row>
    <row r="641" spans="1:25" x14ac:dyDescent="0.25">
      <c r="A641" s="8">
        <v>46322</v>
      </c>
      <c r="B641" s="26">
        <f>YEAR(Tabela32[[#This Row],[Data]])</f>
        <v>2026</v>
      </c>
      <c r="C641" s="26">
        <f>MONTH(Tabela32[[#This Row],[Data]])</f>
        <v>10</v>
      </c>
      <c r="D641" s="4" t="s">
        <v>53</v>
      </c>
      <c r="E641" s="4">
        <v>3</v>
      </c>
      <c r="F641" s="4" t="str">
        <f>IFERROR(VLOOKUP(Tabela32[[#This Row],[Placa]],Planilha2!$A$1:$B$12,2,0),"")</f>
        <v>Arnaldo</v>
      </c>
      <c r="G641" s="10">
        <v>2390.06</v>
      </c>
      <c r="H641" s="10">
        <v>23040</v>
      </c>
      <c r="I641" s="4">
        <v>984</v>
      </c>
      <c r="J641" s="17">
        <f>IFERROR(Tabela32[[#This Row],[Valor Frete]]/Tabela32[[#This Row],[Valor Mercadoria]],"")</f>
        <v>0.10373524305555555</v>
      </c>
      <c r="K641" s="11">
        <v>0.58333333333333337</v>
      </c>
      <c r="L641" s="15">
        <v>0.73958333333333337</v>
      </c>
      <c r="M641" s="15">
        <f>Tabela32[[#This Row],[Hr Chegada]]-Tabela32[[#This Row],[Hr Saida]]</f>
        <v>0.15625</v>
      </c>
      <c r="N641" s="4">
        <v>15615</v>
      </c>
      <c r="O641" s="4">
        <v>15666</v>
      </c>
      <c r="P641" s="4">
        <f>Tabela32[[#This Row],[Km Chegada]]-Tabela32[[#This Row],[Km Saída]]</f>
        <v>51</v>
      </c>
      <c r="Q641" s="4">
        <v>80</v>
      </c>
      <c r="R641" s="4">
        <v>1</v>
      </c>
      <c r="S641" s="4">
        <v>1</v>
      </c>
      <c r="T641" s="12">
        <f>Tabela32[[#This Row],[Entregas]]-Tabela32[[#This Row],[Realizadas]]</f>
        <v>0</v>
      </c>
      <c r="U641" s="18">
        <f>Tabela32[[#This Row],[Realizadas]]/Tabela32[[#This Row],[Entregas]]</f>
        <v>1</v>
      </c>
      <c r="V641" s="19" t="str">
        <f>IF(Tabela32[[#This Row],[% Entrega]]&gt;=96%,"Atendeu a Meta","Não Atendeu a Meta")</f>
        <v>Atendeu a Meta</v>
      </c>
      <c r="W641" s="4" t="s">
        <v>39</v>
      </c>
      <c r="X641" s="4">
        <v>0</v>
      </c>
      <c r="Y641" s="5">
        <v>0</v>
      </c>
    </row>
    <row r="642" spans="1:25" x14ac:dyDescent="0.25">
      <c r="A642" s="8">
        <v>46322</v>
      </c>
      <c r="B642" s="26">
        <f>YEAR(Tabela32[[#This Row],[Data]])</f>
        <v>2026</v>
      </c>
      <c r="C642" s="26">
        <f>MONTH(Tabela32[[#This Row],[Data]])</f>
        <v>10</v>
      </c>
      <c r="D642" s="4" t="s">
        <v>25</v>
      </c>
      <c r="E642" s="4">
        <v>3</v>
      </c>
      <c r="F642" s="4" t="str">
        <f>IFERROR(VLOOKUP(Tabela32[[#This Row],[Placa]],Planilha2!$A$1:$B$12,2,0),"")</f>
        <v>Gilberto</v>
      </c>
      <c r="G642" s="10">
        <v>10413.200000000001</v>
      </c>
      <c r="H642" s="10">
        <v>214100.68</v>
      </c>
      <c r="I642" s="4">
        <v>2647</v>
      </c>
      <c r="J642" s="17">
        <f>IFERROR(Tabela32[[#This Row],[Valor Frete]]/Tabela32[[#This Row],[Valor Mercadoria]],"")</f>
        <v>4.863693099900477E-2</v>
      </c>
      <c r="K642" s="11">
        <v>0.3125</v>
      </c>
      <c r="L642" s="15">
        <v>0.76388888888888884</v>
      </c>
      <c r="M642" s="15">
        <f>Tabela32[[#This Row],[Hr Chegada]]-Tabela32[[#This Row],[Hr Saida]]</f>
        <v>0.45138888888888884</v>
      </c>
      <c r="N642" s="4">
        <v>121485</v>
      </c>
      <c r="O642" s="4">
        <v>121564</v>
      </c>
      <c r="P642" s="4">
        <f>Tabela32[[#This Row],[Km Chegada]]-Tabela32[[#This Row],[Km Saída]]</f>
        <v>79</v>
      </c>
      <c r="Q642" s="4">
        <v>343</v>
      </c>
      <c r="R642" s="4">
        <v>25</v>
      </c>
      <c r="S642" s="4">
        <v>25</v>
      </c>
      <c r="T642" s="12">
        <f>Tabela32[[#This Row],[Entregas]]-Tabela32[[#This Row],[Realizadas]]</f>
        <v>0</v>
      </c>
      <c r="U642" s="18">
        <f>Tabela32[[#This Row],[Realizadas]]/Tabela32[[#This Row],[Entregas]]</f>
        <v>1</v>
      </c>
      <c r="V642" s="19" t="str">
        <f>IF(Tabela32[[#This Row],[% Entrega]]&gt;=96%,"Atendeu a Meta","Não Atendeu a Meta")</f>
        <v>Atendeu a Meta</v>
      </c>
      <c r="W642" s="4" t="s">
        <v>39</v>
      </c>
      <c r="X642" s="4">
        <v>0</v>
      </c>
      <c r="Y642" s="5">
        <v>0</v>
      </c>
    </row>
    <row r="643" spans="1:25" x14ac:dyDescent="0.25">
      <c r="A643" s="8">
        <v>46322</v>
      </c>
      <c r="B643" s="26">
        <f>YEAR(Tabela32[[#This Row],[Data]])</f>
        <v>2026</v>
      </c>
      <c r="C643" s="26">
        <f>MONTH(Tabela32[[#This Row],[Data]])</f>
        <v>10</v>
      </c>
      <c r="D643" s="4" t="s">
        <v>31</v>
      </c>
      <c r="E643" s="4">
        <v>1</v>
      </c>
      <c r="F643" s="4" t="str">
        <f>IFERROR(VLOOKUP(Tabela32[[#This Row],[Placa]],Planilha2!$A$1:$B$12,2,0),"")</f>
        <v>Jerson</v>
      </c>
      <c r="G643" s="10">
        <v>9824.1200000000008</v>
      </c>
      <c r="H643" s="10">
        <v>163127.49</v>
      </c>
      <c r="I643" s="4">
        <v>1347</v>
      </c>
      <c r="J643" s="17">
        <f>IFERROR(Tabela32[[#This Row],[Valor Frete]]/Tabela32[[#This Row],[Valor Mercadoria]],"")</f>
        <v>6.0223571146714762E-2</v>
      </c>
      <c r="K643" s="11">
        <v>0.33333333333333331</v>
      </c>
      <c r="L643" s="15">
        <v>0.79166666666666663</v>
      </c>
      <c r="M643" s="15">
        <f>Tabela32[[#This Row],[Hr Chegada]]-Tabela32[[#This Row],[Hr Saida]]</f>
        <v>0.45833333333333331</v>
      </c>
      <c r="N643" s="4">
        <v>282648</v>
      </c>
      <c r="O643" s="4">
        <v>282706</v>
      </c>
      <c r="P643" s="4">
        <f>Tabela32[[#This Row],[Km Chegada]]-Tabela32[[#This Row],[Km Saída]]</f>
        <v>58</v>
      </c>
      <c r="Q643" s="4">
        <v>181</v>
      </c>
      <c r="R643" s="4">
        <v>34</v>
      </c>
      <c r="S643" s="4">
        <v>34</v>
      </c>
      <c r="T643" s="12">
        <f>Tabela32[[#This Row],[Entregas]]-Tabela32[[#This Row],[Realizadas]]</f>
        <v>0</v>
      </c>
      <c r="U643" s="18">
        <f>Tabela32[[#This Row],[Realizadas]]/Tabela32[[#This Row],[Entregas]]</f>
        <v>1</v>
      </c>
      <c r="V643" s="19" t="str">
        <f>IF(Tabela32[[#This Row],[% Entrega]]&gt;=96%,"Atendeu a Meta","Não Atendeu a Meta")</f>
        <v>Atendeu a Meta</v>
      </c>
      <c r="W643" s="4" t="s">
        <v>43</v>
      </c>
      <c r="X643" s="4">
        <v>0</v>
      </c>
      <c r="Y643" s="5">
        <v>0</v>
      </c>
    </row>
    <row r="644" spans="1:25" x14ac:dyDescent="0.25">
      <c r="A644" s="8">
        <v>46322</v>
      </c>
      <c r="B644" s="26">
        <f>YEAR(Tabela32[[#This Row],[Data]])</f>
        <v>2026</v>
      </c>
      <c r="C644" s="26">
        <f>MONTH(Tabela32[[#This Row],[Data]])</f>
        <v>10</v>
      </c>
      <c r="D644" s="4" t="s">
        <v>28</v>
      </c>
      <c r="E644" s="4">
        <v>11</v>
      </c>
      <c r="F644" s="4" t="str">
        <f>IFERROR(VLOOKUP(Tabela32[[#This Row],[Placa]],Planilha2!$A$1:$B$12,2,0),"")</f>
        <v>Edilson</v>
      </c>
      <c r="G644" s="10">
        <v>14113.73</v>
      </c>
      <c r="H644" s="10">
        <v>229193.83</v>
      </c>
      <c r="I644" s="4">
        <v>1769</v>
      </c>
      <c r="J644" s="17">
        <f>IFERROR(Tabela32[[#This Row],[Valor Frete]]/Tabela32[[#This Row],[Valor Mercadoria]],"")</f>
        <v>6.1579886334636499E-2</v>
      </c>
      <c r="K644" s="11">
        <v>0.27083333333333331</v>
      </c>
      <c r="L644" s="15">
        <v>0.78680555555555554</v>
      </c>
      <c r="M644" s="15">
        <f>Tabela32[[#This Row],[Hr Chegada]]-Tabela32[[#This Row],[Hr Saida]]</f>
        <v>0.51597222222222228</v>
      </c>
      <c r="N644" s="4">
        <v>108299</v>
      </c>
      <c r="O644" s="4">
        <v>108453</v>
      </c>
      <c r="P644" s="4">
        <f>Tabela32[[#This Row],[Km Chegada]]-Tabela32[[#This Row],[Km Saída]]</f>
        <v>154</v>
      </c>
      <c r="Q644" s="4">
        <v>237</v>
      </c>
      <c r="R644" s="4">
        <v>42</v>
      </c>
      <c r="S644" s="4">
        <v>42</v>
      </c>
      <c r="T644" s="12">
        <f>Tabela32[[#This Row],[Entregas]]-Tabela32[[#This Row],[Realizadas]]</f>
        <v>0</v>
      </c>
      <c r="U644" s="18">
        <f>Tabela32[[#This Row],[Realizadas]]/Tabela32[[#This Row],[Entregas]]</f>
        <v>1</v>
      </c>
      <c r="V644" s="19" t="str">
        <f>IF(Tabela32[[#This Row],[% Entrega]]&gt;=96%,"Atendeu a Meta","Não Atendeu a Meta")</f>
        <v>Atendeu a Meta</v>
      </c>
      <c r="W644" s="4" t="s">
        <v>41</v>
      </c>
      <c r="X644" s="4">
        <v>0</v>
      </c>
      <c r="Y644" s="5">
        <v>0</v>
      </c>
    </row>
    <row r="645" spans="1:25" x14ac:dyDescent="0.25">
      <c r="A645" s="8">
        <v>46322</v>
      </c>
      <c r="B645" s="26">
        <f>YEAR(Tabela32[[#This Row],[Data]])</f>
        <v>2026</v>
      </c>
      <c r="C645" s="26">
        <f>MONTH(Tabela32[[#This Row],[Data]])</f>
        <v>10</v>
      </c>
      <c r="D645" s="4" t="s">
        <v>22</v>
      </c>
      <c r="E645" s="4">
        <v>4</v>
      </c>
      <c r="F645" s="4" t="str">
        <f>IFERROR(VLOOKUP(Tabela32[[#This Row],[Placa]],Planilha2!$A$1:$B$12,2,0),"")</f>
        <v>Juscelino</v>
      </c>
      <c r="G645" s="10">
        <v>8562.48</v>
      </c>
      <c r="H645" s="10">
        <v>202731.11</v>
      </c>
      <c r="I645" s="4">
        <v>1825</v>
      </c>
      <c r="J645" s="17">
        <f>IFERROR(Tabela32[[#This Row],[Valor Frete]]/Tabela32[[#This Row],[Valor Mercadoria]],"")</f>
        <v>4.2235648983523055E-2</v>
      </c>
      <c r="K645" s="11">
        <v>0.3125</v>
      </c>
      <c r="L645" s="15">
        <v>0.82777777777777772</v>
      </c>
      <c r="M645" s="15">
        <f>Tabela32[[#This Row],[Hr Chegada]]-Tabela32[[#This Row],[Hr Saida]]</f>
        <v>0.51527777777777772</v>
      </c>
      <c r="N645" s="4">
        <v>307058</v>
      </c>
      <c r="O645" s="4">
        <v>307117</v>
      </c>
      <c r="P645" s="4">
        <f>Tabela32[[#This Row],[Km Chegada]]-Tabela32[[#This Row],[Km Saída]]</f>
        <v>59</v>
      </c>
      <c r="Q645" s="4">
        <v>315</v>
      </c>
      <c r="R645" s="4">
        <v>37</v>
      </c>
      <c r="S645" s="4">
        <v>37</v>
      </c>
      <c r="T645" s="12">
        <f>Tabela32[[#This Row],[Entregas]]-Tabela32[[#This Row],[Realizadas]]</f>
        <v>0</v>
      </c>
      <c r="U645" s="18">
        <f>Tabela32[[#This Row],[Realizadas]]/Tabela32[[#This Row],[Entregas]]</f>
        <v>1</v>
      </c>
      <c r="V645" s="19" t="str">
        <f>IF(Tabela32[[#This Row],[% Entrega]]&gt;=96%,"Atendeu a Meta","Não Atendeu a Meta")</f>
        <v>Atendeu a Meta</v>
      </c>
      <c r="W645" s="4" t="s">
        <v>39</v>
      </c>
      <c r="X645" s="4">
        <v>0</v>
      </c>
      <c r="Y645" s="5">
        <v>38</v>
      </c>
    </row>
    <row r="646" spans="1:25" x14ac:dyDescent="0.25">
      <c r="A646" s="8">
        <v>46322</v>
      </c>
      <c r="B646" s="26">
        <f>YEAR(Tabela32[[#This Row],[Data]])</f>
        <v>2026</v>
      </c>
      <c r="C646" s="26">
        <f>MONTH(Tabela32[[#This Row],[Data]])</f>
        <v>10</v>
      </c>
      <c r="D646" s="4" t="s">
        <v>33</v>
      </c>
      <c r="E646" s="4">
        <v>1</v>
      </c>
      <c r="F646" s="4" t="str">
        <f>IFERROR(VLOOKUP(Tabela32[[#This Row],[Placa]],Planilha2!$A$1:$B$12,2,0),"")</f>
        <v>Paulo</v>
      </c>
      <c r="G646" s="10">
        <v>1353.73</v>
      </c>
      <c r="H646" s="10">
        <v>21938.67</v>
      </c>
      <c r="I646" s="4">
        <v>142</v>
      </c>
      <c r="J646" s="17">
        <f>IFERROR(Tabela32[[#This Row],[Valor Frete]]/Tabela32[[#This Row],[Valor Mercadoria]],"")</f>
        <v>6.1705199084538857E-2</v>
      </c>
      <c r="K646" s="11">
        <v>0.29166666666666669</v>
      </c>
      <c r="L646" s="15">
        <v>0.72152777777777777</v>
      </c>
      <c r="M646" s="15">
        <f>Tabela32[[#This Row],[Hr Chegada]]-Tabela32[[#This Row],[Hr Saida]]</f>
        <v>0.42986111111111108</v>
      </c>
      <c r="N646" s="4">
        <v>158249</v>
      </c>
      <c r="O646" s="4">
        <v>158289</v>
      </c>
      <c r="P646" s="4">
        <f>Tabela32[[#This Row],[Km Chegada]]-Tabela32[[#This Row],[Km Saída]]</f>
        <v>40</v>
      </c>
      <c r="Q646" s="4">
        <v>45</v>
      </c>
      <c r="R646" s="4">
        <v>3</v>
      </c>
      <c r="S646" s="4">
        <v>3</v>
      </c>
      <c r="T646" s="12">
        <f>Tabela32[[#This Row],[Entregas]]-Tabela32[[#This Row],[Realizadas]]</f>
        <v>0</v>
      </c>
      <c r="U646" s="18">
        <f>Tabela32[[#This Row],[Realizadas]]/Tabela32[[#This Row],[Entregas]]</f>
        <v>1</v>
      </c>
      <c r="V646" s="19" t="str">
        <f>IF(Tabela32[[#This Row],[% Entrega]]&gt;=96%,"Atendeu a Meta","Não Atendeu a Meta")</f>
        <v>Atendeu a Meta</v>
      </c>
      <c r="W646" s="4" t="s">
        <v>40</v>
      </c>
      <c r="X646" s="4">
        <v>0</v>
      </c>
      <c r="Y646" s="5">
        <v>0</v>
      </c>
    </row>
    <row r="647" spans="1:25" x14ac:dyDescent="0.25">
      <c r="A647" s="8">
        <v>46322</v>
      </c>
      <c r="B647" s="26">
        <f>YEAR(Tabela32[[#This Row],[Data]])</f>
        <v>2026</v>
      </c>
      <c r="C647" s="26">
        <f>MONTH(Tabela32[[#This Row],[Data]])</f>
        <v>10</v>
      </c>
      <c r="D647" s="4" t="s">
        <v>29</v>
      </c>
      <c r="E647" s="4">
        <v>1</v>
      </c>
      <c r="F647" s="4" t="str">
        <f>IFERROR(VLOOKUP(Tabela32[[#This Row],[Placa]],Planilha2!$A$1:$B$12,2,0),"")</f>
        <v>Sandro</v>
      </c>
      <c r="G647" s="10">
        <v>11285.72</v>
      </c>
      <c r="H647" s="10">
        <v>207756.97</v>
      </c>
      <c r="I647" s="4">
        <v>2161</v>
      </c>
      <c r="J647" s="17">
        <f>IFERROR(Tabela32[[#This Row],[Valor Frete]]/Tabela32[[#This Row],[Valor Mercadoria]],"")</f>
        <v>5.432173948243469E-2</v>
      </c>
      <c r="K647" s="11">
        <v>0.33333333333333331</v>
      </c>
      <c r="L647" s="15">
        <v>0.78819444444444442</v>
      </c>
      <c r="M647" s="15">
        <f>Tabela32[[#This Row],[Hr Chegada]]-Tabela32[[#This Row],[Hr Saida]]</f>
        <v>0.4548611111111111</v>
      </c>
      <c r="N647" s="4">
        <v>277599</v>
      </c>
      <c r="O647" s="4">
        <v>277783</v>
      </c>
      <c r="P647" s="4">
        <f>Tabela32[[#This Row],[Km Chegada]]-Tabela32[[#This Row],[Km Saída]]</f>
        <v>184</v>
      </c>
      <c r="Q647" s="4">
        <v>209</v>
      </c>
      <c r="R647" s="4">
        <v>29</v>
      </c>
      <c r="S647" s="4">
        <v>29</v>
      </c>
      <c r="T647" s="12">
        <f>Tabela32[[#This Row],[Entregas]]-Tabela32[[#This Row],[Realizadas]]</f>
        <v>0</v>
      </c>
      <c r="U647" s="18">
        <f>Tabela32[[#This Row],[Realizadas]]/Tabela32[[#This Row],[Entregas]]</f>
        <v>1</v>
      </c>
      <c r="V647" s="19" t="str">
        <f>IF(Tabela32[[#This Row],[% Entrega]]&gt;=96%,"Atendeu a Meta","Não Atendeu a Meta")</f>
        <v>Atendeu a Meta</v>
      </c>
      <c r="W647" s="4" t="s">
        <v>90</v>
      </c>
      <c r="X647" s="4">
        <v>0</v>
      </c>
      <c r="Y647" s="5">
        <v>38</v>
      </c>
    </row>
    <row r="648" spans="1:25" x14ac:dyDescent="0.25">
      <c r="A648" s="8">
        <v>46322</v>
      </c>
      <c r="B648" s="26">
        <f>YEAR(Tabela32[[#This Row],[Data]])</f>
        <v>2026</v>
      </c>
      <c r="C648" s="26">
        <f>MONTH(Tabela32[[#This Row],[Data]])</f>
        <v>10</v>
      </c>
      <c r="D648" s="4" t="s">
        <v>23</v>
      </c>
      <c r="E648" s="4">
        <v>1</v>
      </c>
      <c r="F648" s="4" t="str">
        <f>IFERROR(VLOOKUP(Tabela32[[#This Row],[Placa]],Planilha2!$A$1:$B$12,2,0),"")</f>
        <v>William</v>
      </c>
      <c r="G648" s="10">
        <v>10350.280000000001</v>
      </c>
      <c r="H648" s="10">
        <v>361730.72</v>
      </c>
      <c r="I648" s="4">
        <v>2328</v>
      </c>
      <c r="J648" s="17">
        <f>IFERROR(Tabela32[[#This Row],[Valor Frete]]/Tabela32[[#This Row],[Valor Mercadoria]],"")</f>
        <v>2.8613218141937187E-2</v>
      </c>
      <c r="K648" s="11">
        <v>0.29166666666666669</v>
      </c>
      <c r="L648" s="15">
        <v>0.74652777777777779</v>
      </c>
      <c r="M648" s="15">
        <f>Tabela32[[#This Row],[Hr Chegada]]-Tabela32[[#This Row],[Hr Saida]]</f>
        <v>0.4548611111111111</v>
      </c>
      <c r="N648" s="4">
        <v>127589</v>
      </c>
      <c r="O648" s="4">
        <v>127634</v>
      </c>
      <c r="P648" s="4">
        <f>Tabela32[[#This Row],[Km Chegada]]-Tabela32[[#This Row],[Km Saída]]</f>
        <v>45</v>
      </c>
      <c r="Q648" s="4">
        <v>4</v>
      </c>
      <c r="R648" s="4">
        <v>1</v>
      </c>
      <c r="S648" s="4">
        <v>1</v>
      </c>
      <c r="T648" s="12">
        <f>Tabela32[[#This Row],[Entregas]]-Tabela32[[#This Row],[Realizadas]]</f>
        <v>0</v>
      </c>
      <c r="U648" s="18">
        <f>Tabela32[[#This Row],[Realizadas]]/Tabela32[[#This Row],[Entregas]]</f>
        <v>1</v>
      </c>
      <c r="V648" s="19" t="str">
        <f>IF(Tabela32[[#This Row],[% Entrega]]&gt;=96%,"Atendeu a Meta","Não Atendeu a Meta")</f>
        <v>Atendeu a Meta</v>
      </c>
      <c r="W648" s="4" t="s">
        <v>40</v>
      </c>
      <c r="X648" s="4">
        <v>0</v>
      </c>
      <c r="Y648" s="5">
        <v>0</v>
      </c>
    </row>
  </sheetData>
  <conditionalFormatting sqref="J2:J648">
    <cfRule type="cellIs" dxfId="76" priority="1" operator="lessThan">
      <formula>0.05</formula>
    </cfRule>
    <cfRule type="cellIs" dxfId="75" priority="2" operator="greaterThanOrEqual">
      <formula>0.05</formula>
    </cfRule>
  </conditionalFormatting>
  <conditionalFormatting sqref="U2:U648">
    <cfRule type="cellIs" dxfId="74" priority="7" stopIfTrue="1" operator="lessThanOrEqual">
      <formula>0.949</formula>
    </cfRule>
    <cfRule type="cellIs" dxfId="73" priority="8" stopIfTrue="1" operator="greaterThanOrEqual">
      <formula>0.9</formula>
    </cfRule>
    <cfRule type="cellIs" dxfId="72" priority="9" stopIfTrue="1" operator="greaterThanOrEqual">
      <formula>90</formula>
    </cfRule>
    <cfRule type="cellIs" dxfId="71" priority="10" stopIfTrue="1" operator="lessThan">
      <formula>0</formula>
    </cfRule>
    <cfRule type="cellIs" dxfId="70" priority="11" stopIfTrue="1" operator="lessThan">
      <formula>1</formula>
    </cfRule>
    <cfRule type="cellIs" dxfId="69" priority="12" stopIfTrue="1" operator="greaterThan">
      <formula>100</formula>
    </cfRule>
    <cfRule type="cellIs" dxfId="68" priority="13" stopIfTrue="1" operator="greaterThan">
      <formula>1</formula>
    </cfRule>
  </conditionalFormatting>
  <conditionalFormatting sqref="V2:V648">
    <cfRule type="expression" dxfId="67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66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D2:D648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2026-10-28T12:58:45Z</dcterms:modified>
</cp:coreProperties>
</file>