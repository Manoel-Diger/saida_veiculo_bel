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F35E3A36-029A-4526-8687-E4811A365637}" xr6:coauthVersionLast="47" xr6:coauthVersionMax="47" xr10:uidLastSave="{00000000-0000-0000-0000-000000000000}"/>
  <bookViews>
    <workbookView xWindow="-120" yWindow="-120" windowWidth="20730" windowHeight="11160" activeTab="1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3" l="1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<sst xmlns="http://schemas.openxmlformats.org/spreadsheetml/2006/main" count="832" uniqueCount="84">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</sst>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15" totalsRowShown="0" headerRowDxfId="144" dataDxfId="142" headerRowBorderDxfId="143" tableBorderDxfId="141" totalsRowBorderDxfId="140" headerRowCellStyle="Normal 2 2 2">
  <autoFilter ref="A1:V15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354" totalsRowShown="0" headerRowDxfId="51" dataDxfId="50" headerRowBorderDxfId="48" tableBorderDxfId="49" totalsRowBorderDxfId="47">
  <tableColumns count="25">
    <tableColumn id="1" xr3:uid="{B118DAB0-A500-46F5-A61D-A15BA1838F69}" name="Data" dataDxfId="46"/>
    <tableColumn id="25" xr3:uid="{DAA903FE-736A-4CBF-95D8-B9E859203B97}" name="Ano" dataDxfId="45">
      <calculatedColumnFormula>YEAR(Tabela32[[#This Row],[Data]])</calculatedColumnFormula>
    </tableColumn>
    <tableColumn id="5" xr3:uid="{90D6CF8C-ACE3-46EA-828E-BB258996DD8F}" name="Mês" dataDxfId="44">
      <calculatedColumnFormula>MONTH(Tabela32[[#This Row],[Data]])</calculatedColumnFormula>
    </tableColumn>
    <tableColumn id="2" xr3:uid="{9E2D603E-103D-4F88-A5C8-5E9A03E2A3EE}" name="Placa" dataDxfId="43"/>
    <tableColumn id="3" xr3:uid="{7935B67B-4456-42E7-8B2D-EAF1D5C1B4F9}" name="Rota" dataDxfId="42"/>
    <tableColumn id="4" xr3:uid="{74C94A9C-B298-4701-847E-59C66BC8BBC2}" name="Motorista" dataDxfId="41">
      <calculatedColumnFormula>IFERROR(VLOOKUP(Tabela32[[#This Row],[Placa]],Planilha2!$A$1:$B$12,2,0),"")</calculatedColumnFormula>
    </tableColumn>
    <tableColumn id="6" xr3:uid="{694C94D7-8F01-480E-AA0C-B9B0FA8D2345}" name="Valor Frete" dataDxfId="40" dataCellStyle="Moeda"/>
    <tableColumn id="7" xr3:uid="{7D623530-7EED-4526-B289-B392FA2EF883}" name="Valor Mercadoria" dataDxfId="39" dataCellStyle="Moeda"/>
    <tableColumn id="8" xr3:uid="{3D927A69-B557-47A5-A269-05DEBEF85C73}" name="Peso" dataDxfId="38"/>
    <tableColumn id="9" xr3:uid="{69BC588C-6D01-4257-B2D9-CF2D843D1C40}" name="% Frete" dataDxfId="37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36"/>
    <tableColumn id="11" xr3:uid="{3B907CC4-B262-4107-87FF-1E75280AC1BF}" name="Hr Chegada" dataDxfId="35"/>
    <tableColumn id="12" xr3:uid="{ED725939-179A-4D21-873C-15774DD68F53}" name="Tempo" dataDxfId="34">
      <calculatedColumnFormula>Tabela32[[#This Row],[Hr Chegada]]-Tabela32[[#This Row],[Hr Saida]]</calculatedColumnFormula>
    </tableColumn>
    <tableColumn id="13" xr3:uid="{74EA350D-6976-4E2D-A058-0785043C5735}" name="Km Saída" dataDxfId="33"/>
    <tableColumn id="14" xr3:uid="{496AFEAD-5BFE-466C-B0AF-20375AAEECFC}" name="Km Chegada" dataDxfId="32"/>
    <tableColumn id="15" xr3:uid="{AB2841F1-639E-4525-98D9-0FAED04E102B}" name="Km/Dia" dataDxfId="31">
      <calculatedColumnFormula>Tabela32[[#This Row],[Km Chegada]]-Tabela32[[#This Row],[Km Saída]]</calculatedColumnFormula>
    </tableColumn>
    <tableColumn id="16" xr3:uid="{D83FBC01-4652-43E1-B278-CE34A958D106}" name="Vols" dataDxfId="30"/>
    <tableColumn id="17" xr3:uid="{CA7BF05C-1770-40EE-89A9-C80AA88EFC06}" name="Entregas" dataDxfId="29"/>
    <tableColumn id="18" xr3:uid="{037F6348-AFD4-431D-99B0-8147EA9E213B}" name="Realizadas" dataDxfId="28"/>
    <tableColumn id="19" xr3:uid="{196A1910-314C-450C-B67A-E51295FA6A18}" name=" Retornadas" dataDxfId="27">
      <calculatedColumnFormula>Tabela32[[#This Row],[Entregas]]-Tabela32[[#This Row],[Realizadas]]</calculatedColumnFormula>
    </tableColumn>
    <tableColumn id="20" xr3:uid="{F0BBC004-BAAB-43E2-A50E-1DD3FAEFD5F0}" name="% Entrega" dataDxfId="26" dataCellStyle="Moeda">
      <calculatedColumnFormula>Tabela32[[#This Row],[Realizadas]]/Tabela32[[#This Row],[Entregas]]</calculatedColumnFormula>
    </tableColumn>
    <tableColumn id="21" xr3:uid="{BB53A276-7721-4934-9C42-DB7E1D2740B3}" name="Meta" dataDxfId="25">
      <calculatedColumnFormula>IF(Tabela32[[#This Row],[% Entrega]]&gt;=96%,"Atendeu a Meta","Não Atendeu a Meta")</calculatedColumnFormula>
    </tableColumn>
    <tableColumn id="22" xr3:uid="{CE1DD687-26CA-4D2F-BCFC-661EB14CAD0F}" name="Cidade Destino" dataDxfId="24"/>
    <tableColumn id="23" xr3:uid="{F8FFD74E-1FF0-45CC-9EA9-8E8EA807957C}" name="Nfs Voltaram" dataDxfId="23"/>
    <tableColumn id="24" xr3:uid="{2EC98F08-AFB3-40A3-B3CE-1C9A788E39CD}" name="Ocorrência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11" sqref="B11"/>
    </sheetView>
  </sheetViews>
  <sheetFormatPr defaultRowHeight="15" x14ac:dyDescent="0.25"/>
  <sheetData>
    <row r="1" spans="1:2" x14ac:dyDescent="0.25">
      <c r="A1" t="s">
        <v>22</v>
      </c>
      <c r="B1" t="s">
        <v>55</v>
      </c>
    </row>
    <row r="2" spans="1:2" x14ac:dyDescent="0.25">
      <c r="A2" t="s">
        <v>23</v>
      </c>
      <c r="B2" t="s">
        <v>78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62</v>
      </c>
    </row>
    <row r="5" spans="1:2" x14ac:dyDescent="0.25">
      <c r="A5" t="s">
        <v>28</v>
      </c>
      <c r="B5" t="s">
        <v>56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81</v>
      </c>
    </row>
    <row r="11" spans="1:2" x14ac:dyDescent="0.25">
      <c r="A11" t="s">
        <v>37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15"/>
  <sheetViews>
    <sheetView showGridLines="0" tabSelected="1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N15" sqref="N15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57</v>
      </c>
      <c r="C3" s="4"/>
      <c r="D3" s="4" t="s">
        <v>58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65</v>
      </c>
      <c r="C8" s="4"/>
      <c r="D8" s="4" t="s">
        <v>66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57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57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27">
        <v>6994.8</v>
      </c>
      <c r="F15" s="27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</sheetData>
  <conditionalFormatting sqref="H2:H15">
    <cfRule type="cellIs" dxfId="117" priority="1" operator="lessThan">
      <formula>0.05</formula>
    </cfRule>
    <cfRule type="cellIs" dxfId="116" priority="2" operator="greaterThanOrEqual">
      <formula>0.05</formula>
    </cfRule>
  </conditionalFormatting>
  <conditionalFormatting sqref="R2:R15">
    <cfRule type="cellIs" dxfId="115" priority="7" stopIfTrue="1" operator="lessThanOrEqual">
      <formula>0.949</formula>
    </cfRule>
    <cfRule type="cellIs" dxfId="114" priority="8" stopIfTrue="1" operator="greaterThanOrEqual">
      <formula>0.9</formula>
    </cfRule>
    <cfRule type="cellIs" dxfId="113" priority="9" stopIfTrue="1" operator="greaterThanOrEqual">
      <formula>90</formula>
    </cfRule>
    <cfRule type="cellIs" dxfId="112" priority="10" stopIfTrue="1" operator="lessThan">
      <formula>0</formula>
    </cfRule>
    <cfRule type="cellIs" dxfId="111" priority="11" stopIfTrue="1" operator="lessThan">
      <formula>1</formula>
    </cfRule>
    <cfRule type="cellIs" dxfId="110" priority="12" stopIfTrue="1" operator="greaterThan">
      <formula>100</formula>
    </cfRule>
    <cfRule type="cellIs" dxfId="109" priority="13" stopIfTrue="1" operator="greaterThan">
      <formula>1</formula>
    </cfRule>
  </conditionalFormatting>
  <conditionalFormatting sqref="S2:S15">
    <cfRule type="expression" dxfId="10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0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354"/>
  <sheetViews>
    <sheetView showGridLines="0" workbookViewId="0">
      <pane xSplit="10" ySplit="1" topLeftCell="W327" activePane="bottomRight" state="frozen"/>
      <selection pane="topRight" activeCell="I1" sqref="I1"/>
      <selection pane="bottomLeft" activeCell="A2" sqref="A2"/>
      <selection pane="bottomRight" activeCell="Y354" sqref="Y354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73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59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60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61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69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69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63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63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64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68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69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68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67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63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70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71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72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63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64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64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74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63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75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76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77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>Manoel</v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79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Wesley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Wesley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80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Wesley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Wesley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69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Wesley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Wesley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>Manoel</v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82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26">
        <f>YEAR(Tabela32[[#This Row],[Data]])</f>
        <v>2026</v>
      </c>
      <c r="C344" s="2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>Manoel</v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26">
        <f>YEAR(Tabela32[[#This Row],[Data]])</f>
        <v>2026</v>
      </c>
      <c r="C345" s="2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64</v>
      </c>
      <c r="X345" s="4">
        <v>0</v>
      </c>
      <c r="Y345" s="5">
        <v>0</v>
      </c>
    </row>
    <row r="346" spans="1:25" x14ac:dyDescent="0.25">
      <c r="A346" s="8">
        <v>46283</v>
      </c>
      <c r="B346" s="26">
        <f>YEAR(Tabela32[[#This Row],[Data]])</f>
        <v>2026</v>
      </c>
      <c r="C346" s="2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26">
        <f>YEAR(Tabela32[[#This Row],[Data]])</f>
        <v>2026</v>
      </c>
      <c r="C347" s="2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26">
        <f>YEAR(Tabela32[[#This Row],[Data]])</f>
        <v>2026</v>
      </c>
      <c r="C348" s="2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26">
        <f>YEAR(Tabela32[[#This Row],[Data]])</f>
        <v>2026</v>
      </c>
      <c r="C349" s="2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26">
        <f>YEAR(Tabela32[[#This Row],[Data]])</f>
        <v>2026</v>
      </c>
      <c r="C350" s="2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26">
        <f>YEAR(Tabela32[[#This Row],[Data]])</f>
        <v>2026</v>
      </c>
      <c r="C351" s="2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26">
        <f>YEAR(Tabela32[[#This Row],[Data]])</f>
        <v>2026</v>
      </c>
      <c r="C352" s="2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26">
        <f>YEAR(Tabela32[[#This Row],[Data]])</f>
        <v>2026</v>
      </c>
      <c r="C353" s="2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Wesley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26">
        <f>YEAR(Tabela32[[#This Row],[Data]])</f>
        <v>2026</v>
      </c>
      <c r="C354" s="2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83</v>
      </c>
    </row>
  </sheetData>
  <conditionalFormatting sqref="J2:J354">
    <cfRule type="cellIs" dxfId="21" priority="1" operator="lessThan">
      <formula>0.05</formula>
    </cfRule>
    <cfRule type="cellIs" dxfId="20" priority="2" operator="greaterThanOrEqual">
      <formula>0.05</formula>
    </cfRule>
  </conditionalFormatting>
  <conditionalFormatting sqref="U2:U354">
    <cfRule type="cellIs" dxfId="19" priority="7" stopIfTrue="1" operator="lessThanOrEqual">
      <formula>0.949</formula>
    </cfRule>
    <cfRule type="cellIs" dxfId="18" priority="8" stopIfTrue="1" operator="greaterThanOrEqual">
      <formula>0.9</formula>
    </cfRule>
    <cfRule type="cellIs" dxfId="17" priority="9" stopIfTrue="1" operator="greaterThanOrEqual">
      <formula>90</formula>
    </cfRule>
    <cfRule type="cellIs" dxfId="16" priority="10" stopIfTrue="1" operator="lessThan">
      <formula>0</formula>
    </cfRule>
    <cfRule type="cellIs" dxfId="15" priority="11" stopIfTrue="1" operator="lessThan">
      <formula>1</formula>
    </cfRule>
    <cfRule type="cellIs" dxfId="14" priority="12" stopIfTrue="1" operator="greaterThan">
      <formula>100</formula>
    </cfRule>
    <cfRule type="cellIs" dxfId="13" priority="13" stopIfTrue="1" operator="greaterThan">
      <formula>1</formula>
    </cfRule>
  </conditionalFormatting>
  <conditionalFormatting sqref="V2:V354">
    <cfRule type="expression" dxfId="12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11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D2:D354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2026-09-21T17:46:22Z</dcterms:modified>
</cp:coreProperties>
</file>