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D384658A-289E-4275-A46F-9E758CBAB810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4" i="4" l="1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/>
  <c r="C111" i="4"/>
  <c r="B111" i="4"/>
  <c r="F111" i="4"/>
  <c r="J111" i="4"/>
  <c r="P111" i="4"/>
  <c r="T111" i="4"/>
  <c r="U111" i="4"/>
  <c r="V111" i="4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<sst xmlns="http://schemas.openxmlformats.org/spreadsheetml/2006/main" count="317" uniqueCount="66">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</sst>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2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NumberFormat="1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23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7" totalsRowShown="0" headerRowDxfId="122" dataDxfId="120" headerRowBorderDxfId="121" tableBorderDxfId="119" totalsRowBorderDxfId="118" headerRowCellStyle="Normal 2 2 2">
  <autoFilter ref="A1:V7" xr:uid="{DCE91C63-7150-4B05-9681-4C03C82B532C}"/>
  <tableColumns count="22">
    <tableColumn id="1" xr3:uid="{26A85748-1AED-4A71-96D3-23AF97AC5D2B}" name="Data" dataDxfId="117"/>
    <tableColumn id="25" xr3:uid="{D413966D-CDFC-4875-A3AE-6AE9D849E75F}" name="Placa" dataDxfId="116"/>
    <tableColumn id="3" xr3:uid="{D30CA2C3-D31F-4082-8392-1A98EB60EDD3}" name="Carreta" dataDxfId="115"/>
    <tableColumn id="4" xr3:uid="{758E5D51-7D49-4A69-8227-C9CE8E4A907A}" name="Motorista" dataDxfId="114"/>
    <tableColumn id="6" xr3:uid="{842361EA-39E1-4EF7-90A4-9BDC9C0966DF}" name="Valor Frete" dataDxfId="113" dataCellStyle="Moeda"/>
    <tableColumn id="7" xr3:uid="{D4C1D57F-C6B7-49EE-9F7B-47EBA6030041}" name="Valor Mercadoria" dataDxfId="112" dataCellStyle="Moeda"/>
    <tableColumn id="8" xr3:uid="{C79AB3D8-0BFF-4FFE-B20B-E81367BFEEFC}" name="Peso" dataDxfId="111"/>
    <tableColumn id="9" xr3:uid="{7D4ACBB5-8F17-463A-A61F-84A8EFF41604}" name="% Frete" dataDxfId="110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09"/>
    <tableColumn id="11" xr3:uid="{DC726A91-384E-47C4-A94A-9095E8138925}" name="Hr Chegada" dataDxfId="108"/>
    <tableColumn id="12" xr3:uid="{9A37D38C-D321-47A3-881E-B95F03E5DB0D}" name="Tempo" dataDxfId="107">
      <calculatedColumnFormula>Tabela35[[#This Row],[Hr Chegada]]-Tabela35[[#This Row],[Hr Saida]]</calculatedColumnFormula>
    </tableColumn>
    <tableColumn id="13" xr3:uid="{E5643091-5008-4800-BF73-88DFC566FBE9}" name="Frete" dataDxfId="106" dataCellStyle="Moeda"/>
    <tableColumn id="14" xr3:uid="{5E8F8636-0E97-4E52-8561-725D1AD8BAF1}" name="% Frete T" dataDxfId="105" dataCellStyle="Porcentagem">
      <calculatedColumnFormula>Tabela35[[#This Row],[Frete]]/Tabela35[[#This Row],[Valor Frete]]</calculatedColumnFormula>
    </tableColumn>
    <tableColumn id="16" xr3:uid="{F64AFFB0-A5D7-49FD-8B66-BD3FBD830A8C}" name="Vols" dataDxfId="104"/>
    <tableColumn id="17" xr3:uid="{36B8097A-82AA-4880-AA26-8A84D3BFDAE9}" name="Qtde Entregas" dataDxfId="103"/>
    <tableColumn id="18" xr3:uid="{8BF06732-0C91-4852-86A9-342D98B30169}" name="Entregas Realizadas" dataDxfId="102"/>
    <tableColumn id="19" xr3:uid="{20BD31A4-57AA-4F11-A73A-2B181C01798B}" name=" Retornadas" dataDxfId="101">
      <calculatedColumnFormula>Tabela35[[#This Row],[Qtde Entregas]]-Tabela35[[#This Row],[Entregas Realizadas]]</calculatedColumnFormula>
    </tableColumn>
    <tableColumn id="20" xr3:uid="{F3EDF45C-B4E9-4FE6-A74A-C49CA0273F75}" name="% Entrega" dataDxfId="100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99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98"/>
    <tableColumn id="23" xr3:uid="{D7BA1AAD-39A7-4F74-8E2B-3DAD30E78669}" name="Nfs Voltaram" dataDxfId="97"/>
    <tableColumn id="24" xr3:uid="{3938B063-E851-4B1A-B457-042DD7442897}" name="Código ocorrência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14" totalsRowShown="0" headerRowDxfId="40" dataDxfId="39" headerRowBorderDxfId="37" tableBorderDxfId="38" totalsRowBorderDxfId="36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Carre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/>
    <tableColumn id="7" xr3:uid="{7D623530-7EED-4526-B289-B392FA2EF883}" name="Valor Mercadoria" dataDxfId="28"/>
    <tableColumn id="8" xr3:uid="{3D927A69-B557-47A5-A269-05DEBEF85C73}" name="Peso" dataDxfId="27"/>
    <tableColumn id="9" xr3:uid="{69BC588C-6D01-4257-B2D9-CF2D843D1C40}" name="% Frete" dataDxfId="26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">
      <calculatedColumnFormula>Tabela32[[#This Row],[Realizadas]]/Tabela32[[#This Row],[Entregas]]</calculatedColumnFormula>
    </tableColumn>
    <tableColumn id="21" xr3:uid="{BB53A276-7721-4934-9C42-DB7E1D2740B3}" name="Meta" dataDxfId="14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7"/>
  <sheetViews>
    <sheetView showGridLines="0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C13" sqref="C13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</sheetData>
  <conditionalFormatting sqref="H2:H7">
    <cfRule type="cellIs" dxfId="95" priority="1" operator="lessThan">
      <formula>0.05</formula>
    </cfRule>
    <cfRule type="cellIs" dxfId="94" priority="2" operator="greaterThanOrEqual">
      <formula>0.05</formula>
    </cfRule>
  </conditionalFormatting>
  <conditionalFormatting sqref="R2:R7">
    <cfRule type="cellIs" dxfId="93" priority="7" stopIfTrue="1" operator="lessThanOrEqual">
      <formula>0.949</formula>
    </cfRule>
    <cfRule type="cellIs" dxfId="92" priority="8" stopIfTrue="1" operator="greaterThanOrEqual">
      <formula>0.9</formula>
    </cfRule>
    <cfRule type="cellIs" dxfId="91" priority="9" stopIfTrue="1" operator="greaterThanOrEqual">
      <formula>90</formula>
    </cfRule>
    <cfRule type="cellIs" dxfId="90" priority="10" stopIfTrue="1" operator="lessThan">
      <formula>0</formula>
    </cfRule>
    <cfRule type="cellIs" dxfId="89" priority="11" stopIfTrue="1" operator="lessThan">
      <formula>1</formula>
    </cfRule>
    <cfRule type="cellIs" dxfId="88" priority="12" stopIfTrue="1" operator="greaterThan">
      <formula>100</formula>
    </cfRule>
    <cfRule type="cellIs" dxfId="87" priority="13" stopIfTrue="1" operator="greaterThan">
      <formula>1</formula>
    </cfRule>
  </conditionalFormatting>
  <conditionalFormatting sqref="S2:S7">
    <cfRule type="expression" dxfId="86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85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14"/>
  <sheetViews>
    <sheetView showGridLines="0" tabSelected="1" workbookViewId="0">
      <pane xSplit="10" ySplit="1" topLeftCell="V87" activePane="bottomRight" state="frozen"/>
      <selection pane="topRight" activeCell="I1" sqref="I1"/>
      <selection pane="bottomLeft" activeCell="A2" sqref="A2"/>
      <selection pane="bottomRight" activeCell="Y114" sqref="Y11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7">
        <f>YEAR(Tabela32[[#This Row],[Data]])</f>
        <v>2026</v>
      </c>
      <c r="C106" s="17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8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9">
        <f>Tabela32[[#This Row],[Realizadas]]/Tabela32[[#This Row],[Entregas]]</f>
        <v>1</v>
      </c>
      <c r="V106" s="20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7">
        <f>YEAR(Tabela32[[#This Row],[Data]])</f>
        <v>2026</v>
      </c>
      <c r="C107" s="17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8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9">
        <f>Tabela32[[#This Row],[Realizadas]]/Tabela32[[#This Row],[Entregas]]</f>
        <v>1</v>
      </c>
      <c r="V107" s="20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7">
        <f>YEAR(Tabela32[[#This Row],[Data]])</f>
        <v>2026</v>
      </c>
      <c r="C108" s="17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8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9">
        <f>Tabela32[[#This Row],[Realizadas]]/Tabela32[[#This Row],[Entregas]]</f>
        <v>1</v>
      </c>
      <c r="V108" s="20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7">
        <f>YEAR(Tabela32[[#This Row],[Data]])</f>
        <v>2026</v>
      </c>
      <c r="C109" s="17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1">
        <v>6107.34</v>
      </c>
      <c r="H109" s="21">
        <v>220201.19</v>
      </c>
      <c r="I109" s="4">
        <v>619</v>
      </c>
      <c r="J109" s="18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9">
        <f>Tabela32[[#This Row],[Realizadas]]/Tabela32[[#This Row],[Entregas]]</f>
        <v>1</v>
      </c>
      <c r="V109" s="20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7">
        <f>YEAR(Tabela32[[#This Row],[Data]])</f>
        <v>2026</v>
      </c>
      <c r="C110" s="17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1">
        <v>8968.25</v>
      </c>
      <c r="H110" s="21">
        <v>121071.14</v>
      </c>
      <c r="I110" s="4">
        <v>1152</v>
      </c>
      <c r="J110" s="18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9">
        <f>Tabela32[[#This Row],[Realizadas]]/Tabela32[[#This Row],[Entregas]]</f>
        <v>1</v>
      </c>
      <c r="V110" s="20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7">
        <f>YEAR(Tabela32[[#This Row],[Data]])</f>
        <v>2026</v>
      </c>
      <c r="C111" s="17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1">
        <v>13448.98</v>
      </c>
      <c r="H111" s="21">
        <v>203621.83</v>
      </c>
      <c r="I111" s="4">
        <v>2812</v>
      </c>
      <c r="J111" s="18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9">
        <f>Tabela32[[#This Row],[Realizadas]]/Tabela32[[#This Row],[Entregas]]</f>
        <v>1</v>
      </c>
      <c r="V111" s="20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7">
        <f>YEAR(Tabela32[[#This Row],[Data]])</f>
        <v>2026</v>
      </c>
      <c r="C112" s="17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1">
        <v>16015.07</v>
      </c>
      <c r="H112" s="21">
        <v>218177.17</v>
      </c>
      <c r="I112" s="4">
        <v>4279</v>
      </c>
      <c r="J112" s="18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9">
        <f>Tabela32[[#This Row],[Realizadas]]/Tabela32[[#This Row],[Entregas]]</f>
        <v>1</v>
      </c>
      <c r="V112" s="20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7">
        <f>YEAR(Tabela32[[#This Row],[Data]])</f>
        <v>2026</v>
      </c>
      <c r="C113" s="17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1">
        <v>6269.27</v>
      </c>
      <c r="H113" s="21">
        <v>193795.68</v>
      </c>
      <c r="I113" s="4">
        <v>1326</v>
      </c>
      <c r="J113" s="18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9">
        <f>Tabela32[[#This Row],[Realizadas]]/Tabela32[[#This Row],[Entregas]]</f>
        <v>1</v>
      </c>
      <c r="V113" s="20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7">
        <f>YEAR(Tabela32[[#This Row],[Data]])</f>
        <v>2026</v>
      </c>
      <c r="C114" s="17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1">
        <v>1959.35</v>
      </c>
      <c r="H114" s="21">
        <v>24688.86</v>
      </c>
      <c r="I114" s="4">
        <v>251</v>
      </c>
      <c r="J114" s="18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9">
        <f>Tabela32[[#This Row],[Realizadas]]/Tabela32[[#This Row],[Entregas]]</f>
        <v>1</v>
      </c>
      <c r="V114" s="20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</sheetData>
  <conditionalFormatting sqref="J2:J114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14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14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D2:D114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2026-08-19T12:18:02Z</dcterms:modified>
</cp:coreProperties>
</file>