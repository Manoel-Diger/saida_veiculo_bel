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DCA032B3-D8F7-486D-8C75-424AB235EC64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2" i="4" l="1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K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<sst xmlns="http://schemas.openxmlformats.org/spreadsheetml/2006/main" count="587" uniqueCount="77">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</sst>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5" xfId="0" applyNumberForma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6" xfId="1" applyNumberFormat="1" applyFont="1" applyBorder="1" applyAlignment="1">
      <alignment horizontal="center"/>
    </xf>
    <xf numFmtId="44" fontId="0" fillId="0" borderId="0" xfId="0" applyNumberFormat="1"/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9" totalsRowShown="0" headerRowDxfId="133" dataDxfId="131" headerRowBorderDxfId="132" tableBorderDxfId="130" totalsRowBorderDxfId="129" headerRowCellStyle="Normal 2 2 2">
  <autoFilter ref="A1:V9" xr:uid="{DCE91C63-7150-4B05-9681-4C03C82B532C}"/>
  <tableColumns count="22">
    <tableColumn id="1" xr3:uid="{26A85748-1AED-4A71-96D3-23AF97AC5D2B}" name="Data" dataDxfId="2"/>
    <tableColumn id="25" xr3:uid="{D413966D-CDFC-4875-A3AE-6AE9D849E75F}" name="Placa" dataDxfId="128"/>
    <tableColumn id="3" xr3:uid="{D30CA2C3-D31F-4082-8392-1A98EB60EDD3}" name="Carreta" dataDxfId="127"/>
    <tableColumn id="4" xr3:uid="{758E5D51-7D49-4A69-8227-C9CE8E4A907A}" name="Motorista" dataDxfId="126"/>
    <tableColumn id="6" xr3:uid="{842361EA-39E1-4EF7-90A4-9BDC9C0966DF}" name="Valor Frete" dataDxfId="0" dataCellStyle="Moeda"/>
    <tableColumn id="7" xr3:uid="{D4C1D57F-C6B7-49EE-9F7B-47EBA6030041}" name="Valor Mercadoria" dataDxfId="1" dataCellStyle="Moeda"/>
    <tableColumn id="8" xr3:uid="{C79AB3D8-0BFF-4FFE-B20B-E81367BFEEFC}" name="Peso" dataDxfId="125"/>
    <tableColumn id="9" xr3:uid="{7D4ACBB5-8F17-463A-A61F-84A8EFF41604}" name="% Frete" dataDxfId="124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3"/>
    <tableColumn id="11" xr3:uid="{DC726A91-384E-47C4-A94A-9095E8138925}" name="Hr Chegada" dataDxfId="122"/>
    <tableColumn id="12" xr3:uid="{9A37D38C-D321-47A3-881E-B95F03E5DB0D}" name="Tempo" dataDxfId="121">
      <calculatedColumnFormula>Tabela35[[#This Row],[Hr Chegada]]-Tabela35[[#This Row],[Hr Saida]]</calculatedColumnFormula>
    </tableColumn>
    <tableColumn id="13" xr3:uid="{E5643091-5008-4800-BF73-88DFC566FBE9}" name="Frete" dataDxfId="120" dataCellStyle="Moeda"/>
    <tableColumn id="14" xr3:uid="{5E8F8636-0E97-4E52-8561-725D1AD8BAF1}" name="% Frete T" dataDxfId="119" dataCellStyle="Porcentagem">
      <calculatedColumnFormula>Tabela35[[#This Row],[Frete]]/Tabela35[[#This Row],[Valor Frete]]</calculatedColumnFormula>
    </tableColumn>
    <tableColumn id="16" xr3:uid="{F64AFFB0-A5D7-49FD-8B66-BD3FBD830A8C}" name="Vols" dataDxfId="118"/>
    <tableColumn id="17" xr3:uid="{36B8097A-82AA-4880-AA26-8A84D3BFDAE9}" name="Qtde Entregas" dataDxfId="117"/>
    <tableColumn id="18" xr3:uid="{8BF06732-0C91-4852-86A9-342D98B30169}" name="Entregas Realizadas" dataDxfId="116"/>
    <tableColumn id="19" xr3:uid="{20BD31A4-57AA-4F11-A73A-2B181C01798B}" name=" Retornadas" dataDxfId="115">
      <calculatedColumnFormula>Tabela35[[#This Row],[Qtde Entregas]]-Tabela35[[#This Row],[Entregas Realizadas]]</calculatedColumnFormula>
    </tableColumn>
    <tableColumn id="20" xr3:uid="{F3EDF45C-B4E9-4FE6-A74A-C49CA0273F75}" name="% Entrega" dataDxfId="114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3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12"/>
    <tableColumn id="23" xr3:uid="{D7BA1AAD-39A7-4F74-8E2B-3DAD30E78669}" name="Nfs Voltaram" dataDxfId="111"/>
    <tableColumn id="24" xr3:uid="{3938B063-E851-4B1A-B457-042DD7442897}" name="Código ocorrência" dataDxfId="1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242" totalsRowShown="0" headerRowDxfId="43" dataDxfId="42" headerRowBorderDxfId="40" tableBorderDxfId="41" totalsRowBorderDxfId="39">
  <tableColumns count="25">
    <tableColumn id="1" xr3:uid="{B118DAB0-A500-46F5-A61D-A15BA1838F69}" name="Data" dataDxfId="38"/>
    <tableColumn id="25" xr3:uid="{DAA903FE-736A-4CBF-95D8-B9E859203B97}" name="Ano" dataDxfId="37">
      <calculatedColumnFormula>YEAR(Tabela32[[#This Row],[Data]])</calculatedColumnFormula>
    </tableColumn>
    <tableColumn id="5" xr3:uid="{90D6CF8C-ACE3-46EA-828E-BB258996DD8F}" name="Mês" dataDxfId="36">
      <calculatedColumnFormula>MONTH(Tabela32[[#This Row],[Data]])</calculatedColumnFormula>
    </tableColumn>
    <tableColumn id="2" xr3:uid="{9E2D603E-103D-4F88-A5C8-5E9A03E2A3EE}" name="Placa" dataDxfId="35"/>
    <tableColumn id="3" xr3:uid="{7935B67B-4456-42E7-8B2D-EAF1D5C1B4F9}" name="Rota" dataDxfId="34"/>
    <tableColumn id="4" xr3:uid="{74C94A9C-B298-4701-847E-59C66BC8BBC2}" name="Motorista" dataDxfId="33">
      <calculatedColumnFormula>IFERROR(VLOOKUP(Tabela32[[#This Row],[Placa]],Planilha2!$A$1:$B$12,2,0),"")</calculatedColumnFormula>
    </tableColumn>
    <tableColumn id="6" xr3:uid="{694C94D7-8F01-480E-AA0C-B9B0FA8D2345}" name="Valor Frete" dataDxfId="32" dataCellStyle="Moeda"/>
    <tableColumn id="7" xr3:uid="{7D623530-7EED-4526-B289-B392FA2EF883}" name="Valor Mercadoria" dataDxfId="31" dataCellStyle="Moeda"/>
    <tableColumn id="8" xr3:uid="{3D927A69-B557-47A5-A269-05DEBEF85C73}" name="Peso" dataDxfId="30"/>
    <tableColumn id="9" xr3:uid="{69BC588C-6D01-4257-B2D9-CF2D843D1C40}" name="% Frete" dataDxfId="29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28"/>
    <tableColumn id="11" xr3:uid="{3B907CC4-B262-4107-87FF-1E75280AC1BF}" name="Hr Chegada" dataDxfId="27"/>
    <tableColumn id="12" xr3:uid="{ED725939-179A-4D21-873C-15774DD68F53}" name="Tempo" dataDxfId="26">
      <calculatedColumnFormula>Tabela32[[#This Row],[Hr Chegada]]-Tabela32[[#This Row],[Hr Saida]]</calculatedColumnFormula>
    </tableColumn>
    <tableColumn id="13" xr3:uid="{74EA350D-6976-4E2D-A058-0785043C5735}" name="Km Saída" dataDxfId="25"/>
    <tableColumn id="14" xr3:uid="{496AFEAD-5BFE-466C-B0AF-20375AAEECFC}" name="Km Chegada" dataDxfId="24"/>
    <tableColumn id="15" xr3:uid="{AB2841F1-639E-4525-98D9-0FAED04E102B}" name="Km/Dia" dataDxfId="23">
      <calculatedColumnFormula>Tabela32[[#This Row],[Km Chegada]]-Tabela32[[#This Row],[Km Saída]]</calculatedColumnFormula>
    </tableColumn>
    <tableColumn id="16" xr3:uid="{D83FBC01-4652-43E1-B278-CE34A958D106}" name="Vols" dataDxfId="22"/>
    <tableColumn id="17" xr3:uid="{CA7BF05C-1770-40EE-89A9-C80AA88EFC06}" name="Entregas" dataDxfId="21"/>
    <tableColumn id="18" xr3:uid="{037F6348-AFD4-431D-99B0-8147EA9E213B}" name="Realizadas" dataDxfId="20"/>
    <tableColumn id="19" xr3:uid="{196A1910-314C-450C-B67A-E51295FA6A18}" name=" Retornadas" dataDxfId="19">
      <calculatedColumnFormula>Tabela32[[#This Row],[Entregas]]-Tabela32[[#This Row],[Realizadas]]</calculatedColumnFormula>
    </tableColumn>
    <tableColumn id="20" xr3:uid="{F0BBC004-BAAB-43E2-A50E-1DD3FAEFD5F0}" name="% Entrega" dataDxfId="18" dataCellStyle="Moeda">
      <calculatedColumnFormula>Tabela32[[#This Row],[Realizadas]]/Tabela32[[#This Row],[Entregas]]</calculatedColumnFormula>
    </tableColumn>
    <tableColumn id="21" xr3:uid="{BB53A276-7721-4934-9C42-DB7E1D2740B3}" name="Meta" dataDxfId="17">
      <calculatedColumnFormula>IF(Tabela32[[#This Row],[% Entrega]]&gt;=96%,"Atendeu a Meta","Não Atendeu a Meta")</calculatedColumnFormula>
    </tableColumn>
    <tableColumn id="22" xr3:uid="{CE1DD687-26CA-4D2F-BCFC-661EB14CAD0F}" name="Cidade Destino" dataDxfId="16"/>
    <tableColumn id="23" xr3:uid="{F8FFD74E-1FF0-45CC-9EA9-8E8EA807957C}" name="Nfs Voltaram" dataDxfId="15"/>
    <tableColumn id="24" xr3:uid="{2EC98F08-AFB3-40A3-B3CE-1C9A788E39CD}" name="Ocorrência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9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M9" sqref="M9"/>
    </sheetView>
  </sheetViews>
  <sheetFormatPr defaultRowHeight="15" x14ac:dyDescent="0.25"/>
  <cols>
    <col min="1" max="1" width="10.42578125" style="24" bestFit="1" customWidth="1"/>
    <col min="2" max="2" width="10.42578125" customWidth="1"/>
    <col min="3" max="3" width="9.5703125" customWidth="1"/>
    <col min="4" max="4" width="11.85546875" customWidth="1"/>
    <col min="5" max="5" width="13" style="27" customWidth="1"/>
    <col min="6" max="6" width="18.42578125" style="27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1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3" t="s">
        <v>0</v>
      </c>
      <c r="B1" s="1" t="s">
        <v>1</v>
      </c>
      <c r="C1" s="2" t="s">
        <v>2</v>
      </c>
      <c r="D1" s="2" t="s">
        <v>3</v>
      </c>
      <c r="E1" s="25" t="s">
        <v>4</v>
      </c>
      <c r="F1" s="25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26">
        <v>4275.3</v>
      </c>
      <c r="F2" s="26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26">
        <v>7461.93</v>
      </c>
      <c r="F3" s="26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26">
        <v>4770.58</v>
      </c>
      <c r="F4" s="26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26">
        <v>7701.21</v>
      </c>
      <c r="F5" s="26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26">
        <v>5668.48</v>
      </c>
      <c r="F6" s="26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26">
        <v>8639.84</v>
      </c>
      <c r="F7" s="26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8">
        <v>46253</v>
      </c>
      <c r="B8" s="8" t="s">
        <v>67</v>
      </c>
      <c r="C8" s="4"/>
      <c r="D8" s="4" t="s">
        <v>68</v>
      </c>
      <c r="E8" s="26">
        <v>8971</v>
      </c>
      <c r="F8" s="26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59</v>
      </c>
      <c r="C9" s="4"/>
      <c r="D9" s="4" t="s">
        <v>47</v>
      </c>
      <c r="E9" s="26">
        <v>5954.82</v>
      </c>
      <c r="F9" s="26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</sheetData>
  <conditionalFormatting sqref="H2:H9">
    <cfRule type="cellIs" dxfId="109" priority="1" operator="lessThan">
      <formula>0.05</formula>
    </cfRule>
    <cfRule type="cellIs" dxfId="108" priority="2" operator="greaterThanOrEqual">
      <formula>0.05</formula>
    </cfRule>
  </conditionalFormatting>
  <conditionalFormatting sqref="R2:R9">
    <cfRule type="cellIs" dxfId="107" priority="7" stopIfTrue="1" operator="lessThanOrEqual">
      <formula>0.949</formula>
    </cfRule>
    <cfRule type="cellIs" dxfId="106" priority="8" stopIfTrue="1" operator="greaterThanOrEqual">
      <formula>0.9</formula>
    </cfRule>
    <cfRule type="cellIs" dxfId="105" priority="9" stopIfTrue="1" operator="greaterThanOrEqual">
      <formula>90</formula>
    </cfRule>
    <cfRule type="cellIs" dxfId="104" priority="10" stopIfTrue="1" operator="lessThan">
      <formula>0</formula>
    </cfRule>
    <cfRule type="cellIs" dxfId="103" priority="11" stopIfTrue="1" operator="lessThan">
      <formula>1</formula>
    </cfRule>
    <cfRule type="cellIs" dxfId="102" priority="12" stopIfTrue="1" operator="greaterThan">
      <formula>100</formula>
    </cfRule>
    <cfRule type="cellIs" dxfId="101" priority="13" stopIfTrue="1" operator="greaterThan">
      <formula>1</formula>
    </cfRule>
  </conditionalFormatting>
  <conditionalFormatting sqref="S2:S9">
    <cfRule type="expression" dxfId="100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99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242"/>
  <sheetViews>
    <sheetView showGridLines="0" tabSelected="1" workbookViewId="0">
      <pane xSplit="10" ySplit="1" topLeftCell="W224" activePane="bottomRight" state="frozen"/>
      <selection pane="topRight" activeCell="I1" sqref="I1"/>
      <selection pane="bottomLeft" activeCell="A2" sqref="A2"/>
      <selection pane="bottomRight" activeCell="Y242" sqref="Y242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1" bestFit="1" customWidth="1"/>
    <col min="8" max="8" width="18.42578125" style="21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75</v>
      </c>
      <c r="F1" s="2" t="s">
        <v>3</v>
      </c>
      <c r="G1" s="22" t="s">
        <v>4</v>
      </c>
      <c r="H1" s="2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>
        <v>3</v>
      </c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>
        <v>1</v>
      </c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>
        <v>3</v>
      </c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>
        <v>3</v>
      </c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>
        <v>3</v>
      </c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>
        <v>1</v>
      </c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>
        <v>1</v>
      </c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>
        <v>4</v>
      </c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>
        <v>1</v>
      </c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>
        <v>1</v>
      </c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>
        <v>11</v>
      </c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>
        <v>11</v>
      </c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>
        <v>4</v>
      </c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>
        <v>5</v>
      </c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>
        <v>1</v>
      </c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>
        <v>1</v>
      </c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>
        <v>1</v>
      </c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>
        <v>1</v>
      </c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26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42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40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55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40</v>
      </c>
      <c r="X161" s="4">
        <v>3</v>
      </c>
      <c r="Y161" s="5" t="s">
        <v>72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32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40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24</v>
      </c>
      <c r="E163" s="4">
        <v>4</v>
      </c>
      <c r="F163" s="4" t="str">
        <f>IFERROR(VLOOKUP(Tabela32[[#This Row],[Placa]],Planilha2!$A$1:$B$12,2,0),"")</f>
        <v>Wesley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40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34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41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36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45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29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42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28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45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30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41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30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45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55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40</v>
      </c>
      <c r="X170" s="4">
        <v>4</v>
      </c>
      <c r="Y170" s="5" t="s">
        <v>73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28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40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26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42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24</v>
      </c>
      <c r="E173" s="4">
        <v>2</v>
      </c>
      <c r="F173" s="4" t="str">
        <f>IFERROR(VLOOKUP(Tabela32[[#This Row],[Placa]],Planilha2!$A$1:$B$12,2,0),"")</f>
        <v>Wesley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40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40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29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40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32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40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36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45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34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45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55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40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29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42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34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45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36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45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28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41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40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24</v>
      </c>
      <c r="E185" s="4">
        <v>0</v>
      </c>
      <c r="F185" s="4" t="str">
        <f>IFERROR(VLOOKUP(Tabela32[[#This Row],[Placa]],Planilha2!$A$1:$B$12,2,0),"")</f>
        <v>Wesley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40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30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41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32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40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32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40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26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45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40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29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42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30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45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34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41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28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45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24</v>
      </c>
      <c r="E195" s="4">
        <v>4</v>
      </c>
      <c r="F195" s="4" t="str">
        <f>IFERROR(VLOOKUP(Tabela32[[#This Row],[Placa]],Planilha2!$A$1:$B$12,2,0),"")</f>
        <v>Wesley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40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32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40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55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40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26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45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36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45</v>
      </c>
      <c r="X199" s="4">
        <v>14</v>
      </c>
      <c r="Y199" s="5" t="s">
        <v>74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30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40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34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40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26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42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26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40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36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40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29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42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45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30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41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30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40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32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40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28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41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24</v>
      </c>
      <c r="E211" s="4">
        <v>1</v>
      </c>
      <c r="F211" s="4" t="str">
        <f>IFERROR(VLOOKUP(Tabela32[[#This Row],[Placa]],Planilha2!$A$1:$B$12,2,0),"")</f>
        <v>Wesley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45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34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41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55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41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36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42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34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41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55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40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29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40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38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45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65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28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41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32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40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30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41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26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40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26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40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36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42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29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40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34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66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30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66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24</v>
      </c>
      <c r="E229" s="4">
        <v>5</v>
      </c>
      <c r="F229" s="4" t="str">
        <f>IFERROR(VLOOKUP(Tabela32[[#This Row],[Placa]],Planilha2!$A$1:$B$12,2,0),"")</f>
        <v>Wesley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40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32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40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32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45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28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40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45</v>
      </c>
      <c r="X233" s="4">
        <v>0</v>
      </c>
      <c r="Y233" s="5">
        <v>0</v>
      </c>
    </row>
    <row r="234" spans="1:25" x14ac:dyDescent="0.25">
      <c r="A234" s="8">
        <v>46268</v>
      </c>
      <c r="B234" s="20">
        <f>YEAR(Tabela32[[#This Row],[Data]])</f>
        <v>2026</v>
      </c>
      <c r="C234" s="20">
        <f>MONTH(Tabela32[[#This Row],[Data]])</f>
        <v>9</v>
      </c>
      <c r="D234" s="4" t="s">
        <v>34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45</v>
      </c>
      <c r="X234" s="4">
        <v>1</v>
      </c>
      <c r="Y234" s="5">
        <v>9</v>
      </c>
    </row>
    <row r="235" spans="1:25" x14ac:dyDescent="0.25">
      <c r="A235" s="8">
        <v>46268</v>
      </c>
      <c r="B235" s="20">
        <f>YEAR(Tabela32[[#This Row],[Data]])</f>
        <v>2026</v>
      </c>
      <c r="C235" s="20">
        <f>MONTH(Tabela32[[#This Row],[Data]])</f>
        <v>9</v>
      </c>
      <c r="D235" s="4" t="s">
        <v>29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42</v>
      </c>
      <c r="X235" s="4">
        <v>8</v>
      </c>
      <c r="Y235" s="5" t="s">
        <v>76</v>
      </c>
    </row>
    <row r="236" spans="1:25" x14ac:dyDescent="0.25">
      <c r="A236" s="8">
        <v>46268</v>
      </c>
      <c r="B236" s="20">
        <f>YEAR(Tabela32[[#This Row],[Data]])</f>
        <v>2026</v>
      </c>
      <c r="C236" s="20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41</v>
      </c>
      <c r="X236" s="4">
        <v>0</v>
      </c>
      <c r="Y236" s="5">
        <v>0</v>
      </c>
    </row>
    <row r="237" spans="1:25" x14ac:dyDescent="0.25">
      <c r="A237" s="8">
        <v>46268</v>
      </c>
      <c r="B237" s="20">
        <f>YEAR(Tabela32[[#This Row],[Data]])</f>
        <v>2026</v>
      </c>
      <c r="C237" s="20">
        <f>MONTH(Tabela32[[#This Row],[Data]])</f>
        <v>9</v>
      </c>
      <c r="D237" s="4" t="s">
        <v>24</v>
      </c>
      <c r="E237" s="4">
        <v>5</v>
      </c>
      <c r="F237" s="4" t="str">
        <f>IFERROR(VLOOKUP(Tabela32[[#This Row],[Placa]],Planilha2!$A$1:$B$12,2,0),"")</f>
        <v>Wesley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40</v>
      </c>
      <c r="X237" s="4">
        <v>0</v>
      </c>
      <c r="Y237" s="5">
        <v>0</v>
      </c>
    </row>
    <row r="238" spans="1:25" x14ac:dyDescent="0.25">
      <c r="A238" s="8">
        <v>46268</v>
      </c>
      <c r="B238" s="20">
        <f>YEAR(Tabela32[[#This Row],[Data]])</f>
        <v>2026</v>
      </c>
      <c r="C238" s="20">
        <f>MONTH(Tabela32[[#This Row],[Data]])</f>
        <v>9</v>
      </c>
      <c r="D238" s="4" t="s">
        <v>30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41</v>
      </c>
      <c r="X238" s="4">
        <v>0</v>
      </c>
      <c r="Y238" s="5">
        <v>0</v>
      </c>
    </row>
    <row r="239" spans="1:25" x14ac:dyDescent="0.25">
      <c r="A239" s="8">
        <v>46268</v>
      </c>
      <c r="B239" s="20">
        <f>YEAR(Tabela32[[#This Row],[Data]])</f>
        <v>2026</v>
      </c>
      <c r="C239" s="20">
        <f>MONTH(Tabela32[[#This Row],[Data]])</f>
        <v>9</v>
      </c>
      <c r="D239" s="4" t="s">
        <v>36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40</v>
      </c>
      <c r="X239" s="4">
        <v>0</v>
      </c>
      <c r="Y239" s="5">
        <v>0</v>
      </c>
    </row>
    <row r="240" spans="1:25" x14ac:dyDescent="0.25">
      <c r="A240" s="8">
        <v>46268</v>
      </c>
      <c r="B240" s="20">
        <f>YEAR(Tabela32[[#This Row],[Data]])</f>
        <v>2026</v>
      </c>
      <c r="C240" s="20">
        <f>MONTH(Tabela32[[#This Row],[Data]])</f>
        <v>9</v>
      </c>
      <c r="D240" s="4" t="s">
        <v>26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40</v>
      </c>
      <c r="X240" s="4">
        <v>0</v>
      </c>
      <c r="Y240" s="5">
        <v>0</v>
      </c>
    </row>
    <row r="241" spans="1:25" x14ac:dyDescent="0.25">
      <c r="A241" s="8">
        <v>46268</v>
      </c>
      <c r="B241" s="20">
        <f>YEAR(Tabela32[[#This Row],[Data]])</f>
        <v>2026</v>
      </c>
      <c r="C241" s="20">
        <f>MONTH(Tabela32[[#This Row],[Data]])</f>
        <v>9</v>
      </c>
      <c r="D241" s="4" t="s">
        <v>32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40</v>
      </c>
      <c r="X241" s="4">
        <v>0</v>
      </c>
      <c r="Y241" s="5">
        <v>0</v>
      </c>
    </row>
    <row r="242" spans="1:25" x14ac:dyDescent="0.25">
      <c r="A242" s="8">
        <v>46268</v>
      </c>
      <c r="B242" s="20">
        <f>YEAR(Tabela32[[#This Row],[Data]])</f>
        <v>2026</v>
      </c>
      <c r="C242" s="20">
        <f>MONTH(Tabela32[[#This Row],[Data]])</f>
        <v>9</v>
      </c>
      <c r="D242" s="4" t="s">
        <v>28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41</v>
      </c>
      <c r="X242" s="4">
        <v>0</v>
      </c>
      <c r="Y242" s="5">
        <v>0</v>
      </c>
    </row>
  </sheetData>
  <conditionalFormatting sqref="J2:J242">
    <cfRule type="cellIs" dxfId="13" priority="1" operator="lessThan">
      <formula>0.05</formula>
    </cfRule>
    <cfRule type="cellIs" dxfId="12" priority="2" operator="greaterThanOrEqual">
      <formula>0.05</formula>
    </cfRule>
  </conditionalFormatting>
  <conditionalFormatting sqref="U2:U242">
    <cfRule type="cellIs" dxfId="11" priority="7" stopIfTrue="1" operator="lessThanOrEqual">
      <formula>0.949</formula>
    </cfRule>
    <cfRule type="cellIs" dxfId="10" priority="8" stopIfTrue="1" operator="greaterThanOrEqual">
      <formula>0.9</formula>
    </cfRule>
    <cfRule type="cellIs" dxfId="9" priority="9" stopIfTrue="1" operator="greaterThanOrEqual">
      <formula>90</formula>
    </cfRule>
    <cfRule type="cellIs" dxfId="8" priority="10" stopIfTrue="1" operator="lessThan">
      <formula>0</formula>
    </cfRule>
    <cfRule type="cellIs" dxfId="7" priority="11" stopIfTrue="1" operator="lessThan">
      <formula>1</formula>
    </cfRule>
    <cfRule type="cellIs" dxfId="6" priority="12" stopIfTrue="1" operator="greaterThan">
      <formula>100</formula>
    </cfRule>
    <cfRule type="cellIs" dxfId="5" priority="13" stopIfTrue="1" operator="greaterThan">
      <formula>1</formula>
    </cfRule>
  </conditionalFormatting>
  <conditionalFormatting sqref="V2:V242">
    <cfRule type="expression" dxfId="4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3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D2:D242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2026-09-04T14:26:33Z</dcterms:modified>
</cp:coreProperties>
</file>