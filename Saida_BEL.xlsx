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23669BD7-D23B-4EB9-BFD2-B42016D79CB7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4" i="4" l="1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T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<sst xmlns="http://schemas.openxmlformats.org/spreadsheetml/2006/main" count="274" uniqueCount="65">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</sst>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19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6" fontId="0" fillId="0" borderId="5" xfId="0" applyNumberFormat="1" applyBorder="1" applyAlignment="1">
      <alignment horizontal="center"/>
    </xf>
    <xf numFmtId="0" fontId="0" fillId="0" borderId="5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56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7" totalsRowShown="0" headerRowDxfId="155" dataDxfId="153" headerRowBorderDxfId="154" tableBorderDxfId="152" totalsRowBorderDxfId="151" headerRowCellStyle="Normal 2 2 2">
  <autoFilter ref="A1:V7" xr:uid="{DCE91C63-7150-4B05-9681-4C03C82B532C}"/>
  <tableColumns count="22">
    <tableColumn id="1" xr3:uid="{26A85748-1AED-4A71-96D3-23AF97AC5D2B}" name="Data" dataDxfId="150"/>
    <tableColumn id="25" xr3:uid="{D413966D-CDFC-4875-A3AE-6AE9D849E75F}" name="Placa" dataDxfId="149"/>
    <tableColumn id="3" xr3:uid="{D30CA2C3-D31F-4082-8392-1A98EB60EDD3}" name="Carreta" dataDxfId="148"/>
    <tableColumn id="4" xr3:uid="{758E5D51-7D49-4A69-8227-C9CE8E4A907A}" name="Motorista" dataDxfId="147"/>
    <tableColumn id="6" xr3:uid="{842361EA-39E1-4EF7-90A4-9BDC9C0966DF}" name="Valor Frete" dataDxfId="146" dataCellStyle="Moeda"/>
    <tableColumn id="7" xr3:uid="{D4C1D57F-C6B7-49EE-9F7B-47EBA6030041}" name="Valor Mercadoria" dataDxfId="145" dataCellStyle="Moeda"/>
    <tableColumn id="8" xr3:uid="{C79AB3D8-0BFF-4FFE-B20B-E81367BFEEFC}" name="Peso" dataDxfId="144"/>
    <tableColumn id="9" xr3:uid="{7D4ACBB5-8F17-463A-A61F-84A8EFF41604}" name="% Frete" dataDxfId="143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42"/>
    <tableColumn id="11" xr3:uid="{DC726A91-384E-47C4-A94A-9095E8138925}" name="Hr Chegada" dataDxfId="141"/>
    <tableColumn id="12" xr3:uid="{9A37D38C-D321-47A3-881E-B95F03E5DB0D}" name="Tempo" dataDxfId="140">
      <calculatedColumnFormula>Tabela35[[#This Row],[Hr Chegada]]-Tabela35[[#This Row],[Hr Saida]]</calculatedColumnFormula>
    </tableColumn>
    <tableColumn id="13" xr3:uid="{E5643091-5008-4800-BF73-88DFC566FBE9}" name="Frete" dataDxfId="139" dataCellStyle="Moeda"/>
    <tableColumn id="14" xr3:uid="{5E8F8636-0E97-4E52-8561-725D1AD8BAF1}" name="% Frete T" dataDxfId="138" dataCellStyle="Porcentagem">
      <calculatedColumnFormula>Tabela35[[#This Row],[Frete]]/Tabela35[[#This Row],[Valor Frete]]</calculatedColumnFormula>
    </tableColumn>
    <tableColumn id="16" xr3:uid="{F64AFFB0-A5D7-49FD-8B66-BD3FBD830A8C}" name="Vols" dataDxfId="137"/>
    <tableColumn id="17" xr3:uid="{36B8097A-82AA-4880-AA26-8A84D3BFDAE9}" name="Qtde Entregas" dataDxfId="136"/>
    <tableColumn id="18" xr3:uid="{8BF06732-0C91-4852-86A9-342D98B30169}" name="Entregas Realizadas" dataDxfId="135"/>
    <tableColumn id="19" xr3:uid="{20BD31A4-57AA-4F11-A73A-2B181C01798B}" name=" Retornadas" dataDxfId="134">
      <calculatedColumnFormula>Tabela35[[#This Row],[Qtde Entregas]]-Tabela35[[#This Row],[Entregas Realizadas]]</calculatedColumnFormula>
    </tableColumn>
    <tableColumn id="20" xr3:uid="{F3EDF45C-B4E9-4FE6-A74A-C49CA0273F75}" name="% Entrega" dataDxfId="133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32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31"/>
    <tableColumn id="23" xr3:uid="{D7BA1AAD-39A7-4F74-8E2B-3DAD30E78669}" name="Nfs Voltaram" dataDxfId="130"/>
    <tableColumn id="24" xr3:uid="{3938B063-E851-4B1A-B457-042DD7442897}" name="Código ocorrência" dataDxfId="1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94" totalsRowShown="0" headerRowDxfId="40" dataDxfId="39" headerRowBorderDxfId="37" tableBorderDxfId="38" totalsRowBorderDxfId="36" headerRowCellStyle="Normal 2 2 2">
  <tableColumns count="25">
    <tableColumn id="1" xr3:uid="{B118DAB0-A500-46F5-A61D-A15BA1838F69}" name="Data" dataDxfId="35"/>
    <tableColumn id="25" xr3:uid="{DAA903FE-736A-4CBF-95D8-B9E859203B97}" name="Ano" dataDxfId="34">
      <calculatedColumnFormula>YEAR(Tabela32[[#This Row],[Data]])</calculatedColumnFormula>
    </tableColumn>
    <tableColumn id="5" xr3:uid="{90D6CF8C-ACE3-46EA-828E-BB258996DD8F}" name="Mês" dataDxfId="33">
      <calculatedColumnFormula>MONTH(Tabela32[[#This Row],[Data]])</calculatedColumnFormula>
    </tableColumn>
    <tableColumn id="2" xr3:uid="{9E2D603E-103D-4F88-A5C8-5E9A03E2A3EE}" name="Placa" dataDxfId="32"/>
    <tableColumn id="3" xr3:uid="{7935B67B-4456-42E7-8B2D-EAF1D5C1B4F9}" name="Carreta" dataDxfId="31"/>
    <tableColumn id="4" xr3:uid="{74C94A9C-B298-4701-847E-59C66BC8BBC2}" name="Motorista" dataDxfId="30">
      <calculatedColumnFormula>IFERROR(VLOOKUP(Tabela32[[#This Row],[Placa]],Planilha2!$A$1:$B$12,2,0),"")</calculatedColumnFormula>
    </tableColumn>
    <tableColumn id="6" xr3:uid="{694C94D7-8F01-480E-AA0C-B9B0FA8D2345}" name="Valor Frete" dataDxfId="29" dataCellStyle="Moeda"/>
    <tableColumn id="7" xr3:uid="{7D623530-7EED-4526-B289-B392FA2EF883}" name="Valor Mercadoria" dataDxfId="28" dataCellStyle="Moeda"/>
    <tableColumn id="8" xr3:uid="{3D927A69-B557-47A5-A269-05DEBEF85C73}" name="Peso" dataDxfId="27"/>
    <tableColumn id="9" xr3:uid="{69BC588C-6D01-4257-B2D9-CF2D843D1C40}" name="% Frete" dataDxfId="26" dataCellStyle="Porcentagem">
      <calculatedColumnFormula>IFERROR(Tabela32[[#This Row],[Valor Frete]]/Tabela32[[#This Row],[Valor Mercadoria]],"")</calculatedColumnFormula>
    </tableColumn>
    <tableColumn id="10" xr3:uid="{FC8CD81E-7FD3-41D6-921B-F1A94EDAF621}" name="Hr Saida" dataDxfId="25"/>
    <tableColumn id="11" xr3:uid="{3B907CC4-B262-4107-87FF-1E75280AC1BF}" name="Hr Chegada" dataDxfId="24"/>
    <tableColumn id="12" xr3:uid="{ED725939-179A-4D21-873C-15774DD68F53}" name="Tempo" dataDxfId="23">
      <calculatedColumnFormula>Tabela32[[#This Row],[Hr Chegada]]-Tabela32[[#This Row],[Hr Saida]]</calculatedColumnFormula>
    </tableColumn>
    <tableColumn id="13" xr3:uid="{74EA350D-6976-4E2D-A058-0785043C5735}" name="Km Saída" dataDxfId="22"/>
    <tableColumn id="14" xr3:uid="{496AFEAD-5BFE-466C-B0AF-20375AAEECFC}" name="Km Chegada" dataDxfId="21"/>
    <tableColumn id="15" xr3:uid="{AB2841F1-639E-4525-98D9-0FAED04E102B}" name="Km/Dia" dataDxfId="20">
      <calculatedColumnFormula>Tabela32[[#This Row],[Km Chegada]]-Tabela32[[#This Row],[Km Saída]]</calculatedColumnFormula>
    </tableColumn>
    <tableColumn id="16" xr3:uid="{D83FBC01-4652-43E1-B278-CE34A958D106}" name="Vols" dataDxfId="19"/>
    <tableColumn id="17" xr3:uid="{CA7BF05C-1770-40EE-89A9-C80AA88EFC06}" name="Entregas" dataDxfId="18"/>
    <tableColumn id="18" xr3:uid="{037F6348-AFD4-431D-99B0-8147EA9E213B}" name="Realizadas" dataDxfId="17"/>
    <tableColumn id="19" xr3:uid="{196A1910-314C-450C-B67A-E51295FA6A18}" name=" Retornadas" dataDxfId="16">
      <calculatedColumnFormula>Tabela32[[#This Row],[Entregas]]-Tabela32[[#This Row],[Realizadas]]</calculatedColumnFormula>
    </tableColumn>
    <tableColumn id="20" xr3:uid="{F0BBC004-BAAB-43E2-A50E-1DD3FAEFD5F0}" name="% Entrega" dataDxfId="15" dataCellStyle="Moeda 2 2">
      <calculatedColumnFormula>Tabela32[[#This Row],[Realizadas]]/Tabela32[[#This Row],[Entregas]]</calculatedColumnFormula>
    </tableColumn>
    <tableColumn id="21" xr3:uid="{BB53A276-7721-4934-9C42-DB7E1D2740B3}" name="Meta" dataDxfId="14" dataCellStyle="Moeda 3">
      <calculatedColumnFormula>IF(Tabela32[[#This Row],[% Entrega]]&gt;=96%,"Atendeu a Meta","Não Atendeu a Meta")</calculatedColumnFormula>
    </tableColumn>
    <tableColumn id="22" xr3:uid="{CE1DD687-26CA-4D2F-BCFC-661EB14CAD0F}" name="Cidade Destino" dataDxfId="13"/>
    <tableColumn id="23" xr3:uid="{F8FFD74E-1FF0-45CC-9EA9-8E8EA807957C}" name="Nfs Voltaram" dataDxfId="12"/>
    <tableColumn id="24" xr3:uid="{2EC98F08-AFB3-40A3-B3CE-1C9A788E39CD}" name="Ocorrência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7"/>
  <sheetViews>
    <sheetView showGridLines="0" workbookViewId="0">
      <pane xSplit="8" ySplit="1" topLeftCell="R2" activePane="bottomRight" state="frozen"/>
      <selection pane="topRight" activeCell="I1" sqref="I1"/>
      <selection pane="bottomLeft" activeCell="A2" sqref="A2"/>
      <selection pane="bottomRight" activeCell="A7" sqref="A7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9.5703125" customWidth="1"/>
    <col min="4" max="4" width="11.85546875" customWidth="1"/>
    <col min="5" max="5" width="13" customWidth="1"/>
    <col min="6" max="6" width="18.425781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  <row r="6" spans="1:22" x14ac:dyDescent="0.25">
      <c r="A6" s="17">
        <v>46247</v>
      </c>
      <c r="B6" s="8" t="s">
        <v>46</v>
      </c>
      <c r="C6" s="4"/>
      <c r="D6" s="4" t="s">
        <v>47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40</v>
      </c>
      <c r="U6" s="4">
        <v>1</v>
      </c>
      <c r="V6" s="5">
        <v>10</v>
      </c>
    </row>
    <row r="7" spans="1:22" x14ac:dyDescent="0.25">
      <c r="A7" s="16"/>
      <c r="B7" s="8"/>
      <c r="C7" s="4"/>
      <c r="D7" s="4"/>
      <c r="E7" s="10"/>
      <c r="F7" s="10"/>
      <c r="G7" s="4"/>
      <c r="H7" s="9" t="e">
        <f>Tabela35[[#This Row],[Valor Frete]]/Tabela35[[#This Row],[Valor Mercadoria]]</f>
        <v>#DIV/0!</v>
      </c>
      <c r="I7" s="4"/>
      <c r="J7" s="4"/>
      <c r="K7" s="4">
        <f>Tabela35[[#This Row],[Hr Chegada]]-Tabela35[[#This Row],[Hr Saida]]</f>
        <v>0</v>
      </c>
      <c r="L7" s="10"/>
      <c r="M7" s="9" t="e">
        <f>Tabela35[[#This Row],[Frete]]/Tabela35[[#This Row],[Valor Frete]]</f>
        <v>#DIV/0!</v>
      </c>
      <c r="N7" s="4"/>
      <c r="O7" s="4"/>
      <c r="P7" s="4"/>
      <c r="Q7" s="12">
        <f>Tabela35[[#This Row],[Qtde Entregas]]-Tabela35[[#This Row],[Entregas Realizadas]]</f>
        <v>0</v>
      </c>
      <c r="R7" s="13" t="e">
        <f>Tabela35[[#This Row],[Entregas Realizadas]]/Tabela35[[#This Row],[Qtde Entregas]]</f>
        <v>#DIV/0!</v>
      </c>
      <c r="S7" s="14" t="e">
        <f>IF(Tabela35[[#This Row],[% Entrega]]&gt;=96%,"Atendeu a Meta","Não Atendeu a Meta")</f>
        <v>#DIV/0!</v>
      </c>
      <c r="T7" s="4"/>
      <c r="U7" s="4"/>
      <c r="V7" s="5"/>
    </row>
  </sheetData>
  <conditionalFormatting sqref="H2:H7">
    <cfRule type="cellIs" dxfId="128" priority="1" operator="lessThan">
      <formula>0.05</formula>
    </cfRule>
    <cfRule type="cellIs" dxfId="127" priority="2" operator="greaterThanOrEqual">
      <formula>0.05</formula>
    </cfRule>
  </conditionalFormatting>
  <conditionalFormatting sqref="R2:R7">
    <cfRule type="cellIs" dxfId="126" priority="7" stopIfTrue="1" operator="lessThanOrEqual">
      <formula>0.949</formula>
    </cfRule>
    <cfRule type="cellIs" dxfId="125" priority="8" stopIfTrue="1" operator="greaterThanOrEqual">
      <formula>0.9</formula>
    </cfRule>
    <cfRule type="cellIs" dxfId="124" priority="9" stopIfTrue="1" operator="greaterThanOrEqual">
      <formula>90</formula>
    </cfRule>
    <cfRule type="cellIs" dxfId="123" priority="10" stopIfTrue="1" operator="lessThan">
      <formula>0</formula>
    </cfRule>
    <cfRule type="cellIs" dxfId="122" priority="11" stopIfTrue="1" operator="lessThan">
      <formula>1</formula>
    </cfRule>
    <cfRule type="cellIs" dxfId="121" priority="12" stopIfTrue="1" operator="greaterThan">
      <formula>100</formula>
    </cfRule>
    <cfRule type="cellIs" dxfId="120" priority="13" stopIfTrue="1" operator="greaterThan">
      <formula>1</formula>
    </cfRule>
  </conditionalFormatting>
  <conditionalFormatting sqref="S2:S7">
    <cfRule type="expression" dxfId="119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118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94"/>
  <sheetViews>
    <sheetView showGridLines="0" tabSelected="1" workbookViewId="0">
      <pane xSplit="10" ySplit="1" topLeftCell="V67" activePane="bottomRight" state="frozen"/>
      <selection pane="topRight" activeCell="I1" sqref="I1"/>
      <selection pane="bottomLeft" activeCell="A2" sqref="A2"/>
      <selection pane="bottomRight" activeCell="Y94" sqref="Y94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bestFit="1" customWidth="1"/>
    <col min="8" max="8" width="18.42578125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15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24</v>
      </c>
      <c r="E2" s="4"/>
      <c r="F2" s="4" t="str">
        <f>IFERROR(VLOOKUP(Tabela32[[#This Row],[Placa]],Planilha2!$A$1:$B$12,2,0),"")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34</v>
      </c>
      <c r="E3" s="4"/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55</v>
      </c>
      <c r="E4" s="4"/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26</v>
      </c>
      <c r="E5" s="4"/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36</v>
      </c>
      <c r="E6" s="4"/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32</v>
      </c>
      <c r="E7" s="4"/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30</v>
      </c>
      <c r="E8" s="4"/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/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37</v>
      </c>
      <c r="E10" s="4"/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/>
      <c r="O10" s="4"/>
      <c r="P10" s="4">
        <f>Tabela32[[#This Row],[Km Chegada]]-Tabela32[[#This Row],[Km Saída]]</f>
        <v>0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28</v>
      </c>
      <c r="E11" s="4"/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29</v>
      </c>
      <c r="E12" s="4"/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26</v>
      </c>
      <c r="E13" s="4"/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/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55</v>
      </c>
      <c r="E15" s="4"/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36</v>
      </c>
      <c r="E16" s="4"/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17</v>
      </c>
      <c r="T16" s="12">
        <f>Tabela32[[#This Row],[Entregas]]-Tabela32[[#This Row],[Realizadas]]</f>
        <v>2</v>
      </c>
      <c r="U16" s="13">
        <f>Tabela32[[#This Row],[Realizadas]]/Tabela32[[#This Row],[Entregas]]</f>
        <v>0.89473684210526316</v>
      </c>
      <c r="V16" s="14" t="str">
        <f>IF(Tabela32[[#This Row],[% Entrega]]&gt;=96%,"Atendeu a Meta","Não Atendeu a Meta")</f>
        <v>Não Atendeu a Meta</v>
      </c>
      <c r="W16" s="4" t="s">
        <v>40</v>
      </c>
      <c r="X16" s="4">
        <v>179020.48859299999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29</v>
      </c>
      <c r="E17" s="4"/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24</v>
      </c>
      <c r="E18" s="4"/>
      <c r="F18" s="4" t="str">
        <f>IFERROR(VLOOKUP(Tabela32[[#This Row],[Placa]],Planilha2!$A$1:$B$12,2,0),"")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34</v>
      </c>
      <c r="E19" s="4"/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34</v>
      </c>
      <c r="E20" s="4"/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32</v>
      </c>
      <c r="E21" s="4"/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26</v>
      </c>
      <c r="E22" s="4"/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30</v>
      </c>
      <c r="E23" s="4"/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28</v>
      </c>
      <c r="E24" s="4"/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29</v>
      </c>
      <c r="E25" s="4"/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26</v>
      </c>
      <c r="E26" s="4"/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30</v>
      </c>
      <c r="E27" s="4"/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/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24</v>
      </c>
      <c r="E29" s="4"/>
      <c r="F29" s="4" t="str">
        <f>IFERROR(VLOOKUP(Tabela32[[#This Row],[Placa]],Planilha2!$A$1:$B$12,2,0),"")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55</v>
      </c>
      <c r="E30" s="4"/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29</v>
      </c>
      <c r="E31" s="4"/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28</v>
      </c>
      <c r="E32" s="4"/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42</v>
      </c>
      <c r="X32" s="4">
        <v>113913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32</v>
      </c>
      <c r="E33" s="4"/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34</v>
      </c>
      <c r="E34" s="4"/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34</v>
      </c>
      <c r="E35" s="4"/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29</v>
      </c>
      <c r="E36" s="4"/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24</v>
      </c>
      <c r="E37" s="4"/>
      <c r="F37" s="4" t="str">
        <f>IFERROR(VLOOKUP(Tabela32[[#This Row],[Placa]],Planilha2!$A$1:$B$12,2,0),"")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28</v>
      </c>
      <c r="E38" s="4"/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10</v>
      </c>
      <c r="T38" s="12">
        <f>Tabela32[[#This Row],[Entregas]]-Tabela32[[#This Row],[Realizadas]]</f>
        <v>1</v>
      </c>
      <c r="U38" s="13">
        <f>Tabela32[[#This Row],[Realizadas]]/Tabela32[[#This Row],[Entregas]]</f>
        <v>0.90909090909090906</v>
      </c>
      <c r="V38" s="14" t="str">
        <f>IF(Tabela32[[#This Row],[% Entrega]]&gt;=96%,"Atendeu a Meta","Não Atendeu a Meta")</f>
        <v>Não Atendeu a Meta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36</v>
      </c>
      <c r="E39" s="4"/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32</v>
      </c>
      <c r="E40" s="4"/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/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55</v>
      </c>
      <c r="E42" s="4"/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24</v>
      </c>
      <c r="T42" s="12">
        <f>Tabela32[[#This Row],[Entregas]]-Tabela32[[#This Row],[Realizadas]]</f>
        <v>1</v>
      </c>
      <c r="U42" s="13">
        <f>Tabela32[[#This Row],[Realizadas]]/Tabela32[[#This Row],[Entregas]]</f>
        <v>0.96</v>
      </c>
      <c r="V42" s="14" t="str">
        <f>IF(Tabela32[[#This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26</v>
      </c>
      <c r="E43" s="4"/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26</v>
      </c>
      <c r="E44" s="4"/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34</v>
      </c>
      <c r="E45" s="4"/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29</v>
      </c>
      <c r="E46" s="4"/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34</v>
      </c>
      <c r="E47" s="4"/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9</v>
      </c>
      <c r="T47" s="12">
        <f>Tabela32[[#This Row],[Entregas]]-Tabela32[[#This Row],[Realizadas]]</f>
        <v>2</v>
      </c>
      <c r="U47" s="13">
        <f>Tabela32[[#This Row],[Realizadas]]/Tabela32[[#This Row],[Entregas]]</f>
        <v>0.81818181818181823</v>
      </c>
      <c r="V47" s="14" t="str">
        <f>IF(Tabela32[[#This Row],[% Entrega]]&gt;=96%,"Atendeu a Meta","Não Atendeu a Meta")</f>
        <v>Não Atendeu a Meta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/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55</v>
      </c>
      <c r="E49" s="4"/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32</v>
      </c>
      <c r="E50" s="4"/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21</v>
      </c>
      <c r="T50" s="12">
        <f>Tabela32[[#This Row],[Entregas]]-Tabela32[[#This Row],[Realizadas]]</f>
        <v>2</v>
      </c>
      <c r="U50" s="13">
        <f>Tabela32[[#This Row],[Realizadas]]/Tabela32[[#This Row],[Entregas]]</f>
        <v>0.91304347826086951</v>
      </c>
      <c r="V50" s="14" t="str">
        <f>IF(Tabela32[[#This Row],[% Entrega]]&gt;=96%,"Atendeu a Meta","Não Atendeu a Meta")</f>
        <v>Não Atendeu a Meta</v>
      </c>
      <c r="W50" s="4" t="s">
        <v>40</v>
      </c>
      <c r="X50" s="4">
        <v>2</v>
      </c>
      <c r="Y50" s="5" t="s">
        <v>63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26</v>
      </c>
      <c r="E51" s="4"/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36</v>
      </c>
      <c r="E52" s="4"/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28</v>
      </c>
      <c r="E53" s="4"/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24</v>
      </c>
      <c r="E54" s="4"/>
      <c r="F54" s="4" t="str">
        <f>IFERROR(VLOOKUP(Tabela32[[#This Row],[Placa]],Planilha2!$A$1:$B$12,2,0),"")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37</v>
      </c>
      <c r="E55" s="4"/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55</v>
      </c>
      <c r="E56" s="4"/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28</v>
      </c>
      <c r="E57" s="4"/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/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36</v>
      </c>
      <c r="E59" s="4"/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34</v>
      </c>
      <c r="E60" s="4"/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15394</v>
      </c>
      <c r="O60" s="4"/>
      <c r="P60" s="4">
        <f>Tabela32[[#This Row],[Km Chegada]]-Tabela32[[#This Row],[Km Saída]]</f>
        <v>-15394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32</v>
      </c>
      <c r="E61" s="4"/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24</v>
      </c>
      <c r="E62" s="4"/>
      <c r="F62" s="4" t="str">
        <f>IFERROR(VLOOKUP(Tabela32[[#This Row],[Placa]],Planilha2!$A$1:$B$12,2,0),"")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40</v>
      </c>
      <c r="X62" s="4">
        <v>3</v>
      </c>
      <c r="Y62" s="5">
        <v>13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26</v>
      </c>
      <c r="E63" s="4"/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36</v>
      </c>
      <c r="T63" s="12">
        <f>Tabela32[[#This Row],[Entregas]]-Tabela32[[#This Row],[Realizadas]]</f>
        <v>1</v>
      </c>
      <c r="U63" s="13">
        <f>Tabela32[[#This Row],[Realizadas]]/Tabela32[[#This Row],[Entregas]]</f>
        <v>0.97297297297297303</v>
      </c>
      <c r="V63" s="14" t="str">
        <f>IF(Tabela32[[#This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29</v>
      </c>
      <c r="E64" s="4"/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28</v>
      </c>
      <c r="E65" s="4"/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/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29</v>
      </c>
      <c r="E67" s="4"/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24</v>
      </c>
      <c r="E68" s="4"/>
      <c r="F68" s="4" t="str">
        <f>IFERROR(VLOOKUP(Tabela32[[#This Row],[Placa]],Planilha2!$A$1:$B$12,2,0),"")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36</v>
      </c>
      <c r="E69" s="4"/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34</v>
      </c>
      <c r="E70" s="4"/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26</v>
      </c>
      <c r="E71" s="4"/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55</v>
      </c>
      <c r="E72" s="4"/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32</v>
      </c>
      <c r="E73" s="4"/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36</v>
      </c>
      <c r="E74" s="4"/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34</v>
      </c>
      <c r="E75" s="4"/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/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24</v>
      </c>
      <c r="E77" s="4"/>
      <c r="F77" s="4" t="str">
        <f>IFERROR(VLOOKUP(Tabela32[[#This Row],[Placa]],Planilha2!$A$1:$B$12,2,0),"")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26</v>
      </c>
      <c r="E78" s="4"/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28</v>
      </c>
      <c r="E79" s="4"/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34</v>
      </c>
      <c r="E80" s="4"/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29</v>
      </c>
      <c r="E81" s="4"/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32</v>
      </c>
      <c r="E82" s="4"/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55</v>
      </c>
      <c r="E83" s="4"/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  <row r="84" spans="1:25" x14ac:dyDescent="0.25">
      <c r="A84" s="8">
        <v>46248</v>
      </c>
      <c r="B84" s="18">
        <f>YEAR(Tabela32[[#This Row],[Data]])</f>
        <v>2026</v>
      </c>
      <c r="C84" s="18">
        <f>MONTH(Tabela32[[#This Row],[Data]])</f>
        <v>8</v>
      </c>
      <c r="D84" s="4" t="s">
        <v>24</v>
      </c>
      <c r="E84" s="4"/>
      <c r="F84" s="4" t="str">
        <f>IFERROR(VLOOKUP(Tabela32[[#This Row],[Placa]],Planilha2!$A$1:$B$12,2,0),"")</f>
        <v>Wesley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42</v>
      </c>
      <c r="X84" s="4">
        <v>0</v>
      </c>
      <c r="Y84" s="5">
        <v>0</v>
      </c>
    </row>
    <row r="85" spans="1:25" x14ac:dyDescent="0.25">
      <c r="A85" s="8">
        <v>46248</v>
      </c>
      <c r="B85" s="18">
        <f>YEAR(Tabela32[[#This Row],[Data]])</f>
        <v>2026</v>
      </c>
      <c r="C85" s="18">
        <f>MONTH(Tabela32[[#This Row],[Data]])</f>
        <v>8</v>
      </c>
      <c r="D85" s="4" t="s">
        <v>36</v>
      </c>
      <c r="E85" s="4"/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45</v>
      </c>
      <c r="X85" s="4">
        <v>0</v>
      </c>
      <c r="Y85" s="5">
        <v>0</v>
      </c>
    </row>
    <row r="86" spans="1:25" x14ac:dyDescent="0.25">
      <c r="A86" s="8">
        <v>46248</v>
      </c>
      <c r="B86" s="18">
        <f>YEAR(Tabela32[[#This Row],[Data]])</f>
        <v>2026</v>
      </c>
      <c r="C86" s="18">
        <f>MONTH(Tabela32[[#This Row],[Data]])</f>
        <v>8</v>
      </c>
      <c r="D86" s="4" t="s">
        <v>26</v>
      </c>
      <c r="E86" s="4"/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40</v>
      </c>
      <c r="X86" s="4">
        <v>0</v>
      </c>
      <c r="Y86" s="5">
        <v>0</v>
      </c>
    </row>
    <row r="87" spans="1:25" x14ac:dyDescent="0.25">
      <c r="A87" s="8">
        <v>46248</v>
      </c>
      <c r="B87" s="18">
        <f>YEAR(Tabela32[[#This Row],[Data]])</f>
        <v>2026</v>
      </c>
      <c r="C87" s="18">
        <f>MONTH(Tabela32[[#This Row],[Data]])</f>
        <v>8</v>
      </c>
      <c r="D87" s="4" t="s">
        <v>32</v>
      </c>
      <c r="E87" s="4"/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40</v>
      </c>
      <c r="X87" s="4">
        <v>3</v>
      </c>
      <c r="Y87" s="5">
        <v>13</v>
      </c>
    </row>
    <row r="88" spans="1:25" x14ac:dyDescent="0.25">
      <c r="A88" s="8">
        <v>46248</v>
      </c>
      <c r="B88" s="18">
        <f>YEAR(Tabela32[[#This Row],[Data]])</f>
        <v>2026</v>
      </c>
      <c r="C88" s="18">
        <f>MONTH(Tabela32[[#This Row],[Data]])</f>
        <v>8</v>
      </c>
      <c r="D88" s="4" t="s">
        <v>22</v>
      </c>
      <c r="E88" s="4"/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40</v>
      </c>
      <c r="X88" s="4">
        <v>0</v>
      </c>
      <c r="Y88" s="5">
        <v>0</v>
      </c>
    </row>
    <row r="89" spans="1:25" x14ac:dyDescent="0.25">
      <c r="A89" s="8">
        <v>46248</v>
      </c>
      <c r="B89" s="18">
        <f>YEAR(Tabela32[[#This Row],[Data]])</f>
        <v>2026</v>
      </c>
      <c r="C89" s="18">
        <f>MONTH(Tabela32[[#This Row],[Data]])</f>
        <v>8</v>
      </c>
      <c r="D89" s="4" t="s">
        <v>55</v>
      </c>
      <c r="E89" s="4"/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42</v>
      </c>
      <c r="X89" s="4">
        <v>0</v>
      </c>
      <c r="Y89" s="5">
        <v>0</v>
      </c>
    </row>
    <row r="90" spans="1:25" x14ac:dyDescent="0.25">
      <c r="A90" s="8">
        <v>46248</v>
      </c>
      <c r="B90" s="18">
        <f>YEAR(Tabela32[[#This Row],[Data]])</f>
        <v>2026</v>
      </c>
      <c r="C90" s="18">
        <f>MONTH(Tabela32[[#This Row],[Data]])</f>
        <v>8</v>
      </c>
      <c r="D90" s="4" t="s">
        <v>29</v>
      </c>
      <c r="E90" s="4"/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41</v>
      </c>
      <c r="X90" s="4">
        <v>0</v>
      </c>
      <c r="Y90" s="5">
        <v>0</v>
      </c>
    </row>
    <row r="91" spans="1:25" x14ac:dyDescent="0.25">
      <c r="A91" s="8">
        <v>46248</v>
      </c>
      <c r="B91" s="18">
        <f>YEAR(Tabela32[[#This Row],[Data]])</f>
        <v>2026</v>
      </c>
      <c r="C91" s="18">
        <f>MONTH(Tabela32[[#This Row],[Data]])</f>
        <v>8</v>
      </c>
      <c r="D91" s="4" t="s">
        <v>28</v>
      </c>
      <c r="E91" s="4"/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40</v>
      </c>
      <c r="X91" s="4">
        <v>1</v>
      </c>
      <c r="Y91" s="5">
        <v>38</v>
      </c>
    </row>
    <row r="92" spans="1:25" x14ac:dyDescent="0.25">
      <c r="A92" s="8">
        <v>46248</v>
      </c>
      <c r="B92" s="18">
        <f>YEAR(Tabela32[[#This Row],[Data]])</f>
        <v>2026</v>
      </c>
      <c r="C92" s="18">
        <f>MONTH(Tabela32[[#This Row],[Data]])</f>
        <v>8</v>
      </c>
      <c r="D92" s="4" t="s">
        <v>26</v>
      </c>
      <c r="E92" s="4"/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40</v>
      </c>
      <c r="X92" s="4">
        <v>0</v>
      </c>
      <c r="Y92" s="5">
        <v>0</v>
      </c>
    </row>
    <row r="93" spans="1:25" x14ac:dyDescent="0.25">
      <c r="A93" s="8">
        <v>46248</v>
      </c>
      <c r="B93" s="18">
        <f>YEAR(Tabela32[[#This Row],[Data]])</f>
        <v>2026</v>
      </c>
      <c r="C93" s="18">
        <f>MONTH(Tabela32[[#This Row],[Data]])</f>
        <v>8</v>
      </c>
      <c r="D93" s="4" t="s">
        <v>30</v>
      </c>
      <c r="E93" s="4"/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40</v>
      </c>
      <c r="X93" s="4">
        <v>0</v>
      </c>
      <c r="Y93" s="5">
        <v>0</v>
      </c>
    </row>
    <row r="94" spans="1:25" x14ac:dyDescent="0.25">
      <c r="A94" s="8">
        <v>46248</v>
      </c>
      <c r="B94" s="18">
        <f>YEAR(Tabela32[[#This Row],[Data]])</f>
        <v>2026</v>
      </c>
      <c r="C94" s="18">
        <f>MONTH(Tabela32[[#This Row],[Data]])</f>
        <v>8</v>
      </c>
      <c r="D94" s="4" t="s">
        <v>34</v>
      </c>
      <c r="E94" s="4"/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41</v>
      </c>
      <c r="X94" s="4">
        <v>0</v>
      </c>
      <c r="Y94" s="5">
        <v>0</v>
      </c>
    </row>
  </sheetData>
  <conditionalFormatting sqref="J2:J94">
    <cfRule type="cellIs" dxfId="10" priority="1" operator="lessThan">
      <formula>0.05</formula>
    </cfRule>
    <cfRule type="cellIs" dxfId="9" priority="2" operator="greaterThanOrEqual">
      <formula>0.05</formula>
    </cfRule>
  </conditionalFormatting>
  <conditionalFormatting sqref="U2:U94">
    <cfRule type="cellIs" dxfId="8" priority="7" stopIfTrue="1" operator="lessThanOrEqual">
      <formula>0.949</formula>
    </cfRule>
    <cfRule type="cellIs" dxfId="7" priority="8" stopIfTrue="1" operator="greaterThanOrEqual">
      <formula>0.9</formula>
    </cfRule>
    <cfRule type="cellIs" dxfId="6" priority="9" stopIfTrue="1" operator="greaterThanOrEqual">
      <formula>90</formula>
    </cfRule>
    <cfRule type="cellIs" dxfId="5" priority="10" stopIfTrue="1" operator="lessThan">
      <formula>0</formula>
    </cfRule>
    <cfRule type="cellIs" dxfId="4" priority="11" stopIfTrue="1" operator="lessThan">
      <formula>1</formula>
    </cfRule>
    <cfRule type="cellIs" dxfId="3" priority="12" stopIfTrue="1" operator="greaterThan">
      <formula>100</formula>
    </cfRule>
    <cfRule type="cellIs" dxfId="2" priority="13" stopIfTrue="1" operator="greaterThan">
      <formula>1</formula>
    </cfRule>
  </conditionalFormatting>
  <conditionalFormatting sqref="V2:V94">
    <cfRule type="expression" dxfId="1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0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D2:D94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2026-08-17T16:17:46Z</dcterms:modified>
</cp:coreProperties>
</file>