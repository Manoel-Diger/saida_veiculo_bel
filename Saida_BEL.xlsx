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AA6118C5-8001-46D7-A07F-FB0B582E525F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K11" i="3"/>
  <c r="M11" i="3"/>
  <c r="Q11" i="3"/>
  <c r="R11" i="3"/>
  <c r="S11" i="3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K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<sst xmlns="http://schemas.openxmlformats.org/spreadsheetml/2006/main" count="711" uniqueCount="81">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</sst>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1" totalsRowShown="0" headerRowDxfId="144" dataDxfId="142" headerRowBorderDxfId="143" tableBorderDxfId="141" totalsRowBorderDxfId="140" headerRowCellStyle="Normal 2 2 2">
  <autoFilter ref="A1:V11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00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22</v>
      </c>
      <c r="B1" t="s">
        <v>56</v>
      </c>
    </row>
    <row r="2" spans="1:2" x14ac:dyDescent="0.25">
      <c r="A2" t="s">
        <v>23</v>
      </c>
      <c r="B2" t="s">
        <v>79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63</v>
      </c>
    </row>
    <row r="5" spans="1:2" x14ac:dyDescent="0.25">
      <c r="A5" t="s">
        <v>28</v>
      </c>
      <c r="B5" t="s">
        <v>57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55</v>
      </c>
    </row>
    <row r="10" spans="1:2" x14ac:dyDescent="0.25">
      <c r="A10" t="s">
        <v>36</v>
      </c>
      <c r="B10" t="s">
        <v>42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54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1" sqref="M11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47</v>
      </c>
      <c r="M1" s="2" t="s">
        <v>48</v>
      </c>
      <c r="N1" s="2" t="s">
        <v>43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45</v>
      </c>
      <c r="C2" s="4"/>
      <c r="D2" s="4" t="s">
        <v>46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58</v>
      </c>
      <c r="C3" s="4"/>
      <c r="D3" s="4" t="s">
        <v>59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45</v>
      </c>
      <c r="C4" s="4"/>
      <c r="D4" s="4" t="s">
        <v>46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45</v>
      </c>
      <c r="C5" s="4"/>
      <c r="D5" s="4" t="s">
        <v>46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44</v>
      </c>
      <c r="U5" s="4"/>
      <c r="V5" s="5"/>
    </row>
    <row r="6" spans="1:22" x14ac:dyDescent="0.25">
      <c r="A6" s="8">
        <v>46247</v>
      </c>
      <c r="B6" s="8" t="s">
        <v>45</v>
      </c>
      <c r="C6" s="4"/>
      <c r="D6" s="4" t="s">
        <v>46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45</v>
      </c>
      <c r="C7" s="4"/>
      <c r="D7" s="4" t="s">
        <v>46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44</v>
      </c>
      <c r="U7" s="4">
        <v>1</v>
      </c>
      <c r="V7" s="5">
        <v>9</v>
      </c>
    </row>
    <row r="8" spans="1:22" x14ac:dyDescent="0.25">
      <c r="A8" s="8">
        <v>46253</v>
      </c>
      <c r="B8" s="8" t="s">
        <v>66</v>
      </c>
      <c r="C8" s="4"/>
      <c r="D8" s="4" t="s">
        <v>67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58</v>
      </c>
      <c r="C9" s="4"/>
      <c r="D9" s="4" t="s">
        <v>46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58</v>
      </c>
      <c r="C10" s="4"/>
      <c r="D10" s="4" t="s">
        <v>46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45</v>
      </c>
      <c r="C11" s="4"/>
      <c r="D11" s="4" t="s">
        <v>46</v>
      </c>
      <c r="E11" s="27">
        <v>4224.17</v>
      </c>
      <c r="F11" s="27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</sheetData>
  <conditionalFormatting sqref="H2:H11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11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11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00"/>
  <sheetViews>
    <sheetView showGridLines="0" tabSelected="1" workbookViewId="0">
      <pane xSplit="10" ySplit="1" topLeftCell="W272" activePane="bottomRight" state="frozen"/>
      <selection pane="topRight" activeCell="I1" sqref="I1"/>
      <selection pane="bottomLeft" activeCell="A2" sqref="A2"/>
      <selection pane="bottomRight" activeCell="Y299" sqref="Y299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53</v>
      </c>
      <c r="C1" s="1" t="s">
        <v>52</v>
      </c>
      <c r="D1" s="2" t="s">
        <v>1</v>
      </c>
      <c r="E1" s="2" t="s">
        <v>74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43</v>
      </c>
      <c r="R1" s="2" t="s">
        <v>49</v>
      </c>
      <c r="S1" s="2" t="s">
        <v>50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51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54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44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54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44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44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54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44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44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44</v>
      </c>
      <c r="X38" s="4">
        <v>2</v>
      </c>
      <c r="Y38" s="5" t="s">
        <v>60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44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54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44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44</v>
      </c>
      <c r="X47" s="4">
        <v>2</v>
      </c>
      <c r="Y47" s="5" t="s">
        <v>61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54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62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44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54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70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44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44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54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44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54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44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70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54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54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64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44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44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54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44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64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44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54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65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44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44</v>
      </c>
      <c r="X134" s="4">
        <v>7</v>
      </c>
      <c r="Y134" s="5" t="s">
        <v>69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70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54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54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44</v>
      </c>
      <c r="X142" s="4">
        <v>5</v>
      </c>
      <c r="Y142" s="5" t="s">
        <v>69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44</v>
      </c>
      <c r="X146" s="4">
        <v>3</v>
      </c>
      <c r="Y146" s="5" t="s">
        <v>68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64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54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44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44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54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71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44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44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44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54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72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44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44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54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44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44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44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44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44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54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44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44</v>
      </c>
      <c r="X199" s="4">
        <v>14</v>
      </c>
      <c r="Y199" s="5" t="s">
        <v>73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44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44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54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54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44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64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65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65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44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44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44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75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44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54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44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64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76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54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77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78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44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54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44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54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44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44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54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26">
        <f>YEAR(Tabela32[[#This Row],[Data]])</f>
        <v>2026</v>
      </c>
      <c r="C287" s="2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26">
        <f>YEAR(Tabela32[[#This Row],[Data]])</f>
        <v>2026</v>
      </c>
      <c r="C288" s="2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26">
        <f>YEAR(Tabela32[[#This Row],[Data]])</f>
        <v>2026</v>
      </c>
      <c r="C289" s="2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44</v>
      </c>
      <c r="X289" s="4">
        <v>0</v>
      </c>
      <c r="Y289" s="5">
        <v>0</v>
      </c>
    </row>
    <row r="290" spans="1:25" x14ac:dyDescent="0.25">
      <c r="A290" s="8">
        <v>46276</v>
      </c>
      <c r="B290" s="26">
        <f>YEAR(Tabela32[[#This Row],[Data]])</f>
        <v>2026</v>
      </c>
      <c r="C290" s="2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Geber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26">
        <f>YEAR(Tabela32[[#This Row],[Data]])</f>
        <v>2026</v>
      </c>
      <c r="C291" s="2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80</v>
      </c>
    </row>
    <row r="292" spans="1:25" x14ac:dyDescent="0.25">
      <c r="A292" s="8">
        <v>46276</v>
      </c>
      <c r="B292" s="26">
        <f>YEAR(Tabela32[[#This Row],[Data]])</f>
        <v>2026</v>
      </c>
      <c r="C292" s="26">
        <f>MONTH(Tabela32[[#This Row],[Data]])</f>
        <v>9</v>
      </c>
      <c r="D292" s="4" t="s">
        <v>54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26">
        <f>YEAR(Tabela32[[#This Row],[Data]])</f>
        <v>2026</v>
      </c>
      <c r="C293" s="2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26">
        <f>YEAR(Tabela32[[#This Row],[Data]])</f>
        <v>2026</v>
      </c>
      <c r="C294" s="2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44</v>
      </c>
      <c r="X294" s="4">
        <v>0</v>
      </c>
      <c r="Y294" s="5">
        <v>0</v>
      </c>
    </row>
    <row r="295" spans="1:25" x14ac:dyDescent="0.25">
      <c r="A295" s="8">
        <v>46276</v>
      </c>
      <c r="B295" s="26">
        <f>YEAR(Tabela32[[#This Row],[Data]])</f>
        <v>2026</v>
      </c>
      <c r="C295" s="2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26">
        <f>YEAR(Tabela32[[#This Row],[Data]])</f>
        <v>2026</v>
      </c>
      <c r="C296" s="2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26">
        <f>YEAR(Tabela32[[#This Row],[Data]])</f>
        <v>2026</v>
      </c>
      <c r="C297" s="2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44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26">
        <f>YEAR(Tabela32[[#This Row],[Data]])</f>
        <v>2026</v>
      </c>
      <c r="C298" s="2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26">
        <f>YEAR(Tabela32[[#This Row],[Data]])</f>
        <v>2026</v>
      </c>
      <c r="C299" s="26">
        <f>MONTH(Tabela32[[#This Row],[Data]])</f>
        <v>9</v>
      </c>
      <c r="D299" s="4" t="s">
        <v>54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26">
        <f>YEAR(Tabela32[[#This Row],[Data]])</f>
        <v>2026</v>
      </c>
      <c r="C300" s="2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</sheetData>
  <conditionalFormatting sqref="J2:J300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300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300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2026-09-14T17:38:43Z</dcterms:modified>
</cp:coreProperties>
</file>