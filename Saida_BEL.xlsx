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9362CC88-EB69-4442-9F52-DD16819DC512}" xr6:coauthVersionLast="47" xr6:coauthVersionMax="47" xr10:uidLastSave="{00000000-0000-0000-0000-000000000000}"/>
  <bookViews>
    <workbookView xWindow="-120" yWindow="-120" windowWidth="20730" windowHeight="11160" activeTab="2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3" l="1"/>
  <c r="K14" i="3"/>
  <c r="M14" i="3"/>
  <c r="Q14" i="3"/>
  <c r="R14" i="3"/>
  <c r="S14" i="3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<sst xmlns="http://schemas.openxmlformats.org/spreadsheetml/2006/main" count="807" uniqueCount="83">
  <si>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</si>
  <si>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</si>
  <si>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</si>
  <si>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</si>
  <si>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</si>
  <si>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</si>
  <si>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</si>
  <si>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</si>
  <si>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</si>
  <si>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</si>
  <si>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</si>
  <si>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</si>
  <si>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</si>
  <si>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</si>
  <si>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</si>
  <si>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</si>
  <si>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</si>
  <si>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</si>
  <si>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</si>
  <si>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</si>
  <si>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</si>
  <si>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</si>
  <si>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</si>
  <si>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</si>
  <si>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</si>
  <si>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</si>
  <si>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</si>
  <si>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</si>
  <si>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</si>
  <si>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</si>
  <si>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</si>
  <si>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</si>
  <si>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</si>
  <si>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</si>
  <si>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</si>
  <si>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</si>
  <si>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</si>
  <si>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</si>
  <si>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</si>
  <si>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</si>
  <si>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</si>
  <si>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</si>
  <si>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</si>
  <si>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</si>
  <si>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</si>
  <si>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</si>
  <si>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</si>
  <si>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</si>
  <si>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</si>
  <si>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</si>
  <si>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</si>
  <si>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</si>
  <si>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</si>
  <si>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</si>
  <si>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</si>
  <si>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Wesley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</si>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</sst>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45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14" totalsRowShown="0" headerRowDxfId="144" dataDxfId="142" headerRowBorderDxfId="143" tableBorderDxfId="141" totalsRowBorderDxfId="140" headerRowCellStyle="Normal 2 2 2">
  <autoFilter ref="A1:V14" xr:uid="{DCE91C63-7150-4B05-9681-4C03C82B532C}"/>
  <tableColumns count="22">
    <tableColumn id="1" xr3:uid="{26A85748-1AED-4A71-96D3-23AF97AC5D2B}" name="Data" dataDxfId="139"/>
    <tableColumn id="25" xr3:uid="{D413966D-CDFC-4875-A3AE-6AE9D849E75F}" name="Placa" dataDxfId="138"/>
    <tableColumn id="3" xr3:uid="{D30CA2C3-D31F-4082-8392-1A98EB60EDD3}" name="Carreta" dataDxfId="137"/>
    <tableColumn id="4" xr3:uid="{758E5D51-7D49-4A69-8227-C9CE8E4A907A}" name="Motorista" dataDxfId="136"/>
    <tableColumn id="6" xr3:uid="{842361EA-39E1-4EF7-90A4-9BDC9C0966DF}" name="Valor Frete" dataDxfId="135" dataCellStyle="Moeda"/>
    <tableColumn id="7" xr3:uid="{D4C1D57F-C6B7-49EE-9F7B-47EBA6030041}" name="Valor Mercadoria" dataDxfId="134" dataCellStyle="Moeda"/>
    <tableColumn id="8" xr3:uid="{C79AB3D8-0BFF-4FFE-B20B-E81367BFEEFC}" name="Peso" dataDxfId="133"/>
    <tableColumn id="9" xr3:uid="{7D4ACBB5-8F17-463A-A61F-84A8EFF41604}" name="% Frete" dataDxfId="132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31"/>
    <tableColumn id="11" xr3:uid="{DC726A91-384E-47C4-A94A-9095E8138925}" name="Hr Chegada" dataDxfId="130"/>
    <tableColumn id="12" xr3:uid="{9A37D38C-D321-47A3-881E-B95F03E5DB0D}" name="Tempo" dataDxfId="129">
      <calculatedColumnFormula>Tabela35[[#This Row],[Hr Chegada]]-Tabela35[[#This Row],[Hr Saida]]</calculatedColumnFormula>
    </tableColumn>
    <tableColumn id="13" xr3:uid="{E5643091-5008-4800-BF73-88DFC566FBE9}" name="Frete" dataDxfId="128" dataCellStyle="Moeda"/>
    <tableColumn id="14" xr3:uid="{5E8F8636-0E97-4E52-8561-725D1AD8BAF1}" name="% Frete T" dataDxfId="127" dataCellStyle="Porcentagem">
      <calculatedColumnFormula>Tabela35[[#This Row],[Frete]]/Tabela35[[#This Row],[Valor Frete]]</calculatedColumnFormula>
    </tableColumn>
    <tableColumn id="16" xr3:uid="{F64AFFB0-A5D7-49FD-8B66-BD3FBD830A8C}" name="Vols" dataDxfId="126"/>
    <tableColumn id="17" xr3:uid="{36B8097A-82AA-4880-AA26-8A84D3BFDAE9}" name="Qtde Entregas" dataDxfId="125"/>
    <tableColumn id="18" xr3:uid="{8BF06732-0C91-4852-86A9-342D98B30169}" name="Entregas Realizadas" dataDxfId="124"/>
    <tableColumn id="19" xr3:uid="{20BD31A4-57AA-4F11-A73A-2B181C01798B}" name=" Retornadas" dataDxfId="123">
      <calculatedColumnFormula>Tabela35[[#This Row],[Qtde Entregas]]-Tabela35[[#This Row],[Entregas Realizadas]]</calculatedColumnFormula>
    </tableColumn>
    <tableColumn id="20" xr3:uid="{F3EDF45C-B4E9-4FE6-A74A-C49CA0273F75}" name="% Entrega" dataDxfId="122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21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20"/>
    <tableColumn id="23" xr3:uid="{D7BA1AAD-39A7-4F74-8E2B-3DAD30E78669}" name="Nfs Voltaram" dataDxfId="119"/>
    <tableColumn id="24" xr3:uid="{3938B063-E851-4B1A-B457-042DD7442897}" name="Código ocorrência" dataDxfId="1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343" totalsRowShown="0" headerRowDxfId="51" dataDxfId="50" headerRowBorderDxfId="48" tableBorderDxfId="49" totalsRowBorderDxfId="47">
  <tableColumns count="25">
    <tableColumn id="1" xr3:uid="{B118DAB0-A500-46F5-A61D-A15BA1838F69}" name="Data" dataDxfId="46"/>
    <tableColumn id="25" xr3:uid="{DAA903FE-736A-4CBF-95D8-B9E859203B97}" name="Ano" dataDxfId="45">
      <calculatedColumnFormula>YEAR(Tabela32[[#This Row],[Data]])</calculatedColumnFormula>
    </tableColumn>
    <tableColumn id="5" xr3:uid="{90D6CF8C-ACE3-46EA-828E-BB258996DD8F}" name="Mês" dataDxfId="44">
      <calculatedColumnFormula>MONTH(Tabela32[[#This Row],[Data]])</calculatedColumnFormula>
    </tableColumn>
    <tableColumn id="2" xr3:uid="{9E2D603E-103D-4F88-A5C8-5E9A03E2A3EE}" name="Placa" dataDxfId="43"/>
    <tableColumn id="3" xr3:uid="{7935B67B-4456-42E7-8B2D-EAF1D5C1B4F9}" name="Rota" dataDxfId="42"/>
    <tableColumn id="4" xr3:uid="{74C94A9C-B298-4701-847E-59C66BC8BBC2}" name="Motorista" dataDxfId="41">
      <calculatedColumnFormula>IFERROR(VLOOKUP(Tabela32[[#This Row],[Placa]],Planilha2!$A$1:$B$12,2,0),"")</calculatedColumnFormula>
    </tableColumn>
    <tableColumn id="6" xr3:uid="{694C94D7-8F01-480E-AA0C-B9B0FA8D2345}" name="Valor Frete" dataDxfId="40" dataCellStyle="Moeda"/>
    <tableColumn id="7" xr3:uid="{7D623530-7EED-4526-B289-B392FA2EF883}" name="Valor Mercadoria" dataDxfId="39" dataCellStyle="Moeda"/>
    <tableColumn id="8" xr3:uid="{3D927A69-B557-47A5-A269-05DEBEF85C73}" name="Peso" dataDxfId="38"/>
    <tableColumn id="9" xr3:uid="{69BC588C-6D01-4257-B2D9-CF2D843D1C40}" name="% Frete" dataDxfId="37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Tabela32[[#This Row],[Hr Chegada]]-Tabela32[[#This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Tabela32[[#This Row],[Km Chegada]]-Tabela32[[#This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Tabela32[[#This Row],[Entregas]]-Tabela32[[#This Row],[Realizadas]]</calculatedColumnFormula>
    </tableColumn>
    <tableColumn id="20" xr3:uid="{F0BBC004-BAAB-43E2-A50E-1DD3FAEFD5F0}" name="% Entrega" dataDxfId="26" dataCellStyle="Moeda">
      <calculatedColumnFormula>Tabela32[[#This Row],[Realizadas]]/Tabela32[[#This Row],[Entregas]]</calculatedColumnFormula>
    </tableColumn>
    <tableColumn id="21" xr3:uid="{BB53A276-7721-4934-9C42-DB7E1D2740B3}" name="Meta" dataDxfId="25">
      <calculatedColumnFormula>IF(Tabela32[[#This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11" sqref="B11"/>
    </sheetView>
  </sheetViews>
  <sheetFormatPr defaultRowHeight="15" x14ac:dyDescent="0.25"/>
  <sheetData>
    <row r="1" spans="1:2" x14ac:dyDescent="0.25">
      <c r="A1" t="s">
        <v>22</v>
      </c>
      <c r="B1" t="s">
        <v>55</v>
      </c>
    </row>
    <row r="2" spans="1:2" x14ac:dyDescent="0.25">
      <c r="A2" t="s">
        <v>23</v>
      </c>
      <c r="B2" t="s">
        <v>78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62</v>
      </c>
    </row>
    <row r="5" spans="1:2" x14ac:dyDescent="0.25">
      <c r="A5" t="s">
        <v>28</v>
      </c>
      <c r="B5" t="s">
        <v>56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81</v>
      </c>
    </row>
    <row r="11" spans="1:2" x14ac:dyDescent="0.25">
      <c r="A11" t="s">
        <v>37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14"/>
  <sheetViews>
    <sheetView showGridLines="0" workbookViewId="0">
      <pane xSplit="8" ySplit="1" topLeftCell="P2" activePane="bottomRight" state="frozen"/>
      <selection pane="topRight" activeCell="I1" sqref="I1"/>
      <selection pane="bottomLeft" activeCell="A2" sqref="A2"/>
      <selection pane="bottomRight" activeCell="U14" sqref="U14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57</v>
      </c>
      <c r="C3" s="4"/>
      <c r="D3" s="4" t="s">
        <v>58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65</v>
      </c>
      <c r="C8" s="4"/>
      <c r="D8" s="4" t="s">
        <v>66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57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57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27">
        <v>3850.15</v>
      </c>
      <c r="F14" s="27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</sheetData>
  <conditionalFormatting sqref="H2:H14">
    <cfRule type="cellIs" dxfId="117" priority="1" operator="lessThan">
      <formula>0.05</formula>
    </cfRule>
    <cfRule type="cellIs" dxfId="116" priority="2" operator="greaterThanOrEqual">
      <formula>0.05</formula>
    </cfRule>
  </conditionalFormatting>
  <conditionalFormatting sqref="R2:R14">
    <cfRule type="cellIs" dxfId="115" priority="7" stopIfTrue="1" operator="lessThanOrEqual">
      <formula>0.949</formula>
    </cfRule>
    <cfRule type="cellIs" dxfId="114" priority="8" stopIfTrue="1" operator="greaterThanOrEqual">
      <formula>0.9</formula>
    </cfRule>
    <cfRule type="cellIs" dxfId="113" priority="9" stopIfTrue="1" operator="greaterThanOrEqual">
      <formula>90</formula>
    </cfRule>
    <cfRule type="cellIs" dxfId="112" priority="10" stopIfTrue="1" operator="lessThan">
      <formula>0</formula>
    </cfRule>
    <cfRule type="cellIs" dxfId="111" priority="11" stopIfTrue="1" operator="lessThan">
      <formula>1</formula>
    </cfRule>
    <cfRule type="cellIs" dxfId="110" priority="12" stopIfTrue="1" operator="greaterThan">
      <formula>100</formula>
    </cfRule>
    <cfRule type="cellIs" dxfId="109" priority="13" stopIfTrue="1" operator="greaterThan">
      <formula>1</formula>
    </cfRule>
  </conditionalFormatting>
  <conditionalFormatting sqref="S2:S14">
    <cfRule type="expression" dxfId="108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107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343"/>
  <sheetViews>
    <sheetView showGridLines="0" tabSelected="1" workbookViewId="0">
      <pane xSplit="10" ySplit="1" topLeftCell="W319" activePane="bottomRight" state="frozen"/>
      <selection pane="topRight" activeCell="I1" sqref="I1"/>
      <selection pane="bottomLeft" activeCell="A2" sqref="A2"/>
      <selection pane="bottomRight" activeCell="Y343" sqref="Y343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73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Wesley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Wesley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Wesley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59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Wesley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60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Wesley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61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Wesley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69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Wesley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Wesley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69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Wesley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63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Wesley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Wesley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Wesley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63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>Manoel</v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64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Wesley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68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69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68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Wesley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67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63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Wesley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Wesley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70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71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Wesley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Wesley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Wesley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72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Wesley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>Manoel</v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Wesley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63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64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64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Wesley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74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Wesley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63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75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76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77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Wesley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Wesley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>Manoel</v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Wesley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79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Wesley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Wesley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80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Wesley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Wesley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69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Wesley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26">
        <f>YEAR(Tabela32[[#This Row],[Data]])</f>
        <v>2026</v>
      </c>
      <c r="C333" s="2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26">
        <f>YEAR(Tabela32[[#This Row],[Data]])</f>
        <v>2026</v>
      </c>
      <c r="C334" s="2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Wesley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26">
        <f>YEAR(Tabela32[[#This Row],[Data]])</f>
        <v>2026</v>
      </c>
      <c r="C335" s="2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26">
        <f>YEAR(Tabela32[[#This Row],[Data]])</f>
        <v>2026</v>
      </c>
      <c r="C336" s="2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>Manoel</v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26">
        <f>YEAR(Tabela32[[#This Row],[Data]])</f>
        <v>2026</v>
      </c>
      <c r="C337" s="2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26">
        <f>YEAR(Tabela32[[#This Row],[Data]])</f>
        <v>2026</v>
      </c>
      <c r="C338" s="2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26">
        <f>YEAR(Tabela32[[#This Row],[Data]])</f>
        <v>2026</v>
      </c>
      <c r="C339" s="2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82</v>
      </c>
    </row>
    <row r="340" spans="1:25" x14ac:dyDescent="0.25">
      <c r="A340" s="8">
        <v>46282</v>
      </c>
      <c r="B340" s="26">
        <f>YEAR(Tabela32[[#This Row],[Data]])</f>
        <v>2026</v>
      </c>
      <c r="C340" s="2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26">
        <f>YEAR(Tabela32[[#This Row],[Data]])</f>
        <v>2026</v>
      </c>
      <c r="C341" s="2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26">
        <f>YEAR(Tabela32[[#This Row],[Data]])</f>
        <v>2026</v>
      </c>
      <c r="C342" s="2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26">
        <f>YEAR(Tabela32[[#This Row],[Data]])</f>
        <v>2026</v>
      </c>
      <c r="C343" s="2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</sheetData>
  <conditionalFormatting sqref="J2:J343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U2:U343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V2:V343">
    <cfRule type="expression" dxfId="12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11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D2:D343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2026-09-18T17:31:36Z</dcterms:modified>
</cp:coreProperties>
</file>