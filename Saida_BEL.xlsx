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B6C58B2E-82B2-41F2-9821-83BF54A29B20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3" l="1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<sst xmlns="http://schemas.openxmlformats.org/spreadsheetml/2006/main" count="1162" uniqueCount="95">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</sst>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25" totalsRowShown="0" headerRowDxfId="144" dataDxfId="142" headerRowBorderDxfId="143" tableBorderDxfId="141" totalsRowBorderDxfId="140" headerRowCellStyle="Normal 2 2 2">
  <autoFilter ref="A1:V25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501" totalsRowShown="0" headerRowDxfId="117" dataDxfId="115" headerRowBorderDxfId="116" tableBorderDxfId="114" totalsRowBorderDxfId="113">
  <tableColumns count="25">
    <tableColumn id="1" xr3:uid="{B118DAB0-A500-46F5-A61D-A15BA1838F69}" name="Data" dataDxfId="112"/>
    <tableColumn id="25" xr3:uid="{DAA903FE-736A-4CBF-95D8-B9E859203B97}" name="Ano" dataDxfId="111">
      <calculatedColumnFormula>YEAR(Tabela32[[#This Row],[Data]])</calculatedColumnFormula>
    </tableColumn>
    <tableColumn id="5" xr3:uid="{90D6CF8C-ACE3-46EA-828E-BB258996DD8F}" name="Mês" dataDxfId="110">
      <calculatedColumnFormula>MONTH(Tabela32[[#This Row],[Data]])</calculatedColumnFormula>
    </tableColumn>
    <tableColumn id="2" xr3:uid="{9E2D603E-103D-4F88-A5C8-5E9A03E2A3EE}" name="Placa" dataDxfId="109"/>
    <tableColumn id="3" xr3:uid="{7935B67B-4456-42E7-8B2D-EAF1D5C1B4F9}" name="Rota" dataDxfId="108"/>
    <tableColumn id="4" xr3:uid="{74C94A9C-B298-4701-847E-59C66BC8BBC2}" name="Motorista" dataDxfId="107">
      <calculatedColumnFormula>IFERROR(VLOOKUP(Tabela32[[#This Row],[Placa]],Planilha2!$A$1:$B$12,2,0),"")</calculatedColumnFormula>
    </tableColumn>
    <tableColumn id="6" xr3:uid="{694C94D7-8F01-480E-AA0C-B9B0FA8D2345}" name="Valor Frete" dataDxfId="106" dataCellStyle="Moeda"/>
    <tableColumn id="7" xr3:uid="{7D623530-7EED-4526-B289-B392FA2EF883}" name="Valor Mercadoria" dataDxfId="105" dataCellStyle="Moeda"/>
    <tableColumn id="8" xr3:uid="{3D927A69-B557-47A5-A269-05DEBEF85C73}" name="Peso" dataDxfId="104"/>
    <tableColumn id="9" xr3:uid="{69BC588C-6D01-4257-B2D9-CF2D843D1C40}" name="% Frete" dataDxfId="103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02"/>
    <tableColumn id="11" xr3:uid="{3B907CC4-B262-4107-87FF-1E75280AC1BF}" name="Hr Chegada" dataDxfId="101"/>
    <tableColumn id="12" xr3:uid="{ED725939-179A-4D21-873C-15774DD68F53}" name="Tempo" dataDxfId="100">
      <calculatedColumnFormula>Tabela32[[#This Row],[Hr Chegada]]-Tabela32[[#This Row],[Hr Saida]]</calculatedColumnFormula>
    </tableColumn>
    <tableColumn id="13" xr3:uid="{74EA350D-6976-4E2D-A058-0785043C5735}" name="Km Saída" dataDxfId="99"/>
    <tableColumn id="14" xr3:uid="{496AFEAD-5BFE-466C-B0AF-20375AAEECFC}" name="Km Chegada" dataDxfId="98"/>
    <tableColumn id="15" xr3:uid="{AB2841F1-639E-4525-98D9-0FAED04E102B}" name="Km/Dia" dataDxfId="97">
      <calculatedColumnFormula>Tabela32[[#This Row],[Km Chegada]]-Tabela32[[#This Row],[Km Saída]]</calculatedColumnFormula>
    </tableColumn>
    <tableColumn id="16" xr3:uid="{D83FBC01-4652-43E1-B278-CE34A958D106}" name="Vols" dataDxfId="96"/>
    <tableColumn id="17" xr3:uid="{CA7BF05C-1770-40EE-89A9-C80AA88EFC06}" name="Entregas" dataDxfId="95"/>
    <tableColumn id="18" xr3:uid="{037F6348-AFD4-431D-99B0-8147EA9E213B}" name="Realizadas" dataDxfId="94"/>
    <tableColumn id="19" xr3:uid="{196A1910-314C-450C-B67A-E51295FA6A18}" name=" Retornadas" dataDxfId="93">
      <calculatedColumnFormula>Tabela32[[#This Row],[Entregas]]-Tabela32[[#This Row],[Realizadas]]</calculatedColumnFormula>
    </tableColumn>
    <tableColumn id="20" xr3:uid="{F0BBC004-BAAB-43E2-A50E-1DD3FAEFD5F0}" name="% Entrega" dataDxfId="92" dataCellStyle="Moeda">
      <calculatedColumnFormula>Tabela32[[#This Row],[Realizadas]]/Tabela32[[#This Row],[Entregas]]</calculatedColumnFormula>
    </tableColumn>
    <tableColumn id="21" xr3:uid="{BB53A276-7721-4934-9C42-DB7E1D2740B3}" name="Meta" dataDxfId="91">
      <calculatedColumnFormula>IF(Tabela32[[#This Row],[% Entrega]]&gt;=96%,"Atendeu a Meta","Não Atendeu a Meta")</calculatedColumnFormula>
    </tableColumn>
    <tableColumn id="22" xr3:uid="{CE1DD687-26CA-4D2F-BCFC-661EB14CAD0F}" name="Cidade Destino" dataDxfId="90"/>
    <tableColumn id="23" xr3:uid="{F8FFD74E-1FF0-45CC-9EA9-8E8EA807957C}" name="Nfs Voltaram" dataDxfId="89"/>
    <tableColumn id="24" xr3:uid="{2EC98F08-AFB3-40A3-B3CE-1C9A788E39CD}" name="Ocorrência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25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24" sqref="U24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65</v>
      </c>
      <c r="C17" s="4"/>
      <c r="D17" s="4" t="s">
        <v>66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82</v>
      </c>
      <c r="V20" s="5"/>
    </row>
    <row r="21" spans="1:22" x14ac:dyDescent="0.25">
      <c r="A21" s="8">
        <v>46294</v>
      </c>
      <c r="B21" s="8" t="s">
        <v>57</v>
      </c>
      <c r="C21" s="4"/>
      <c r="D21" s="4" t="s">
        <v>58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57</v>
      </c>
      <c r="C22" s="4"/>
      <c r="D22" s="4" t="s">
        <v>58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27">
        <v>8104.3</v>
      </c>
      <c r="F25" s="27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</sheetData>
  <conditionalFormatting sqref="H2:H25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R2:R25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S2:S25">
    <cfRule type="expression" dxfId="7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7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501"/>
  <sheetViews>
    <sheetView showGridLines="0" tabSelected="1" workbookViewId="0">
      <pane xSplit="10" ySplit="1" topLeftCell="W473" activePane="bottomRight" state="frozen"/>
      <selection pane="topRight" activeCell="I1" sqref="I1"/>
      <selection pane="bottomLeft" activeCell="A2" sqref="A2"/>
      <selection pane="bottomRight" activeCell="Y501" sqref="Y501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>Manoel</v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64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Wesley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83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84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Wesley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>Manoel</v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85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Wesley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86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87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Wesley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88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63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Wesley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Wesley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82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89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Wesley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Wesley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90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91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Wesley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Wesley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91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Wesley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92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82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93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Wesley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94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Wesley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88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76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Wesley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63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26">
        <f>YEAR(Tabela32[[#This Row],[Data]])</f>
        <v>2026</v>
      </c>
      <c r="C490" s="2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26">
        <f>YEAR(Tabela32[[#This Row],[Data]])</f>
        <v>2026</v>
      </c>
      <c r="C491" s="2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>Manoel</v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26">
        <f>YEAR(Tabela32[[#This Row],[Data]])</f>
        <v>2026</v>
      </c>
      <c r="C492" s="2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26">
        <f>YEAR(Tabela32[[#This Row],[Data]])</f>
        <v>2026</v>
      </c>
      <c r="C493" s="2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26">
        <f>YEAR(Tabela32[[#This Row],[Data]])</f>
        <v>2026</v>
      </c>
      <c r="C494" s="2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Wesley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26">
        <f>YEAR(Tabela32[[#This Row],[Data]])</f>
        <v>2026</v>
      </c>
      <c r="C495" s="2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26">
        <f>YEAR(Tabela32[[#This Row],[Data]])</f>
        <v>2026</v>
      </c>
      <c r="C496" s="2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26">
        <f>YEAR(Tabela32[[#This Row],[Data]])</f>
        <v>2026</v>
      </c>
      <c r="C497" s="2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26">
        <f>YEAR(Tabela32[[#This Row],[Data]])</f>
        <v>2026</v>
      </c>
      <c r="C498" s="2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26">
        <f>YEAR(Tabela32[[#This Row],[Data]])</f>
        <v>2026</v>
      </c>
      <c r="C499" s="2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26">
        <f>YEAR(Tabela32[[#This Row],[Data]])</f>
        <v>2026</v>
      </c>
      <c r="C500" s="2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26">
        <f>YEAR(Tabela32[[#This Row],[Data]])</f>
        <v>2026</v>
      </c>
      <c r="C501" s="2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</sheetData>
  <conditionalFormatting sqref="J2:J501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U2:U501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V2:V501">
    <cfRule type="expression" dxfId="67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66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D2:D501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2026-10-08T18:38:08Z</dcterms:modified>
</cp:coreProperties>
</file>