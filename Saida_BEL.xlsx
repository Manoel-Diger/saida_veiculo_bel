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B7B3D4D4-BBB8-450A-BEA5-807D4E8FE5CB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<sst xmlns="http://schemas.openxmlformats.org/spreadsheetml/2006/main" count="345" uniqueCount="69">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</sst>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8" totalsRowShown="0" headerRowDxfId="133" dataDxfId="131" headerRowBorderDxfId="132" tableBorderDxfId="130" totalsRowBorderDxfId="129" headerRowCellStyle="Normal 2 2 2">
  <autoFilter ref="A1:V8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27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Carre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8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8" sqref="U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2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</sheetData>
  <conditionalFormatting sqref="H2:H8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8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8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27"/>
  <sheetViews>
    <sheetView showGridLines="0" tabSelected="1" workbookViewId="0">
      <pane xSplit="10" ySplit="1" topLeftCell="V109" activePane="bottomRight" state="frozen"/>
      <selection pane="topRight" activeCell="I1" sqref="I1"/>
      <selection pane="bottomLeft" activeCell="A2" sqref="A2"/>
      <selection pane="bottomRight" activeCell="X127" sqref="X127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21">
        <f>YEAR(Tabela32[[#This Row],[Data]])</f>
        <v>2026</v>
      </c>
      <c r="C115" s="21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21">
        <f>YEAR(Tabela32[[#This Row],[Data]])</f>
        <v>2026</v>
      </c>
      <c r="C116" s="21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21">
        <f>YEAR(Tabela32[[#This Row],[Data]])</f>
        <v>2026</v>
      </c>
      <c r="C117" s="21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21">
        <f>YEAR(Tabela32[[#This Row],[Data]])</f>
        <v>2026</v>
      </c>
      <c r="C118" s="21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21">
        <f>YEAR(Tabela32[[#This Row],[Data]])</f>
        <v>2026</v>
      </c>
      <c r="C119" s="21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21">
        <f>YEAR(Tabela32[[#This Row],[Data]])</f>
        <v>2026</v>
      </c>
      <c r="C120" s="21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21">
        <f>YEAR(Tabela32[[#This Row],[Data]])</f>
        <v>2026</v>
      </c>
      <c r="C121" s="21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21">
        <f>YEAR(Tabela32[[#This Row],[Data]])</f>
        <v>2026</v>
      </c>
      <c r="C122" s="21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21">
        <f>YEAR(Tabela32[[#This Row],[Data]])</f>
        <v>2026</v>
      </c>
      <c r="C123" s="21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21">
        <f>YEAR(Tabela32[[#This Row],[Data]])</f>
        <v>2026</v>
      </c>
      <c r="C124" s="21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21">
        <f>YEAR(Tabela32[[#This Row],[Data]])</f>
        <v>2026</v>
      </c>
      <c r="C125" s="21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21">
        <f>YEAR(Tabela32[[#This Row],[Data]])</f>
        <v>2026</v>
      </c>
      <c r="C126" s="21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13</v>
      </c>
      <c r="T126" s="12">
        <f>Tabela32[[#This Row],[Entregas]]-Tabela32[[#This Row],[Realizadas]]</f>
        <v>0</v>
      </c>
      <c r="U126" s="18">
        <f>Tabela32[[#This Row],[Realizadas]]/Tabela32[[#This Row],[Entregas]]</f>
        <v>1</v>
      </c>
      <c r="V126" s="19" t="str">
        <f>IF(Tabela32[[#This Row],[% Entrega]]&gt;=96%,"Atendeu a Meta","Não Atendeu a Meta")</f>
        <v>Atendeu a Meta</v>
      </c>
      <c r="W126" s="4" t="s">
        <v>40</v>
      </c>
      <c r="X126" s="4">
        <v>2</v>
      </c>
      <c r="Y126" s="5">
        <v>38</v>
      </c>
    </row>
    <row r="127" spans="1:25" x14ac:dyDescent="0.25">
      <c r="A127" s="8">
        <v>46253</v>
      </c>
      <c r="B127" s="21">
        <f>YEAR(Tabela32[[#This Row],[Data]])</f>
        <v>2026</v>
      </c>
      <c r="C127" s="21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4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</sheetData>
  <conditionalFormatting sqref="J2:J127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127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127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2026-08-20T12:55:02Z</dcterms:modified>
</cp:coreProperties>
</file>