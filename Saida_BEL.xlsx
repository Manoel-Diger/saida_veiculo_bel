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FBCE3C76-3E67-4B92-8759-B3736667E29F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3" i="4" l="1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<sst xmlns="http://schemas.openxmlformats.org/spreadsheetml/2006/main" count="528" uniqueCount="76">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</sst>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3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9" totalsRowShown="0" headerRowDxfId="133" dataDxfId="131" headerRowBorderDxfId="132" tableBorderDxfId="130" totalsRowBorderDxfId="129" headerRowCellStyle="Normal 2 2 2">
  <autoFilter ref="A1:V9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118">
      <calculatedColumnFormula>Tabela35[[#This Row],[Hr Chegada]]-Tabela35[[#This Row],[Hr Saida]]</calculatedColumnFormula>
    </tableColumn>
    <tableColumn id="13" xr3:uid="{E5643091-5008-4800-BF73-88DFC566FBE9}" name="Frete" dataDxfId="117" dataCellStyle="Moeda"/>
    <tableColumn id="14" xr3:uid="{5E8F8636-0E97-4E52-8561-725D1AD8BAF1}" name="% Frete T" dataDxfId="116" dataCellStyle="Porcentagem">
      <calculatedColumnFormula>Tabela35[[#This Row],[Frete]]/Tabela35[[#This Row],[Valor Frete]]</calculatedColumnFormula>
    </tableColumn>
    <tableColumn id="16" xr3:uid="{F64AFFB0-A5D7-49FD-8B66-BD3FBD830A8C}" name="Vols" dataDxfId="115"/>
    <tableColumn id="17" xr3:uid="{36B8097A-82AA-4880-AA26-8A84D3BFDAE9}" name="Qtde Entregas" dataDxfId="114"/>
    <tableColumn id="18" xr3:uid="{8BF06732-0C91-4852-86A9-342D98B30169}" name="Entregas Realizadas" dataDxfId="113"/>
    <tableColumn id="19" xr3:uid="{20BD31A4-57AA-4F11-A73A-2B181C01798B}" name=" Retornadas" dataDxfId="112">
      <calculatedColumnFormula>Tabela35[[#This Row],[Qtde Entregas]]-Tabela35[[#This Row],[Entregas Realizadas]]</calculatedColumnFormula>
    </tableColumn>
    <tableColumn id="20" xr3:uid="{F3EDF45C-B4E9-4FE6-A74A-C49CA0273F75}" name="% Entrega" dataDxfId="111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0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09"/>
    <tableColumn id="23" xr3:uid="{D7BA1AAD-39A7-4F74-8E2B-3DAD30E78669}" name="Nfs Voltaram" dataDxfId="108"/>
    <tableColumn id="24" xr3:uid="{3938B063-E851-4B1A-B457-042DD7442897}" name="Código ocorrência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213" totalsRowShown="0" headerRowDxfId="106" dataDxfId="104" headerRowBorderDxfId="105" tableBorderDxfId="103" totalsRowBorderDxfId="102">
  <tableColumns count="25">
    <tableColumn id="1" xr3:uid="{B118DAB0-A500-46F5-A61D-A15BA1838F69}" name="Data" dataDxfId="101"/>
    <tableColumn id="25" xr3:uid="{DAA903FE-736A-4CBF-95D8-B9E859203B97}" name="Ano" dataDxfId="100">
      <calculatedColumnFormula>YEAR(Tabela32[[#This Row],[Data]])</calculatedColumnFormula>
    </tableColumn>
    <tableColumn id="5" xr3:uid="{90D6CF8C-ACE3-46EA-828E-BB258996DD8F}" name="Mês" dataDxfId="99">
      <calculatedColumnFormula>MONTH(Tabela32[[#This Row],[Data]])</calculatedColumnFormula>
    </tableColumn>
    <tableColumn id="2" xr3:uid="{9E2D603E-103D-4F88-A5C8-5E9A03E2A3EE}" name="Placa" dataDxfId="98"/>
    <tableColumn id="3" xr3:uid="{7935B67B-4456-42E7-8B2D-EAF1D5C1B4F9}" name="Rota" dataDxfId="97"/>
    <tableColumn id="4" xr3:uid="{74C94A9C-B298-4701-847E-59C66BC8BBC2}" name="Motorista" dataDxfId="96">
      <calculatedColumnFormula>IFERROR(VLOOKUP(Tabela32[[#This Row],[Placa]],Planilha2!$A$1:$B$12,2,0),"")</calculatedColumnFormula>
    </tableColumn>
    <tableColumn id="6" xr3:uid="{694C94D7-8F01-480E-AA0C-B9B0FA8D2345}" name="Valor Frete" dataDxfId="95"/>
    <tableColumn id="7" xr3:uid="{7D623530-7EED-4526-B289-B392FA2EF883}" name="Valor Mercadoria" dataDxfId="94"/>
    <tableColumn id="8" xr3:uid="{3D927A69-B557-47A5-A269-05DEBEF85C73}" name="Peso" dataDxfId="93"/>
    <tableColumn id="9" xr3:uid="{69BC588C-6D01-4257-B2D9-CF2D843D1C40}" name="% Frete" dataDxfId="92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91"/>
    <tableColumn id="11" xr3:uid="{3B907CC4-B262-4107-87FF-1E75280AC1BF}" name="Hr Chegada" dataDxfId="90"/>
    <tableColumn id="12" xr3:uid="{ED725939-179A-4D21-873C-15774DD68F53}" name="Tempo" dataDxfId="89">
      <calculatedColumnFormula>Tabela32[[#This Row],[Hr Chegada]]-Tabela32[[#This Row],[Hr Saida]]</calculatedColumnFormula>
    </tableColumn>
    <tableColumn id="13" xr3:uid="{74EA350D-6976-4E2D-A058-0785043C5735}" name="Km Saída" dataDxfId="88"/>
    <tableColumn id="14" xr3:uid="{496AFEAD-5BFE-466C-B0AF-20375AAEECFC}" name="Km Chegada" dataDxfId="87"/>
    <tableColumn id="15" xr3:uid="{AB2841F1-639E-4525-98D9-0FAED04E102B}" name="Km/Dia" dataDxfId="86">
      <calculatedColumnFormula>Tabela32[[#This Row],[Km Chegada]]-Tabela32[[#This Row],[Km Saída]]</calculatedColumnFormula>
    </tableColumn>
    <tableColumn id="16" xr3:uid="{D83FBC01-4652-43E1-B278-CE34A958D106}" name="Vols" dataDxfId="85"/>
    <tableColumn id="17" xr3:uid="{CA7BF05C-1770-40EE-89A9-C80AA88EFC06}" name="Entregas" dataDxfId="84"/>
    <tableColumn id="18" xr3:uid="{037F6348-AFD4-431D-99B0-8147EA9E213B}" name="Realizadas" dataDxfId="83"/>
    <tableColumn id="19" xr3:uid="{196A1910-314C-450C-B67A-E51295FA6A18}" name=" Retornadas" dataDxfId="82">
      <calculatedColumnFormula>Tabela32[[#This Row],[Entregas]]-Tabela32[[#This Row],[Realizadas]]</calculatedColumnFormula>
    </tableColumn>
    <tableColumn id="20" xr3:uid="{F0BBC004-BAAB-43E2-A50E-1DD3FAEFD5F0}" name="% Entrega" dataDxfId="81" dataCellStyle="Moeda">
      <calculatedColumnFormula>Tabela32[[#This Row],[Realizadas]]/Tabela32[[#This Row],[Entregas]]</calculatedColumnFormula>
    </tableColumn>
    <tableColumn id="21" xr3:uid="{BB53A276-7721-4934-9C42-DB7E1D2740B3}" name="Meta" dataDxfId="80">
      <calculatedColumnFormula>IF(Tabela32[[#This Row],[% Entrega]]&gt;=96%,"Atendeu a Meta","Não Atendeu a Meta")</calculatedColumnFormula>
    </tableColumn>
    <tableColumn id="22" xr3:uid="{CE1DD687-26CA-4D2F-BCFC-661EB14CAD0F}" name="Cidade Destino" dataDxfId="79"/>
    <tableColumn id="23" xr3:uid="{F8FFD74E-1FF0-45CC-9EA9-8E8EA807957C}" name="Nfs Voltaram" dataDxfId="78"/>
    <tableColumn id="24" xr3:uid="{2EC98F08-AFB3-40A3-B3CE-1C9A788E39CD}" name="Ocorrência" dataDxfId="7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9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O9" sqref="O9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21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46259</v>
      </c>
      <c r="B9" s="8" t="s">
        <v>59</v>
      </c>
      <c r="C9" s="4"/>
      <c r="D9" s="4" t="s">
        <v>60</v>
      </c>
      <c r="E9" s="10">
        <v>12786.37</v>
      </c>
      <c r="F9" s="10">
        <v>104458.62</v>
      </c>
      <c r="G9" s="4">
        <v>633</v>
      </c>
      <c r="H9" s="9">
        <f>Tabela35[[#This Row],[Valor Frete]]/Tabela35[[#This Row],[Valor Mercadoria]]</f>
        <v>0.12240607811973776</v>
      </c>
      <c r="I9" s="4"/>
      <c r="J9" s="4"/>
      <c r="K9" s="4">
        <f>Tabela35[[#This Row],[Hr Chegada]]-Tabela35[[#This Row],[Hr Saida]]</f>
        <v>0</v>
      </c>
      <c r="L9" s="10"/>
      <c r="M9" s="9">
        <f>Tabela35[[#This Row],[Frete]]/Tabela35[[#This Row],[Valor Frete]]</f>
        <v>0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</sheetData>
  <conditionalFormatting sqref="H2:H9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R2:R9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S2:S9">
    <cfRule type="expression" dxfId="67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66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213"/>
  <sheetViews>
    <sheetView showGridLines="0" tabSelected="1" workbookViewId="0">
      <pane xSplit="10" ySplit="1" topLeftCell="W200" activePane="bottomRight" state="frozen"/>
      <selection pane="topRight" activeCell="I1" sqref="I1"/>
      <selection pane="bottomLeft" activeCell="A2" sqref="A2"/>
      <selection pane="bottomRight" activeCell="X213" sqref="X213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75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>
        <v>0</v>
      </c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>
        <v>0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>
        <v>0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>
        <v>0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>
        <v>0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>
        <v>0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>
        <v>0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0</v>
      </c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>
        <v>0</v>
      </c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>
        <v>0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>
        <v>0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>
        <v>0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0</v>
      </c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>
        <v>0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>
        <v>0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40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>
        <v>0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>
        <v>0</v>
      </c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>
        <v>0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>
        <v>0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>
        <v>0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>
        <v>0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>
        <v>0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>
        <v>0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>
        <v>0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>
        <v>0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>
        <v>0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0</v>
      </c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>
        <v>0</v>
      </c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>
        <v>0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>
        <v>0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>
        <v>0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>
        <v>0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>
        <v>0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>
        <v>0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>
        <v>0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>
        <v>0</v>
      </c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>
        <v>0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>
        <v>0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>
        <v>0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0</v>
      </c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>
        <v>0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>
        <v>0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>
        <v>0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>
        <v>0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>
        <v>0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>
        <v>0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0</v>
      </c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>
        <v>0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>
        <v>0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>
        <v>0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>
        <v>0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>
        <v>0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>
        <v>0</v>
      </c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>
        <v>0</v>
      </c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>
        <v>0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>
        <v>0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0</v>
      </c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>
        <v>0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>
        <v>0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>
        <v>0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>
        <v>0</v>
      </c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 t="s">
        <v>71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>
        <v>0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>
        <v>0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>
        <v>0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0</v>
      </c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>
        <v>0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>
        <v>0</v>
      </c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>
        <v>0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>
        <v>0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>
        <v>0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>
        <v>0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>
        <v>0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>
        <v>0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>
        <v>0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0</v>
      </c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>
        <v>0</v>
      </c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>
        <v>0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>
        <v>0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>
        <v>0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>
        <v>0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>
        <v>0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>
        <v>0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>
        <v>0</v>
      </c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>
        <v>0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>
        <v>0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>
        <v>0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 t="s">
        <v>71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0</v>
      </c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>
        <v>0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>
        <v>0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>
        <v>0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>
        <v>0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>
        <v>0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>
        <v>0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>
        <v>0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>
        <v>0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>
        <v>0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>
        <v>0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>
        <v>0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>
        <v>0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0</v>
      </c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>
        <v>0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>
        <v>0</v>
      </c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>
        <v>0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>
        <v>0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>
        <v>0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>
        <v>0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>
        <v>0</v>
      </c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>
        <v>0</v>
      </c>
      <c r="F109" s="4" t="str">
        <f>IFERROR(VLOOKUP(Tabela32[[#This Row],[Placa]],Planilha2!$A$1:$B$12,2,0),"")</f>
        <v>Rosinaldo</v>
      </c>
      <c r="G109" s="20">
        <v>6107.34</v>
      </c>
      <c r="H109" s="2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0</v>
      </c>
      <c r="F110" s="4" t="str">
        <f>IFERROR(VLOOKUP(Tabela32[[#This Row],[Placa]],Planilha2!$A$1:$B$12,2,0),"")</f>
        <v>Juscelino</v>
      </c>
      <c r="G110" s="20">
        <v>8968.25</v>
      </c>
      <c r="H110" s="2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>
        <v>0</v>
      </c>
      <c r="F111" s="4" t="str">
        <f>IFERROR(VLOOKUP(Tabela32[[#This Row],[Placa]],Planilha2!$A$1:$B$12,2,0),"")</f>
        <v>Arnaldo</v>
      </c>
      <c r="G111" s="20">
        <v>13448.98</v>
      </c>
      <c r="H111" s="2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>
        <v>0</v>
      </c>
      <c r="F112" s="4" t="str">
        <f>IFERROR(VLOOKUP(Tabela32[[#This Row],[Placa]],Planilha2!$A$1:$B$12,2,0),"")</f>
        <v>Edilson</v>
      </c>
      <c r="G112" s="20">
        <v>16015.07</v>
      </c>
      <c r="H112" s="2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>
        <v>0</v>
      </c>
      <c r="F113" s="4" t="str">
        <f>IFERROR(VLOOKUP(Tabela32[[#This Row],[Placa]],Planilha2!$A$1:$B$12,2,0),"")</f>
        <v>Gilberto</v>
      </c>
      <c r="G113" s="20">
        <v>6269.27</v>
      </c>
      <c r="H113" s="2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>
        <v>0</v>
      </c>
      <c r="F114" s="4" t="str">
        <f>IFERROR(VLOOKUP(Tabela32[[#This Row],[Placa]],Planilha2!$A$1:$B$12,2,0),"")</f>
        <v>Paulo</v>
      </c>
      <c r="G114" s="20">
        <v>1959.35</v>
      </c>
      <c r="H114" s="2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0</v>
      </c>
      <c r="F115" s="4" t="str">
        <f>IFERROR(VLOOKUP(Tabela32[[#This Row],[Placa]],Planilha2!$A$1:$B$12,2,0),"")</f>
        <v>Juscelino</v>
      </c>
      <c r="G115" s="20">
        <v>6952.52</v>
      </c>
      <c r="H115" s="2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>
        <v>0</v>
      </c>
      <c r="F116" s="4" t="str">
        <f>IFERROR(VLOOKUP(Tabela32[[#This Row],[Placa]],Planilha2!$A$1:$B$12,2,0),"")</f>
        <v>Paulo</v>
      </c>
      <c r="G116" s="20">
        <v>677.17</v>
      </c>
      <c r="H116" s="2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>
        <v>0</v>
      </c>
      <c r="F117" s="4" t="str">
        <f>IFERROR(VLOOKUP(Tabela32[[#This Row],[Placa]],Planilha2!$A$1:$B$12,2,0),"")</f>
        <v>Osvaldo</v>
      </c>
      <c r="G117" s="2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>
        <v>0</v>
      </c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>
        <v>0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>
        <v>0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>
        <v>0</v>
      </c>
      <c r="F121" s="4" t="str">
        <f>IFERROR(VLOOKUP(Tabela32[[#This Row],[Placa]],Planilha2!$A$1:$B$12,2,0),"")</f>
        <v>Edilson</v>
      </c>
      <c r="G121" s="10">
        <v>34859.64</v>
      </c>
      <c r="H121" s="4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>
        <v>0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>
        <v>0</v>
      </c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>
        <v>0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>
        <v>0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>
        <v>0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>
        <v>0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30</v>
      </c>
      <c r="E128" s="4">
        <v>0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41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24</v>
      </c>
      <c r="E129" s="4">
        <v>0</v>
      </c>
      <c r="F129" s="4" t="str">
        <f>IFERROR(VLOOKUP(Tabela32[[#This Row],[Placa]],Planilha2!$A$1:$B$12,2,0),"")</f>
        <v>Wesley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40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0</v>
      </c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40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29</v>
      </c>
      <c r="E131" s="4">
        <v>0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42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36</v>
      </c>
      <c r="E132" s="4">
        <v>0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40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34</v>
      </c>
      <c r="E133" s="4">
        <v>0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45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28</v>
      </c>
      <c r="E134" s="4">
        <v>0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45</v>
      </c>
      <c r="X134" s="4">
        <v>7</v>
      </c>
      <c r="Y134" s="5" t="s">
        <v>70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26</v>
      </c>
      <c r="E135" s="4">
        <v>0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40</v>
      </c>
      <c r="X135" s="4">
        <v>3</v>
      </c>
      <c r="Y135" s="5" t="s">
        <v>71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55</v>
      </c>
      <c r="E136" s="4">
        <v>0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40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30</v>
      </c>
      <c r="E137" s="4">
        <v>0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40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29</v>
      </c>
      <c r="E138" s="4">
        <v>0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42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55</v>
      </c>
      <c r="E139" s="4">
        <v>0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40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30</v>
      </c>
      <c r="E140" s="4">
        <v>0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41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26</v>
      </c>
      <c r="E141" s="4">
        <v>0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40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36</v>
      </c>
      <c r="E142" s="4">
        <v>0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45</v>
      </c>
      <c r="X142" s="4">
        <v>5</v>
      </c>
      <c r="Y142" s="5" t="s">
        <v>70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32</v>
      </c>
      <c r="E143" s="4">
        <v>0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40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0</v>
      </c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40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34</v>
      </c>
      <c r="E145" s="4">
        <v>0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41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24</v>
      </c>
      <c r="E146" s="4">
        <v>0</v>
      </c>
      <c r="F146" s="4" t="str">
        <f>IFERROR(VLOOKUP(Tabela32[[#This Row],[Placa]],Planilha2!$A$1:$B$12,2,0),"")</f>
        <v>Wesley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45</v>
      </c>
      <c r="X146" s="4">
        <v>3</v>
      </c>
      <c r="Y146" s="5" t="s">
        <v>69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30</v>
      </c>
      <c r="E147" s="4">
        <v>0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40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30</v>
      </c>
      <c r="E148" s="4">
        <v>0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42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30</v>
      </c>
      <c r="E149" s="4">
        <v>0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41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32</v>
      </c>
      <c r="E150" s="4">
        <v>0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40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26</v>
      </c>
      <c r="E151" s="4">
        <v>0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42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36</v>
      </c>
      <c r="E152" s="4">
        <v>0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65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34</v>
      </c>
      <c r="E153" s="4">
        <v>0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41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29</v>
      </c>
      <c r="E154" s="4">
        <v>0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40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55</v>
      </c>
      <c r="E155" s="4">
        <v>0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40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0</v>
      </c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40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28</v>
      </c>
      <c r="E157" s="4">
        <v>0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45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24</v>
      </c>
      <c r="E158" s="4">
        <v>0</v>
      </c>
      <c r="F158" s="4" t="str">
        <f>IFERROR(VLOOKUP(Tabela32[[#This Row],[Placa]],Planilha2!$A$1:$B$12,2,0),"")</f>
        <v>Wesley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45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26</v>
      </c>
      <c r="E159" s="4">
        <v>0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42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0</v>
      </c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40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55</v>
      </c>
      <c r="E161" s="4">
        <v>0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40</v>
      </c>
      <c r="X161" s="4">
        <v>3</v>
      </c>
      <c r="Y161" s="5" t="s">
        <v>72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32</v>
      </c>
      <c r="E162" s="4">
        <v>0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40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24</v>
      </c>
      <c r="E163" s="4">
        <v>0</v>
      </c>
      <c r="F163" s="4" t="str">
        <f>IFERROR(VLOOKUP(Tabela32[[#This Row],[Placa]],Planilha2!$A$1:$B$12,2,0),"")</f>
        <v>Wesley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40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34</v>
      </c>
      <c r="E164" s="4">
        <v>0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41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36</v>
      </c>
      <c r="E165" s="4">
        <v>0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45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29</v>
      </c>
      <c r="E166" s="4">
        <v>0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42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28</v>
      </c>
      <c r="E167" s="4">
        <v>0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45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30</v>
      </c>
      <c r="E168" s="4">
        <v>0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41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30</v>
      </c>
      <c r="E169" s="4">
        <v>0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45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55</v>
      </c>
      <c r="E170" s="4">
        <v>0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40</v>
      </c>
      <c r="X170" s="4">
        <v>4</v>
      </c>
      <c r="Y170" s="5" t="s">
        <v>73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28</v>
      </c>
      <c r="E171" s="4">
        <v>0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40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26</v>
      </c>
      <c r="E172" s="4">
        <v>0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42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24</v>
      </c>
      <c r="E173" s="4">
        <v>0</v>
      </c>
      <c r="F173" s="4" t="str">
        <f>IFERROR(VLOOKUP(Tabela32[[#This Row],[Placa]],Planilha2!$A$1:$B$12,2,0),"")</f>
        <v>Wesley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40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0</v>
      </c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40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29</v>
      </c>
      <c r="E175" s="4">
        <v>0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40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32</v>
      </c>
      <c r="E176" s="4">
        <v>0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40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36</v>
      </c>
      <c r="E177" s="4">
        <v>0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45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34</v>
      </c>
      <c r="E178" s="4">
        <v>0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45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55</v>
      </c>
      <c r="E179" s="4">
        <v>0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40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29</v>
      </c>
      <c r="E180" s="4">
        <v>0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42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34</v>
      </c>
      <c r="E181" s="4">
        <v>0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45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36</v>
      </c>
      <c r="E182" s="4">
        <v>0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45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28</v>
      </c>
      <c r="E183" s="4">
        <v>0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41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0</v>
      </c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40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24</v>
      </c>
      <c r="E185" s="4">
        <v>0</v>
      </c>
      <c r="F185" s="4" t="str">
        <f>IFERROR(VLOOKUP(Tabela32[[#This Row],[Placa]],Planilha2!$A$1:$B$12,2,0),"")</f>
        <v>Wesley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40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30</v>
      </c>
      <c r="E186" s="4">
        <v>0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41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32</v>
      </c>
      <c r="E187" s="4">
        <v>0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40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32</v>
      </c>
      <c r="E188" s="4">
        <v>0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40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26</v>
      </c>
      <c r="E189" s="4">
        <v>0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45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0</v>
      </c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40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29</v>
      </c>
      <c r="E191" s="4">
        <v>0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42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30</v>
      </c>
      <c r="E192" s="4">
        <v>0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45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34</v>
      </c>
      <c r="E193" s="4">
        <v>0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41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28</v>
      </c>
      <c r="E194" s="4">
        <v>0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45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24</v>
      </c>
      <c r="E195" s="4">
        <v>0</v>
      </c>
      <c r="F195" s="4" t="str">
        <f>IFERROR(VLOOKUP(Tabela32[[#This Row],[Placa]],Planilha2!$A$1:$B$12,2,0),"")</f>
        <v>Wesley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40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32</v>
      </c>
      <c r="E196" s="4">
        <v>0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40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55</v>
      </c>
      <c r="E197" s="4">
        <v>0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40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26</v>
      </c>
      <c r="E198" s="4">
        <v>0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45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36</v>
      </c>
      <c r="E199" s="4">
        <v>0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45</v>
      </c>
      <c r="X199" s="4">
        <v>14</v>
      </c>
      <c r="Y199" s="5" t="s">
        <v>74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30</v>
      </c>
      <c r="E200" s="4">
        <v>0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40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34</v>
      </c>
      <c r="E201" s="4">
        <v>0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40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26</v>
      </c>
      <c r="E202" s="4">
        <v>0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42</v>
      </c>
      <c r="X202" s="4">
        <v>0</v>
      </c>
      <c r="Y202" s="5">
        <v>0</v>
      </c>
    </row>
    <row r="203" spans="1:25" x14ac:dyDescent="0.25">
      <c r="A203" s="8">
        <v>46265</v>
      </c>
      <c r="B203" s="22">
        <f>YEAR(Tabela32[[#This Row],[Data]])</f>
        <v>2026</v>
      </c>
      <c r="C203" s="22">
        <f>MONTH(Tabela32[[#This Row],[Data]])</f>
        <v>8</v>
      </c>
      <c r="D203" s="4" t="s">
        <v>26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40</v>
      </c>
      <c r="X203" s="4">
        <v>0</v>
      </c>
      <c r="Y203" s="5">
        <v>0</v>
      </c>
    </row>
    <row r="204" spans="1:25" x14ac:dyDescent="0.25">
      <c r="A204" s="8">
        <v>46265</v>
      </c>
      <c r="B204" s="22">
        <f>YEAR(Tabela32[[#This Row],[Data]])</f>
        <v>2026</v>
      </c>
      <c r="C204" s="22">
        <f>MONTH(Tabela32[[#This Row],[Data]])</f>
        <v>8</v>
      </c>
      <c r="D204" s="4" t="s">
        <v>36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40</v>
      </c>
      <c r="X204" s="4">
        <v>0</v>
      </c>
      <c r="Y204" s="5">
        <v>0</v>
      </c>
    </row>
    <row r="205" spans="1:25" x14ac:dyDescent="0.25">
      <c r="A205" s="8">
        <v>46265</v>
      </c>
      <c r="B205" s="22">
        <f>YEAR(Tabela32[[#This Row],[Data]])</f>
        <v>2026</v>
      </c>
      <c r="C205" s="22">
        <f>MONTH(Tabela32[[#This Row],[Data]])</f>
        <v>8</v>
      </c>
      <c r="D205" s="4" t="s">
        <v>29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42</v>
      </c>
      <c r="X205" s="4">
        <v>0</v>
      </c>
      <c r="Y205" s="5">
        <v>0</v>
      </c>
    </row>
    <row r="206" spans="1:25" x14ac:dyDescent="0.25">
      <c r="A206" s="8">
        <v>46265</v>
      </c>
      <c r="B206" s="22">
        <f>YEAR(Tabela32[[#This Row],[Data]])</f>
        <v>2026</v>
      </c>
      <c r="C206" s="22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Juscelino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45</v>
      </c>
      <c r="X206" s="4">
        <v>0</v>
      </c>
      <c r="Y206" s="5">
        <v>0</v>
      </c>
    </row>
    <row r="207" spans="1:25" x14ac:dyDescent="0.25">
      <c r="A207" s="8">
        <v>46265</v>
      </c>
      <c r="B207" s="22">
        <f>YEAR(Tabela32[[#This Row],[Data]])</f>
        <v>2026</v>
      </c>
      <c r="C207" s="22">
        <f>MONTH(Tabela32[[#This Row],[Data]])</f>
        <v>8</v>
      </c>
      <c r="D207" s="4" t="s">
        <v>30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41</v>
      </c>
      <c r="X207" s="4">
        <v>0</v>
      </c>
      <c r="Y207" s="5">
        <v>0</v>
      </c>
    </row>
    <row r="208" spans="1:25" x14ac:dyDescent="0.25">
      <c r="A208" s="8">
        <v>46265</v>
      </c>
      <c r="B208" s="22">
        <f>YEAR(Tabela32[[#This Row],[Data]])</f>
        <v>2026</v>
      </c>
      <c r="C208" s="22">
        <f>MONTH(Tabela32[[#This Row],[Data]])</f>
        <v>8</v>
      </c>
      <c r="D208" s="4" t="s">
        <v>30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40</v>
      </c>
      <c r="X208" s="4">
        <v>0</v>
      </c>
      <c r="Y208" s="5">
        <v>0</v>
      </c>
    </row>
    <row r="209" spans="1:25" x14ac:dyDescent="0.25">
      <c r="A209" s="8">
        <v>46265</v>
      </c>
      <c r="B209" s="22">
        <f>YEAR(Tabela32[[#This Row],[Data]])</f>
        <v>2026</v>
      </c>
      <c r="C209" s="22">
        <f>MONTH(Tabela32[[#This Row],[Data]])</f>
        <v>8</v>
      </c>
      <c r="D209" s="4" t="s">
        <v>32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40</v>
      </c>
      <c r="X209" s="4">
        <v>1</v>
      </c>
      <c r="Y209" s="5">
        <v>38</v>
      </c>
    </row>
    <row r="210" spans="1:25" x14ac:dyDescent="0.25">
      <c r="A210" s="8">
        <v>46265</v>
      </c>
      <c r="B210" s="22">
        <f>YEAR(Tabela32[[#This Row],[Data]])</f>
        <v>2026</v>
      </c>
      <c r="C210" s="22">
        <f>MONTH(Tabela32[[#This Row],[Data]])</f>
        <v>8</v>
      </c>
      <c r="D210" s="4" t="s">
        <v>28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41</v>
      </c>
      <c r="X210" s="4">
        <v>0</v>
      </c>
      <c r="Y210" s="5">
        <v>0</v>
      </c>
    </row>
    <row r="211" spans="1:25" x14ac:dyDescent="0.25">
      <c r="A211" s="8">
        <v>46265</v>
      </c>
      <c r="B211" s="22">
        <f>YEAR(Tabela32[[#This Row],[Data]])</f>
        <v>2026</v>
      </c>
      <c r="C211" s="22">
        <f>MONTH(Tabela32[[#This Row],[Data]])</f>
        <v>8</v>
      </c>
      <c r="D211" s="4" t="s">
        <v>24</v>
      </c>
      <c r="E211" s="4">
        <v>1</v>
      </c>
      <c r="F211" s="4" t="str">
        <f>IFERROR(VLOOKUP(Tabela32[[#This Row],[Placa]],Planilha2!$A$1:$B$12,2,0),"")</f>
        <v>Wesley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45</v>
      </c>
      <c r="X211" s="4">
        <v>0</v>
      </c>
      <c r="Y211" s="5">
        <v>0</v>
      </c>
    </row>
    <row r="212" spans="1:25" x14ac:dyDescent="0.25">
      <c r="A212" s="8">
        <v>46265</v>
      </c>
      <c r="B212" s="22">
        <f>YEAR(Tabela32[[#This Row],[Data]])</f>
        <v>2026</v>
      </c>
      <c r="C212" s="22">
        <f>MONTH(Tabela32[[#This Row],[Data]])</f>
        <v>8</v>
      </c>
      <c r="D212" s="4" t="s">
        <v>34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41</v>
      </c>
      <c r="X212" s="4">
        <v>0</v>
      </c>
      <c r="Y212" s="5">
        <v>0</v>
      </c>
    </row>
    <row r="213" spans="1:25" x14ac:dyDescent="0.25">
      <c r="A213" s="8">
        <v>46265</v>
      </c>
      <c r="B213" s="22">
        <f>YEAR(Tabela32[[#This Row],[Data]])</f>
        <v>2026</v>
      </c>
      <c r="C213" s="22">
        <f>MONTH(Tabela32[[#This Row],[Data]])</f>
        <v>8</v>
      </c>
      <c r="D213" s="4" t="s">
        <v>55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41</v>
      </c>
      <c r="X213" s="4">
        <v>0</v>
      </c>
      <c r="Y213" s="5">
        <v>0</v>
      </c>
    </row>
  </sheetData>
  <conditionalFormatting sqref="J2:J213">
    <cfRule type="cellIs" dxfId="65" priority="1" operator="lessThan">
      <formula>0.05</formula>
    </cfRule>
    <cfRule type="cellIs" dxfId="64" priority="2" operator="greaterThanOrEqual">
      <formula>0.05</formula>
    </cfRule>
  </conditionalFormatting>
  <conditionalFormatting sqref="U2:U213">
    <cfRule type="cellIs" dxfId="63" priority="7" stopIfTrue="1" operator="lessThanOrEqual">
      <formula>0.949</formula>
    </cfRule>
    <cfRule type="cellIs" dxfId="62" priority="8" stopIfTrue="1" operator="greaterThanOrEqual">
      <formula>0.9</formula>
    </cfRule>
    <cfRule type="cellIs" dxfId="61" priority="9" stopIfTrue="1" operator="greaterThanOrEqual">
      <formula>90</formula>
    </cfRule>
    <cfRule type="cellIs" dxfId="60" priority="10" stopIfTrue="1" operator="lessThan">
      <formula>0</formula>
    </cfRule>
    <cfRule type="cellIs" dxfId="59" priority="11" stopIfTrue="1" operator="lessThan">
      <formula>1</formula>
    </cfRule>
    <cfRule type="cellIs" dxfId="58" priority="12" stopIfTrue="1" operator="greaterThan">
      <formula>100</formula>
    </cfRule>
    <cfRule type="cellIs" dxfId="57" priority="13" stopIfTrue="1" operator="greaterThan">
      <formula>1</formula>
    </cfRule>
  </conditionalFormatting>
  <conditionalFormatting sqref="V2:V213">
    <cfRule type="expression" dxfId="56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55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D2:D213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2026-09-01T17:13:49Z</dcterms:modified>
</cp:coreProperties>
</file>