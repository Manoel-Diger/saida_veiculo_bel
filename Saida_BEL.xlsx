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4CD13BAD-C08D-4362-BF6C-367C0BA10BA0}" xr6:coauthVersionLast="47" xr6:coauthVersionMax="47" xr10:uidLastSave="{00000000-0000-0000-0000-000000000000}"/>
  <bookViews>
    <workbookView xWindow="-120" yWindow="-120" windowWidth="20730" windowHeight="11160" activeTab="1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3" l="1"/>
  <c r="K33" i="3"/>
  <c r="M33" i="3"/>
  <c r="Q33" i="3"/>
  <c r="R33" i="3"/>
  <c r="S33" i="3" s="1"/>
  <c r="B597" i="4"/>
  <c r="C597" i="4"/>
  <c r="F597" i="4"/>
  <c r="J597" i="4"/>
  <c r="M597" i="4"/>
  <c r="P597" i="4"/>
  <c r="T597" i="4"/>
  <c r="U597" i="4"/>
  <c r="V597" i="4" s="1"/>
  <c r="H32" i="3"/>
  <c r="K32" i="3"/>
  <c r="M32" i="3"/>
  <c r="Q32" i="3"/>
  <c r="R32" i="3"/>
  <c r="S32" i="3" s="1"/>
  <c r="B596" i="4"/>
  <c r="C596" i="4"/>
  <c r="F596" i="4"/>
  <c r="J596" i="4"/>
  <c r="M596" i="4"/>
  <c r="P596" i="4"/>
  <c r="T596" i="4"/>
  <c r="U596" i="4"/>
  <c r="V596" i="4" s="1"/>
  <c r="B595" i="4"/>
  <c r="C595" i="4"/>
  <c r="F595" i="4"/>
  <c r="J595" i="4"/>
  <c r="M595" i="4"/>
  <c r="P595" i="4"/>
  <c r="T595" i="4"/>
  <c r="U595" i="4"/>
  <c r="V595" i="4" s="1"/>
  <c r="B594" i="4"/>
  <c r="C594" i="4"/>
  <c r="F594" i="4"/>
  <c r="J594" i="4"/>
  <c r="M594" i="4"/>
  <c r="P594" i="4"/>
  <c r="T594" i="4"/>
  <c r="U594" i="4"/>
  <c r="V594" i="4" s="1"/>
  <c r="B593" i="4"/>
  <c r="C593" i="4"/>
  <c r="F593" i="4"/>
  <c r="J593" i="4"/>
  <c r="M593" i="4"/>
  <c r="P593" i="4"/>
  <c r="T593" i="4"/>
  <c r="U593" i="4"/>
  <c r="V593" i="4" s="1"/>
  <c r="B592" i="4"/>
  <c r="C592" i="4"/>
  <c r="F592" i="4"/>
  <c r="J592" i="4"/>
  <c r="M592" i="4"/>
  <c r="P592" i="4"/>
  <c r="T592" i="4"/>
  <c r="U592" i="4"/>
  <c r="V592" i="4" s="1"/>
  <c r="B591" i="4"/>
  <c r="C591" i="4"/>
  <c r="F591" i="4"/>
  <c r="J591" i="4"/>
  <c r="M591" i="4"/>
  <c r="P591" i="4"/>
  <c r="T591" i="4"/>
  <c r="U591" i="4"/>
  <c r="V591" i="4" s="1"/>
  <c r="B590" i="4"/>
  <c r="C590" i="4"/>
  <c r="F590" i="4"/>
  <c r="J590" i="4"/>
  <c r="M590" i="4"/>
  <c r="P590" i="4"/>
  <c r="T590" i="4"/>
  <c r="U590" i="4"/>
  <c r="V590" i="4" s="1"/>
  <c r="B589" i="4"/>
  <c r="C589" i="4"/>
  <c r="F589" i="4"/>
  <c r="J589" i="4"/>
  <c r="M589" i="4"/>
  <c r="P589" i="4"/>
  <c r="T589" i="4"/>
  <c r="U589" i="4"/>
  <c r="V589" i="4" s="1"/>
  <c r="H31" i="3"/>
  <c r="K31" i="3"/>
  <c r="M31" i="3"/>
  <c r="Q31" i="3"/>
  <c r="R31" i="3"/>
  <c r="S31" i="3" s="1"/>
  <c r="B588" i="4"/>
  <c r="C588" i="4"/>
  <c r="F588" i="4"/>
  <c r="J588" i="4"/>
  <c r="M588" i="4"/>
  <c r="P588" i="4"/>
  <c r="T588" i="4"/>
  <c r="U588" i="4"/>
  <c r="V588" i="4" s="1"/>
  <c r="B587" i="4"/>
  <c r="C587" i="4"/>
  <c r="F587" i="4"/>
  <c r="J587" i="4"/>
  <c r="M587" i="4"/>
  <c r="P587" i="4"/>
  <c r="T587" i="4"/>
  <c r="U587" i="4"/>
  <c r="V587" i="4" s="1"/>
  <c r="B586" i="4"/>
  <c r="C586" i="4"/>
  <c r="F586" i="4"/>
  <c r="J586" i="4"/>
  <c r="M586" i="4"/>
  <c r="P586" i="4"/>
  <c r="T586" i="4"/>
  <c r="U586" i="4"/>
  <c r="V586" i="4" s="1"/>
  <c r="B585" i="4"/>
  <c r="C585" i="4"/>
  <c r="F585" i="4"/>
  <c r="J585" i="4"/>
  <c r="M585" i="4"/>
  <c r="P585" i="4"/>
  <c r="T585" i="4"/>
  <c r="U585" i="4"/>
  <c r="V585" i="4" s="1"/>
  <c r="B584" i="4"/>
  <c r="C584" i="4"/>
  <c r="F584" i="4"/>
  <c r="J584" i="4"/>
  <c r="M584" i="4"/>
  <c r="P584" i="4"/>
  <c r="T584" i="4"/>
  <c r="U584" i="4"/>
  <c r="V584" i="4" s="1"/>
  <c r="B583" i="4"/>
  <c r="C583" i="4"/>
  <c r="F583" i="4"/>
  <c r="J583" i="4"/>
  <c r="M583" i="4"/>
  <c r="P583" i="4"/>
  <c r="T583" i="4"/>
  <c r="U583" i="4"/>
  <c r="V583" i="4" s="1"/>
  <c r="B582" i="4"/>
  <c r="C582" i="4"/>
  <c r="F582" i="4"/>
  <c r="J582" i="4"/>
  <c r="M582" i="4"/>
  <c r="P582" i="4"/>
  <c r="T582" i="4"/>
  <c r="U582" i="4"/>
  <c r="V582" i="4" s="1"/>
  <c r="B581" i="4"/>
  <c r="C581" i="4"/>
  <c r="F581" i="4"/>
  <c r="J581" i="4"/>
  <c r="M581" i="4"/>
  <c r="P581" i="4"/>
  <c r="T581" i="4"/>
  <c r="U581" i="4"/>
  <c r="V581" i="4" s="1"/>
  <c r="B580" i="4"/>
  <c r="C580" i="4"/>
  <c r="F580" i="4"/>
  <c r="J580" i="4"/>
  <c r="M580" i="4"/>
  <c r="P580" i="4"/>
  <c r="T580" i="4"/>
  <c r="U580" i="4"/>
  <c r="V580" i="4" s="1"/>
  <c r="B579" i="4"/>
  <c r="C579" i="4"/>
  <c r="F579" i="4"/>
  <c r="J579" i="4"/>
  <c r="M579" i="4"/>
  <c r="P579" i="4"/>
  <c r="T579" i="4"/>
  <c r="U579" i="4"/>
  <c r="V579" i="4" s="1"/>
  <c r="B578" i="4"/>
  <c r="C578" i="4"/>
  <c r="F578" i="4"/>
  <c r="J578" i="4"/>
  <c r="M578" i="4"/>
  <c r="P578" i="4"/>
  <c r="T578" i="4"/>
  <c r="U578" i="4"/>
  <c r="V578" i="4" s="1"/>
  <c r="B577" i="4"/>
  <c r="C577" i="4"/>
  <c r="F577" i="4"/>
  <c r="J577" i="4"/>
  <c r="M577" i="4"/>
  <c r="P577" i="4"/>
  <c r="T577" i="4"/>
  <c r="U577" i="4"/>
  <c r="V577" i="4" s="1"/>
  <c r="B576" i="4"/>
  <c r="C576" i="4"/>
  <c r="F576" i="4"/>
  <c r="J576" i="4"/>
  <c r="M576" i="4"/>
  <c r="P576" i="4"/>
  <c r="T576" i="4"/>
  <c r="U576" i="4"/>
  <c r="V576" i="4" s="1"/>
  <c r="B575" i="4"/>
  <c r="C575" i="4"/>
  <c r="F575" i="4"/>
  <c r="J575" i="4"/>
  <c r="M575" i="4"/>
  <c r="P575" i="4"/>
  <c r="T575" i="4"/>
  <c r="U575" i="4"/>
  <c r="V575" i="4" s="1"/>
  <c r="B574" i="4"/>
  <c r="C574" i="4"/>
  <c r="F574" i="4"/>
  <c r="J574" i="4"/>
  <c r="M574" i="4"/>
  <c r="P574" i="4"/>
  <c r="T574" i="4"/>
  <c r="U574" i="4"/>
  <c r="V574" i="4" s="1"/>
  <c r="B573" i="4"/>
  <c r="C573" i="4"/>
  <c r="F573" i="4"/>
  <c r="J573" i="4"/>
  <c r="M573" i="4"/>
  <c r="P573" i="4"/>
  <c r="T573" i="4"/>
  <c r="U573" i="4"/>
  <c r="V573" i="4" s="1"/>
  <c r="B572" i="4"/>
  <c r="C572" i="4"/>
  <c r="F572" i="4"/>
  <c r="J572" i="4"/>
  <c r="M572" i="4"/>
  <c r="P572" i="4"/>
  <c r="T572" i="4"/>
  <c r="U572" i="4"/>
  <c r="V572" i="4" s="1"/>
  <c r="B571" i="4"/>
  <c r="C571" i="4"/>
  <c r="F571" i="4"/>
  <c r="J571" i="4"/>
  <c r="M571" i="4"/>
  <c r="P571" i="4"/>
  <c r="T571" i="4"/>
  <c r="U571" i="4"/>
  <c r="V571" i="4" s="1"/>
  <c r="B570" i="4"/>
  <c r="C570" i="4"/>
  <c r="F570" i="4"/>
  <c r="J570" i="4"/>
  <c r="M570" i="4"/>
  <c r="P570" i="4"/>
  <c r="T570" i="4"/>
  <c r="U570" i="4"/>
  <c r="V570" i="4" s="1"/>
  <c r="B569" i="4"/>
  <c r="C569" i="4"/>
  <c r="F569" i="4"/>
  <c r="J569" i="4"/>
  <c r="M569" i="4"/>
  <c r="P569" i="4"/>
  <c r="T569" i="4"/>
  <c r="U569" i="4"/>
  <c r="V569" i="4" s="1"/>
  <c r="B568" i="4"/>
  <c r="C568" i="4"/>
  <c r="F568" i="4"/>
  <c r="J568" i="4"/>
  <c r="M568" i="4"/>
  <c r="P568" i="4"/>
  <c r="T568" i="4"/>
  <c r="U568" i="4"/>
  <c r="V568" i="4" s="1"/>
  <c r="B567" i="4"/>
  <c r="C567" i="4"/>
  <c r="F567" i="4"/>
  <c r="J567" i="4"/>
  <c r="M567" i="4"/>
  <c r="P567" i="4"/>
  <c r="T567" i="4"/>
  <c r="U567" i="4"/>
  <c r="V567" i="4" s="1"/>
  <c r="B566" i="4"/>
  <c r="C566" i="4"/>
  <c r="F566" i="4"/>
  <c r="J566" i="4"/>
  <c r="M566" i="4"/>
  <c r="P566" i="4"/>
  <c r="T566" i="4"/>
  <c r="U566" i="4"/>
  <c r="V566" i="4" s="1"/>
  <c r="B565" i="4"/>
  <c r="C565" i="4"/>
  <c r="F565" i="4"/>
  <c r="J565" i="4"/>
  <c r="M565" i="4"/>
  <c r="P565" i="4"/>
  <c r="T565" i="4"/>
  <c r="U565" i="4"/>
  <c r="V565" i="4" s="1"/>
  <c r="B564" i="4"/>
  <c r="C564" i="4"/>
  <c r="F564" i="4"/>
  <c r="J564" i="4"/>
  <c r="M564" i="4"/>
  <c r="P564" i="4"/>
  <c r="T564" i="4"/>
  <c r="U564" i="4"/>
  <c r="V564" i="4" s="1"/>
  <c r="B563" i="4"/>
  <c r="C563" i="4"/>
  <c r="F563" i="4"/>
  <c r="J563" i="4"/>
  <c r="M563" i="4"/>
  <c r="P563" i="4"/>
  <c r="T563" i="4"/>
  <c r="U563" i="4"/>
  <c r="V563" i="4" s="1"/>
  <c r="B562" i="4"/>
  <c r="C562" i="4"/>
  <c r="F562" i="4"/>
  <c r="J562" i="4"/>
  <c r="M562" i="4"/>
  <c r="P562" i="4"/>
  <c r="T562" i="4"/>
  <c r="U562" i="4"/>
  <c r="V562" i="4" s="1"/>
  <c r="B561" i="4"/>
  <c r="C561" i="4"/>
  <c r="F561" i="4"/>
  <c r="J561" i="4"/>
  <c r="M561" i="4"/>
  <c r="P561" i="4"/>
  <c r="T561" i="4"/>
  <c r="U561" i="4"/>
  <c r="V561" i="4" s="1"/>
  <c r="B560" i="4"/>
  <c r="C560" i="4"/>
  <c r="F560" i="4"/>
  <c r="J560" i="4"/>
  <c r="M560" i="4"/>
  <c r="P560" i="4"/>
  <c r="T560" i="4"/>
  <c r="U560" i="4"/>
  <c r="V560" i="4" s="1"/>
  <c r="H30" i="3"/>
  <c r="K30" i="3"/>
  <c r="M30" i="3"/>
  <c r="Q30" i="3"/>
  <c r="R30" i="3"/>
  <c r="S30" i="3" s="1"/>
  <c r="H29" i="3"/>
  <c r="K29" i="3"/>
  <c r="M29" i="3"/>
  <c r="Q29" i="3"/>
  <c r="R29" i="3"/>
  <c r="S29" i="3" s="1"/>
  <c r="B559" i="4"/>
  <c r="C559" i="4"/>
  <c r="F559" i="4"/>
  <c r="J559" i="4"/>
  <c r="M559" i="4"/>
  <c r="P559" i="4"/>
  <c r="T559" i="4"/>
  <c r="U559" i="4"/>
  <c r="V559" i="4" s="1"/>
  <c r="B558" i="4"/>
  <c r="C558" i="4"/>
  <c r="F558" i="4"/>
  <c r="J558" i="4"/>
  <c r="M558" i="4"/>
  <c r="P558" i="4"/>
  <c r="T558" i="4"/>
  <c r="U558" i="4"/>
  <c r="V558" i="4" s="1"/>
  <c r="B557" i="4"/>
  <c r="C557" i="4"/>
  <c r="F557" i="4"/>
  <c r="J557" i="4"/>
  <c r="M557" i="4"/>
  <c r="P557" i="4"/>
  <c r="T557" i="4"/>
  <c r="U557" i="4"/>
  <c r="V557" i="4" s="1"/>
  <c r="B556" i="4"/>
  <c r="C556" i="4"/>
  <c r="F556" i="4"/>
  <c r="J556" i="4"/>
  <c r="M556" i="4"/>
  <c r="P556" i="4"/>
  <c r="T556" i="4"/>
  <c r="U556" i="4"/>
  <c r="V556" i="4" s="1"/>
  <c r="B555" i="4"/>
  <c r="C555" i="4"/>
  <c r="F555" i="4"/>
  <c r="J555" i="4"/>
  <c r="M555" i="4"/>
  <c r="P555" i="4"/>
  <c r="T555" i="4"/>
  <c r="U555" i="4"/>
  <c r="V555" i="4" s="1"/>
  <c r="B554" i="4"/>
  <c r="C554" i="4"/>
  <c r="F554" i="4"/>
  <c r="J554" i="4"/>
  <c r="M554" i="4"/>
  <c r="P554" i="4"/>
  <c r="T554" i="4"/>
  <c r="U554" i="4"/>
  <c r="V554" i="4" s="1"/>
  <c r="B553" i="4"/>
  <c r="C553" i="4"/>
  <c r="F553" i="4"/>
  <c r="J553" i="4"/>
  <c r="M553" i="4"/>
  <c r="P553" i="4"/>
  <c r="T553" i="4"/>
  <c r="U553" i="4"/>
  <c r="V553" i="4" s="1"/>
  <c r="B552" i="4"/>
  <c r="C552" i="4"/>
  <c r="F552" i="4"/>
  <c r="J552" i="4"/>
  <c r="M552" i="4"/>
  <c r="P552" i="4"/>
  <c r="T552" i="4"/>
  <c r="U552" i="4"/>
  <c r="V552" i="4" s="1"/>
  <c r="B551" i="4"/>
  <c r="C551" i="4"/>
  <c r="F551" i="4"/>
  <c r="J551" i="4"/>
  <c r="M551" i="4"/>
  <c r="P551" i="4"/>
  <c r="T551" i="4"/>
  <c r="U551" i="4"/>
  <c r="V551" i="4" s="1"/>
  <c r="B550" i="4"/>
  <c r="C550" i="4"/>
  <c r="F550" i="4"/>
  <c r="J550" i="4"/>
  <c r="M550" i="4"/>
  <c r="P550" i="4"/>
  <c r="T550" i="4"/>
  <c r="U550" i="4"/>
  <c r="V550" i="4" s="1"/>
  <c r="B549" i="4"/>
  <c r="C549" i="4"/>
  <c r="F549" i="4"/>
  <c r="J549" i="4"/>
  <c r="M549" i="4"/>
  <c r="P549" i="4"/>
  <c r="T549" i="4"/>
  <c r="U549" i="4"/>
  <c r="V549" i="4" s="1"/>
  <c r="B548" i="4"/>
  <c r="C548" i="4"/>
  <c r="F548" i="4"/>
  <c r="J548" i="4"/>
  <c r="M548" i="4"/>
  <c r="P548" i="4"/>
  <c r="T548" i="4"/>
  <c r="U548" i="4"/>
  <c r="V548" i="4" s="1"/>
  <c r="B547" i="4"/>
  <c r="C547" i="4"/>
  <c r="F547" i="4"/>
  <c r="J547" i="4"/>
  <c r="M547" i="4"/>
  <c r="P547" i="4"/>
  <c r="T547" i="4"/>
  <c r="U547" i="4"/>
  <c r="V547" i="4" s="1"/>
  <c r="H28" i="3"/>
  <c r="K28" i="3"/>
  <c r="M28" i="3"/>
  <c r="Q28" i="3"/>
  <c r="R28" i="3"/>
  <c r="S28" i="3" s="1"/>
  <c r="B546" i="4"/>
  <c r="C546" i="4"/>
  <c r="F546" i="4"/>
  <c r="J546" i="4"/>
  <c r="M546" i="4"/>
  <c r="P546" i="4"/>
  <c r="T546" i="4"/>
  <c r="U546" i="4"/>
  <c r="V546" i="4" s="1"/>
  <c r="B545" i="4"/>
  <c r="C545" i="4"/>
  <c r="F545" i="4"/>
  <c r="J545" i="4"/>
  <c r="M545" i="4"/>
  <c r="P545" i="4"/>
  <c r="T545" i="4"/>
  <c r="U545" i="4"/>
  <c r="V545" i="4" s="1"/>
  <c r="B544" i="4"/>
  <c r="C544" i="4"/>
  <c r="F544" i="4"/>
  <c r="J544" i="4"/>
  <c r="M544" i="4"/>
  <c r="P544" i="4"/>
  <c r="T544" i="4"/>
  <c r="U544" i="4"/>
  <c r="V544" i="4" s="1"/>
  <c r="B543" i="4"/>
  <c r="C543" i="4"/>
  <c r="F543" i="4"/>
  <c r="J543" i="4"/>
  <c r="M543" i="4"/>
  <c r="P543" i="4"/>
  <c r="T543" i="4"/>
  <c r="U543" i="4"/>
  <c r="V543" i="4" s="1"/>
  <c r="B542" i="4"/>
  <c r="C542" i="4"/>
  <c r="F542" i="4"/>
  <c r="J542" i="4"/>
  <c r="M542" i="4"/>
  <c r="P542" i="4"/>
  <c r="T542" i="4"/>
  <c r="U542" i="4"/>
  <c r="V542" i="4" s="1"/>
  <c r="B541" i="4"/>
  <c r="C541" i="4"/>
  <c r="F541" i="4"/>
  <c r="J541" i="4"/>
  <c r="M541" i="4"/>
  <c r="P541" i="4"/>
  <c r="T541" i="4"/>
  <c r="U541" i="4"/>
  <c r="V541" i="4" s="1"/>
  <c r="B540" i="4"/>
  <c r="C540" i="4"/>
  <c r="F540" i="4"/>
  <c r="J540" i="4"/>
  <c r="M540" i="4"/>
  <c r="P540" i="4"/>
  <c r="T540" i="4"/>
  <c r="U540" i="4"/>
  <c r="V540" i="4" s="1"/>
  <c r="B539" i="4"/>
  <c r="C539" i="4"/>
  <c r="F539" i="4"/>
  <c r="J539" i="4"/>
  <c r="M539" i="4"/>
  <c r="P539" i="4"/>
  <c r="T539" i="4"/>
  <c r="U539" i="4"/>
  <c r="V539" i="4" s="1"/>
  <c r="B538" i="4"/>
  <c r="C538" i="4"/>
  <c r="F538" i="4"/>
  <c r="J538" i="4"/>
  <c r="M538" i="4"/>
  <c r="P538" i="4"/>
  <c r="T538" i="4"/>
  <c r="U538" i="4"/>
  <c r="V538" i="4" s="1"/>
  <c r="B537" i="4"/>
  <c r="C537" i="4"/>
  <c r="F537" i="4"/>
  <c r="J537" i="4"/>
  <c r="M537" i="4"/>
  <c r="P537" i="4"/>
  <c r="T537" i="4"/>
  <c r="U537" i="4"/>
  <c r="V537" i="4" s="1"/>
  <c r="B536" i="4" l="1"/>
  <c r="C536" i="4"/>
  <c r="F536" i="4"/>
  <c r="J536" i="4"/>
  <c r="M536" i="4"/>
  <c r="P536" i="4"/>
  <c r="T536" i="4"/>
  <c r="U536" i="4"/>
  <c r="V536" i="4" s="1"/>
  <c r="B535" i="4"/>
  <c r="C535" i="4"/>
  <c r="F535" i="4"/>
  <c r="J535" i="4"/>
  <c r="M535" i="4"/>
  <c r="P535" i="4"/>
  <c r="T535" i="4"/>
  <c r="U535" i="4"/>
  <c r="V535" i="4" s="1"/>
  <c r="B534" i="4"/>
  <c r="C534" i="4"/>
  <c r="F534" i="4"/>
  <c r="J534" i="4"/>
  <c r="M534" i="4"/>
  <c r="P534" i="4"/>
  <c r="T534" i="4"/>
  <c r="U534" i="4"/>
  <c r="V534" i="4" s="1"/>
  <c r="F533" i="4"/>
  <c r="B533" i="4"/>
  <c r="C533" i="4"/>
  <c r="J533" i="4"/>
  <c r="M533" i="4"/>
  <c r="P533" i="4"/>
  <c r="T533" i="4"/>
  <c r="U533" i="4"/>
  <c r="V533" i="4" s="1"/>
  <c r="B532" i="4"/>
  <c r="C532" i="4"/>
  <c r="F532" i="4"/>
  <c r="J532" i="4"/>
  <c r="M532" i="4"/>
  <c r="P532" i="4"/>
  <c r="T532" i="4"/>
  <c r="U532" i="4"/>
  <c r="V532" i="4" s="1"/>
  <c r="B531" i="4"/>
  <c r="C531" i="4"/>
  <c r="F531" i="4"/>
  <c r="J531" i="4"/>
  <c r="M531" i="4"/>
  <c r="P531" i="4"/>
  <c r="T531" i="4"/>
  <c r="U531" i="4"/>
  <c r="V531" i="4" s="1"/>
  <c r="B530" i="4"/>
  <c r="C530" i="4"/>
  <c r="F530" i="4"/>
  <c r="J530" i="4"/>
  <c r="M530" i="4"/>
  <c r="P530" i="4"/>
  <c r="T530" i="4"/>
  <c r="U530" i="4"/>
  <c r="V530" i="4" s="1"/>
  <c r="B529" i="4"/>
  <c r="C529" i="4"/>
  <c r="F529" i="4"/>
  <c r="J529" i="4"/>
  <c r="M529" i="4"/>
  <c r="P529" i="4"/>
  <c r="T529" i="4"/>
  <c r="U529" i="4"/>
  <c r="V529" i="4" s="1"/>
  <c r="B528" i="4"/>
  <c r="C528" i="4"/>
  <c r="F528" i="4"/>
  <c r="J528" i="4"/>
  <c r="M528" i="4"/>
  <c r="P528" i="4"/>
  <c r="T528" i="4"/>
  <c r="U528" i="4"/>
  <c r="V528" i="4" s="1"/>
  <c r="B527" i="4"/>
  <c r="C527" i="4"/>
  <c r="F527" i="4"/>
  <c r="J527" i="4"/>
  <c r="M527" i="4"/>
  <c r="P527" i="4"/>
  <c r="T527" i="4"/>
  <c r="U527" i="4"/>
  <c r="V527" i="4" s="1"/>
  <c r="B526" i="4"/>
  <c r="C526" i="4"/>
  <c r="F526" i="4"/>
  <c r="J526" i="4"/>
  <c r="M526" i="4"/>
  <c r="P526" i="4"/>
  <c r="T526" i="4"/>
  <c r="U526" i="4"/>
  <c r="V526" i="4" s="1"/>
  <c r="T525" i="4"/>
  <c r="B525" i="4"/>
  <c r="C525" i="4"/>
  <c r="F525" i="4"/>
  <c r="J525" i="4"/>
  <c r="M525" i="4"/>
  <c r="P525" i="4"/>
  <c r="U525" i="4"/>
  <c r="V525" i="4" s="1"/>
  <c r="B524" i="4"/>
  <c r="C524" i="4"/>
  <c r="F524" i="4"/>
  <c r="J524" i="4"/>
  <c r="M524" i="4"/>
  <c r="P524" i="4"/>
  <c r="T524" i="4"/>
  <c r="U524" i="4"/>
  <c r="V524" i="4" s="1"/>
  <c r="B523" i="4"/>
  <c r="C523" i="4"/>
  <c r="F523" i="4"/>
  <c r="J523" i="4"/>
  <c r="M523" i="4"/>
  <c r="P523" i="4"/>
  <c r="T523" i="4"/>
  <c r="U523" i="4"/>
  <c r="V523" i="4" s="1"/>
  <c r="B522" i="4"/>
  <c r="C522" i="4"/>
  <c r="F522" i="4"/>
  <c r="J522" i="4"/>
  <c r="M522" i="4"/>
  <c r="P522" i="4"/>
  <c r="T522" i="4"/>
  <c r="U522" i="4"/>
  <c r="V522" i="4" s="1"/>
  <c r="B521" i="4"/>
  <c r="C521" i="4"/>
  <c r="F521" i="4"/>
  <c r="J521" i="4"/>
  <c r="M521" i="4"/>
  <c r="P521" i="4"/>
  <c r="T521" i="4"/>
  <c r="U521" i="4"/>
  <c r="V521" i="4" s="1"/>
  <c r="B520" i="4"/>
  <c r="C520" i="4"/>
  <c r="F520" i="4"/>
  <c r="J520" i="4"/>
  <c r="M520" i="4"/>
  <c r="P520" i="4"/>
  <c r="T520" i="4"/>
  <c r="U520" i="4"/>
  <c r="V520" i="4" s="1"/>
  <c r="B519" i="4"/>
  <c r="C519" i="4"/>
  <c r="F519" i="4"/>
  <c r="J519" i="4"/>
  <c r="M519" i="4"/>
  <c r="P519" i="4"/>
  <c r="T519" i="4"/>
  <c r="U519" i="4"/>
  <c r="V519" i="4" s="1"/>
  <c r="B518" i="4"/>
  <c r="C518" i="4"/>
  <c r="F518" i="4"/>
  <c r="J518" i="4"/>
  <c r="M518" i="4"/>
  <c r="P518" i="4"/>
  <c r="T518" i="4"/>
  <c r="U518" i="4"/>
  <c r="V518" i="4" s="1"/>
  <c r="B517" i="4"/>
  <c r="C517" i="4"/>
  <c r="F517" i="4"/>
  <c r="J517" i="4"/>
  <c r="M517" i="4"/>
  <c r="P517" i="4"/>
  <c r="T517" i="4"/>
  <c r="U517" i="4"/>
  <c r="V517" i="4" s="1"/>
  <c r="B516" i="4"/>
  <c r="C516" i="4"/>
  <c r="F516" i="4"/>
  <c r="J516" i="4"/>
  <c r="M516" i="4"/>
  <c r="P516" i="4"/>
  <c r="T516" i="4"/>
  <c r="U516" i="4"/>
  <c r="V516" i="4" s="1"/>
  <c r="B515" i="4"/>
  <c r="C515" i="4"/>
  <c r="F515" i="4"/>
  <c r="J515" i="4"/>
  <c r="M515" i="4"/>
  <c r="P515" i="4"/>
  <c r="T515" i="4"/>
  <c r="U515" i="4"/>
  <c r="V515" i="4" s="1"/>
  <c r="B514" i="4"/>
  <c r="C514" i="4"/>
  <c r="F514" i="4"/>
  <c r="J514" i="4"/>
  <c r="M514" i="4"/>
  <c r="P514" i="4"/>
  <c r="T514" i="4"/>
  <c r="U514" i="4"/>
  <c r="V514" i="4" s="1"/>
  <c r="B513" i="4"/>
  <c r="C513" i="4"/>
  <c r="F513" i="4"/>
  <c r="J513" i="4"/>
  <c r="M513" i="4"/>
  <c r="P513" i="4"/>
  <c r="T513" i="4"/>
  <c r="U513" i="4"/>
  <c r="V513" i="4" s="1"/>
  <c r="H27" i="3"/>
  <c r="K27" i="3"/>
  <c r="M27" i="3"/>
  <c r="Q27" i="3"/>
  <c r="R27" i="3"/>
  <c r="S27" i="3" s="1"/>
  <c r="H26" i="3" l="1"/>
  <c r="K26" i="3"/>
  <c r="M26" i="3"/>
  <c r="Q26" i="3"/>
  <c r="R26" i="3"/>
  <c r="S26" i="3" s="1"/>
  <c r="B512" i="4"/>
  <c r="C512" i="4"/>
  <c r="F512" i="4"/>
  <c r="J512" i="4"/>
  <c r="M512" i="4"/>
  <c r="P512" i="4"/>
  <c r="T512" i="4"/>
  <c r="U512" i="4"/>
  <c r="V512" i="4" s="1"/>
  <c r="B511" i="4"/>
  <c r="C511" i="4"/>
  <c r="F511" i="4"/>
  <c r="J511" i="4"/>
  <c r="M511" i="4"/>
  <c r="P511" i="4"/>
  <c r="T511" i="4"/>
  <c r="U511" i="4"/>
  <c r="V511" i="4" s="1"/>
  <c r="B510" i="4"/>
  <c r="C510" i="4"/>
  <c r="F510" i="4"/>
  <c r="J510" i="4"/>
  <c r="M510" i="4"/>
  <c r="P510" i="4"/>
  <c r="T510" i="4"/>
  <c r="U510" i="4"/>
  <c r="V510" i="4" s="1"/>
  <c r="B509" i="4"/>
  <c r="C509" i="4"/>
  <c r="F509" i="4"/>
  <c r="J509" i="4"/>
  <c r="M509" i="4"/>
  <c r="P509" i="4"/>
  <c r="T509" i="4"/>
  <c r="U509" i="4"/>
  <c r="V509" i="4" s="1"/>
  <c r="B508" i="4"/>
  <c r="C508" i="4"/>
  <c r="F508" i="4"/>
  <c r="J508" i="4"/>
  <c r="M508" i="4"/>
  <c r="P508" i="4"/>
  <c r="T508" i="4"/>
  <c r="U508" i="4"/>
  <c r="V508" i="4" s="1"/>
  <c r="B507" i="4"/>
  <c r="C507" i="4"/>
  <c r="F507" i="4"/>
  <c r="J507" i="4"/>
  <c r="M507" i="4"/>
  <c r="P507" i="4"/>
  <c r="T507" i="4"/>
  <c r="U507" i="4"/>
  <c r="V507" i="4" s="1"/>
  <c r="B506" i="4"/>
  <c r="C506" i="4"/>
  <c r="F506" i="4"/>
  <c r="J506" i="4"/>
  <c r="M506" i="4"/>
  <c r="P506" i="4"/>
  <c r="T506" i="4"/>
  <c r="U506" i="4"/>
  <c r="V506" i="4" s="1"/>
  <c r="B505" i="4"/>
  <c r="C505" i="4"/>
  <c r="F505" i="4"/>
  <c r="J505" i="4"/>
  <c r="M505" i="4"/>
  <c r="P505" i="4"/>
  <c r="T505" i="4"/>
  <c r="U505" i="4"/>
  <c r="V505" i="4" s="1"/>
  <c r="T504" i="4"/>
  <c r="B504" i="4"/>
  <c r="C504" i="4"/>
  <c r="F504" i="4"/>
  <c r="J504" i="4"/>
  <c r="M504" i="4"/>
  <c r="P504" i="4"/>
  <c r="U504" i="4"/>
  <c r="V504" i="4" s="1"/>
  <c r="B503" i="4"/>
  <c r="C503" i="4"/>
  <c r="F503" i="4"/>
  <c r="J503" i="4"/>
  <c r="M503" i="4"/>
  <c r="P503" i="4"/>
  <c r="T503" i="4"/>
  <c r="U503" i="4"/>
  <c r="V503" i="4" s="1"/>
  <c r="B502" i="4"/>
  <c r="C502" i="4"/>
  <c r="F502" i="4"/>
  <c r="J502" i="4"/>
  <c r="M502" i="4"/>
  <c r="P502" i="4"/>
  <c r="T502" i="4"/>
  <c r="U502" i="4"/>
  <c r="V502" i="4" s="1"/>
  <c r="H25" i="3"/>
  <c r="K25" i="3"/>
  <c r="M25" i="3"/>
  <c r="Q25" i="3"/>
  <c r="R25" i="3"/>
  <c r="S25" i="3" s="1"/>
  <c r="B501" i="4"/>
  <c r="C501" i="4"/>
  <c r="F501" i="4"/>
  <c r="J501" i="4"/>
  <c r="M501" i="4"/>
  <c r="P501" i="4"/>
  <c r="T501" i="4"/>
  <c r="U501" i="4"/>
  <c r="V501" i="4" s="1"/>
  <c r="B500" i="4"/>
  <c r="C500" i="4"/>
  <c r="F500" i="4"/>
  <c r="J500" i="4"/>
  <c r="M500" i="4"/>
  <c r="P500" i="4"/>
  <c r="T500" i="4"/>
  <c r="U500" i="4"/>
  <c r="V500" i="4" s="1"/>
  <c r="B499" i="4"/>
  <c r="C499" i="4"/>
  <c r="F499" i="4"/>
  <c r="J499" i="4"/>
  <c r="M499" i="4"/>
  <c r="P499" i="4"/>
  <c r="T499" i="4"/>
  <c r="U499" i="4"/>
  <c r="V499" i="4" s="1"/>
  <c r="B498" i="4"/>
  <c r="C498" i="4"/>
  <c r="F498" i="4"/>
  <c r="J498" i="4"/>
  <c r="M498" i="4"/>
  <c r="P498" i="4"/>
  <c r="T498" i="4"/>
  <c r="U498" i="4"/>
  <c r="V498" i="4" s="1"/>
  <c r="B497" i="4"/>
  <c r="C497" i="4"/>
  <c r="F497" i="4"/>
  <c r="J497" i="4"/>
  <c r="M497" i="4"/>
  <c r="P497" i="4"/>
  <c r="T497" i="4"/>
  <c r="U497" i="4"/>
  <c r="V497" i="4" s="1"/>
  <c r="B496" i="4"/>
  <c r="C496" i="4"/>
  <c r="F496" i="4"/>
  <c r="J496" i="4"/>
  <c r="M496" i="4"/>
  <c r="P496" i="4"/>
  <c r="T496" i="4"/>
  <c r="U496" i="4"/>
  <c r="V496" i="4" s="1"/>
  <c r="B495" i="4"/>
  <c r="C495" i="4"/>
  <c r="F495" i="4"/>
  <c r="J495" i="4"/>
  <c r="M495" i="4"/>
  <c r="P495" i="4"/>
  <c r="T495" i="4"/>
  <c r="U495" i="4"/>
  <c r="V495" i="4" s="1"/>
  <c r="B494" i="4"/>
  <c r="C494" i="4"/>
  <c r="F494" i="4"/>
  <c r="J494" i="4"/>
  <c r="M494" i="4"/>
  <c r="P494" i="4"/>
  <c r="T494" i="4"/>
  <c r="U494" i="4"/>
  <c r="V494" i="4" s="1"/>
  <c r="B493" i="4"/>
  <c r="C493" i="4"/>
  <c r="F493" i="4"/>
  <c r="J493" i="4"/>
  <c r="M493" i="4"/>
  <c r="P493" i="4"/>
  <c r="T493" i="4"/>
  <c r="U493" i="4"/>
  <c r="V493" i="4" s="1"/>
  <c r="B492" i="4"/>
  <c r="C492" i="4"/>
  <c r="F492" i="4"/>
  <c r="J492" i="4"/>
  <c r="M492" i="4"/>
  <c r="P492" i="4"/>
  <c r="T492" i="4"/>
  <c r="U492" i="4"/>
  <c r="V492" i="4" s="1"/>
  <c r="B491" i="4"/>
  <c r="C491" i="4"/>
  <c r="F491" i="4"/>
  <c r="J491" i="4"/>
  <c r="M491" i="4"/>
  <c r="P491" i="4"/>
  <c r="T491" i="4"/>
  <c r="U491" i="4"/>
  <c r="V491" i="4" s="1"/>
  <c r="B490" i="4"/>
  <c r="C490" i="4"/>
  <c r="F490" i="4"/>
  <c r="J490" i="4"/>
  <c r="M490" i="4"/>
  <c r="P490" i="4"/>
  <c r="T490" i="4"/>
  <c r="U490" i="4"/>
  <c r="V490" i="4" s="1"/>
  <c r="H24" i="3"/>
  <c r="K24" i="3"/>
  <c r="M24" i="3"/>
  <c r="Q24" i="3"/>
  <c r="R24" i="3"/>
  <c r="S24" i="3" s="1"/>
  <c r="B489" i="4"/>
  <c r="C489" i="4"/>
  <c r="F489" i="4"/>
  <c r="J489" i="4"/>
  <c r="M489" i="4"/>
  <c r="P489" i="4"/>
  <c r="T489" i="4"/>
  <c r="U489" i="4"/>
  <c r="V489" i="4" s="1"/>
  <c r="F488" i="4"/>
  <c r="B488" i="4"/>
  <c r="C488" i="4"/>
  <c r="J488" i="4"/>
  <c r="M488" i="4"/>
  <c r="P488" i="4"/>
  <c r="T488" i="4"/>
  <c r="U488" i="4"/>
  <c r="V488" i="4" s="1"/>
  <c r="B487" i="4"/>
  <c r="C487" i="4"/>
  <c r="F487" i="4"/>
  <c r="J487" i="4"/>
  <c r="M487" i="4"/>
  <c r="P487" i="4"/>
  <c r="T487" i="4"/>
  <c r="U487" i="4"/>
  <c r="V487" i="4" s="1"/>
  <c r="B486" i="4"/>
  <c r="C486" i="4"/>
  <c r="F486" i="4"/>
  <c r="J486" i="4"/>
  <c r="M486" i="4"/>
  <c r="P486" i="4"/>
  <c r="T486" i="4"/>
  <c r="U486" i="4"/>
  <c r="V486" i="4" s="1"/>
  <c r="B485" i="4"/>
  <c r="C485" i="4"/>
  <c r="F485" i="4"/>
  <c r="J485" i="4"/>
  <c r="M485" i="4"/>
  <c r="P485" i="4"/>
  <c r="T485" i="4"/>
  <c r="U485" i="4"/>
  <c r="V485" i="4" s="1"/>
  <c r="B484" i="4"/>
  <c r="C484" i="4"/>
  <c r="F484" i="4"/>
  <c r="J484" i="4"/>
  <c r="M484" i="4"/>
  <c r="P484" i="4"/>
  <c r="T484" i="4"/>
  <c r="U484" i="4"/>
  <c r="V484" i="4" s="1"/>
  <c r="B483" i="4"/>
  <c r="C483" i="4"/>
  <c r="F483" i="4"/>
  <c r="J483" i="4"/>
  <c r="M483" i="4"/>
  <c r="P483" i="4"/>
  <c r="T483" i="4"/>
  <c r="U483" i="4"/>
  <c r="V483" i="4" s="1"/>
  <c r="B482" i="4"/>
  <c r="C482" i="4"/>
  <c r="F482" i="4"/>
  <c r="J482" i="4"/>
  <c r="M482" i="4"/>
  <c r="P482" i="4"/>
  <c r="T482" i="4"/>
  <c r="U482" i="4"/>
  <c r="V482" i="4" s="1"/>
  <c r="B481" i="4"/>
  <c r="C481" i="4"/>
  <c r="F481" i="4"/>
  <c r="J481" i="4"/>
  <c r="M481" i="4"/>
  <c r="P481" i="4"/>
  <c r="T481" i="4"/>
  <c r="U481" i="4"/>
  <c r="V481" i="4" s="1"/>
  <c r="B480" i="4"/>
  <c r="C480" i="4"/>
  <c r="F480" i="4"/>
  <c r="J480" i="4"/>
  <c r="M480" i="4"/>
  <c r="P480" i="4"/>
  <c r="T480" i="4"/>
  <c r="U480" i="4"/>
  <c r="V480" i="4" s="1"/>
  <c r="B479" i="4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 s="1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<sst xmlns="http://schemas.openxmlformats.org/spreadsheetml/2006/main" count="1392" uniqueCount="106">
  <si>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</si>
  <si>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</si>
  <si>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</si>
  <si>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</si>
  <si>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</si>
  <si>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</si>
  <si>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</si>
  <si>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</si>
  <si>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</si>
  <si>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</si>
  <si>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</si>
  <si>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</si>
  <si>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</si>
  <si>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</si>
  <si>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</si>
  <si>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</si>
  <si>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</si>
  <si>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</si>
  <si>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</si>
  <si>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</si>
  <si>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</si>
  <si>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</si>
  <si>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</si>
  <si>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</si>
  <si>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</si>
  <si>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</si>
  <si>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</si>
  <si>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</si>
  <si>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</si>
  <si>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</si>
  <si>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</si>
  <si>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</si>
  <si>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</si>
  <si>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</si>
  <si>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</si>
  <si>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</si>
  <si>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</si>
  <si>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</si>
  <si>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</si>
  <si>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</si>
  <si>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</si>
  <si>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</si>
  <si>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</si>
  <si>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</si>
  <si>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</si>
  <si>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</si>
  <si>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</si>
  <si>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</si>
  <si>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</si>
  <si>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</si>
  <si>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</si>
  <si>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</si>
  <si>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</si>
  <si>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</si>
  <si>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</si>
  <si>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</si>
  <si>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</si>
  <si>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</si>
  <si>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</si>
  <si>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</si>
  <si>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</si>
  <si>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</si>
  <si>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</si>
  <si>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</si>
  <si>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</si>
  <si>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</si>
  <si>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</si>
  <si>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</si>
  <si>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</si>
  <si>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</si>
  <si>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</si>
  <si>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</si>
  <si>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</si>
  <si>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</si>
  <si>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</si>
  <si>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</si>
  <si>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</si>
  <si>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</si>
  <si>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</si>
  <si>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</si>
  <si>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</si>
  <si>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</si>
  <si>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</si>
  <si>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</si>
  <si>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</si>
  <si>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</si>
  <si>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</si>
  <si>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</si>
  <si>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</si>
  <si>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</si>
  <si>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</si>
  <si>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</si>
  <si>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</si>
  <si>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</si>
  <si>
    <t>9,9,13,13</t>
  </si>
  <si>
    <t>13,13,13,13,13,13,13,13,13,13</t>
  </si>
  <si>
    <t>BER6A86</t>
  </si>
  <si>
    <t>9,9,38,38,38</t>
  </si>
  <si>
    <t>13,13,13,13,13,13,13,27</t>
  </si>
  <si>
    <t>13,13,13,13,13,13</t>
  </si>
  <si>
    <t>13,13,13,13,13,13,13,13,13,13,13,13,13,13,13,13,13,38</t>
  </si>
  <si>
    <t>38,38,38,38,38,38,38,38,38</t>
  </si>
  <si>
    <t>38,38,38,38,38,38,38</t>
  </si>
  <si>
    <t>9,21,42</t>
  </si>
  <si>
    <t>13,13,9</t>
  </si>
  <si>
    <t>Juscelino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</si>
</sst>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33" totalsRowShown="0" headerRowDxfId="144" dataDxfId="142" headerRowBorderDxfId="143" tableBorderDxfId="141" totalsRowBorderDxfId="140" headerRowCellStyle="Normal 2 2 2">
  <autoFilter ref="A1:V33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597" totalsRowShown="0" headerRowDxfId="51" dataDxfId="50" headerRowBorderDxfId="48" tableBorderDxfId="49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Ro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 dataCellStyle="Moeda"/>
    <tableColumn id="7" xr3:uid="{7D623530-7EED-4526-B289-B392FA2EF883}" name="Valor Mercadoria" dataDxfId="39" dataCellStyle="Moeda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22</v>
      </c>
      <c r="B1" t="s">
        <v>105</v>
      </c>
    </row>
    <row r="2" spans="1:2" x14ac:dyDescent="0.25">
      <c r="A2" t="s">
        <v>23</v>
      </c>
      <c r="B2" t="s">
        <v>77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61</v>
      </c>
    </row>
    <row r="5" spans="1:2" x14ac:dyDescent="0.25">
      <c r="A5" t="s">
        <v>28</v>
      </c>
      <c r="B5" t="s">
        <v>55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80</v>
      </c>
    </row>
    <row r="11" spans="1:2" x14ac:dyDescent="0.25">
      <c r="A11" t="s">
        <v>96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33"/>
  <sheetViews>
    <sheetView showGridLines="0" tabSelected="1" workbookViewId="0">
      <pane xSplit="8" ySplit="1" topLeftCell="R12" activePane="bottomRight" state="frozen"/>
      <selection pane="topRight" activeCell="I1" sqref="I1"/>
      <selection pane="bottomLeft" activeCell="A2" sqref="A2"/>
      <selection pane="bottomRight" activeCell="V33" sqref="V33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56</v>
      </c>
      <c r="C3" s="4"/>
      <c r="D3" s="4" t="s">
        <v>57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64</v>
      </c>
      <c r="C8" s="4"/>
      <c r="D8" s="4" t="s">
        <v>65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56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56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64</v>
      </c>
      <c r="C17" s="4"/>
      <c r="D17" s="4" t="s">
        <v>65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81</v>
      </c>
      <c r="V20" s="5"/>
    </row>
    <row r="21" spans="1:22" x14ac:dyDescent="0.25">
      <c r="A21" s="8">
        <v>46294</v>
      </c>
      <c r="B21" s="8" t="s">
        <v>56</v>
      </c>
      <c r="C21" s="4"/>
      <c r="D21" s="4" t="s">
        <v>57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56</v>
      </c>
      <c r="C22" s="4"/>
      <c r="D22" s="4" t="s">
        <v>57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  <row r="24" spans="1:22" x14ac:dyDescent="0.25">
      <c r="A24" s="8">
        <v>46301</v>
      </c>
      <c r="B24" s="8" t="s">
        <v>44</v>
      </c>
      <c r="C24" s="4"/>
      <c r="D24" s="4" t="s">
        <v>45</v>
      </c>
      <c r="E24" s="10">
        <v>6185.78</v>
      </c>
      <c r="F24" s="10">
        <v>89820.800000000003</v>
      </c>
      <c r="G24" s="4"/>
      <c r="H24" s="9">
        <f>Tabela35[[#This Row],[Valor Frete]]/Tabela35[[#This Row],[Valor Mercadoria]]</f>
        <v>6.8868012754284086E-2</v>
      </c>
      <c r="I24" s="4"/>
      <c r="J24" s="4"/>
      <c r="K24" s="4">
        <f>Tabela35[[#This Row],[Hr Chegada]]-Tabela35[[#This Row],[Hr Saida]]</f>
        <v>0</v>
      </c>
      <c r="L24" s="10">
        <v>500</v>
      </c>
      <c r="M24" s="9">
        <f>Tabela35[[#This Row],[Frete]]/Tabela35[[#This Row],[Valor Frete]]</f>
        <v>8.0830550068059323E-2</v>
      </c>
      <c r="N24" s="4"/>
      <c r="O24" s="4"/>
      <c r="P24" s="4"/>
      <c r="Q24" s="12">
        <f>Tabela35[[#This Row],[Qtde Entregas]]-Tabela35[[#This Row],[Entregas Realizadas]]</f>
        <v>0</v>
      </c>
      <c r="R24" s="13" t="e">
        <f>Tabela35[[#This Row],[Entregas Realizadas]]/Tabela35[[#This Row],[Qtde Entregas]]</f>
        <v>#DIV/0!</v>
      </c>
      <c r="S24" s="14" t="e">
        <f>IF(Tabela35[[#This Row],[% Entrega]]&gt;=96%,"Atendeu a Meta","Não Atendeu a Meta")</f>
        <v>#DIV/0!</v>
      </c>
      <c r="T24" s="4"/>
      <c r="U24" s="4"/>
      <c r="V24" s="5"/>
    </row>
    <row r="25" spans="1:22" x14ac:dyDescent="0.25">
      <c r="A25" s="8">
        <v>46302</v>
      </c>
      <c r="B25" s="8" t="s">
        <v>44</v>
      </c>
      <c r="C25" s="4"/>
      <c r="D25" s="4" t="s">
        <v>45</v>
      </c>
      <c r="E25" s="10">
        <v>8104.3</v>
      </c>
      <c r="F25" s="10">
        <v>95783.11</v>
      </c>
      <c r="G25" s="4"/>
      <c r="H25" s="9">
        <f>Tabela35[[#This Row],[Valor Frete]]/Tabela35[[#This Row],[Valor Mercadoria]]</f>
        <v>8.4610950719808536E-2</v>
      </c>
      <c r="I25" s="4"/>
      <c r="J25" s="4"/>
      <c r="K25" s="4">
        <f>Tabela35[[#This Row],[Hr Chegada]]-Tabela35[[#This Row],[Hr Saida]]</f>
        <v>0</v>
      </c>
      <c r="L25" s="10">
        <v>500</v>
      </c>
      <c r="M25" s="9">
        <f>Tabela35[[#This Row],[Frete]]/Tabela35[[#This Row],[Valor Frete]]</f>
        <v>6.1695643053687549E-2</v>
      </c>
      <c r="N25" s="4"/>
      <c r="O25" s="4">
        <v>16</v>
      </c>
      <c r="P25" s="4">
        <v>16</v>
      </c>
      <c r="Q25" s="12">
        <f>Tabela35[[#This Row],[Qtde Entregas]]-Tabela35[[#This Row],[Entregas Realizadas]]</f>
        <v>0</v>
      </c>
      <c r="R25" s="13">
        <f>Tabela35[[#This Row],[Entregas Realizadas]]/Tabela35[[#This Row],[Qtde Entregas]]</f>
        <v>1</v>
      </c>
      <c r="S25" s="14" t="str">
        <f>IF(Tabela35[[#This Row],[% Entrega]]&gt;=96%,"Atendeu a Meta","Não Atendeu a Meta")</f>
        <v>Atendeu a Meta</v>
      </c>
      <c r="T25" s="4" t="s">
        <v>39</v>
      </c>
      <c r="U25" s="4">
        <v>38</v>
      </c>
      <c r="V25" s="5"/>
    </row>
    <row r="26" spans="1:22" x14ac:dyDescent="0.25">
      <c r="A26" s="8">
        <v>46303</v>
      </c>
      <c r="B26" s="8" t="s">
        <v>44</v>
      </c>
      <c r="C26" s="4"/>
      <c r="D26" s="4" t="s">
        <v>45</v>
      </c>
      <c r="E26" s="10">
        <v>5994.53</v>
      </c>
      <c r="F26" s="10">
        <v>131439.71</v>
      </c>
      <c r="G26" s="4">
        <v>1808</v>
      </c>
      <c r="H26" s="9">
        <f>Tabela35[[#This Row],[Valor Frete]]/Tabela35[[#This Row],[Valor Mercadoria]]</f>
        <v>4.5606689180918002E-2</v>
      </c>
      <c r="I26" s="4"/>
      <c r="J26" s="4"/>
      <c r="K26" s="4">
        <f>Tabela35[[#This Row],[Hr Chegada]]-Tabela35[[#This Row],[Hr Saida]]</f>
        <v>0</v>
      </c>
      <c r="L26" s="10">
        <v>500</v>
      </c>
      <c r="M26" s="9">
        <f>Tabela35[[#This Row],[Frete]]/Tabela35[[#This Row],[Valor Frete]]</f>
        <v>8.340937488009903E-2</v>
      </c>
      <c r="N26" s="4">
        <v>359</v>
      </c>
      <c r="O26" s="4">
        <v>19</v>
      </c>
      <c r="P26" s="4">
        <v>19</v>
      </c>
      <c r="Q26" s="12">
        <f>Tabela35[[#This Row],[Qtde Entregas]]-Tabela35[[#This Row],[Entregas Realizadas]]</f>
        <v>0</v>
      </c>
      <c r="R26" s="13">
        <f>Tabela35[[#This Row],[Entregas Realizadas]]/Tabela35[[#This Row],[Qtde Entregas]]</f>
        <v>1</v>
      </c>
      <c r="S26" s="14" t="str">
        <f>IF(Tabela35[[#This Row],[% Entrega]]&gt;=96%,"Atendeu a Meta","Não Atendeu a Meta")</f>
        <v>Atendeu a Meta</v>
      </c>
      <c r="T26" s="4" t="s">
        <v>39</v>
      </c>
      <c r="U26" s="4">
        <v>0</v>
      </c>
      <c r="V26" s="5">
        <v>0</v>
      </c>
    </row>
    <row r="27" spans="1:22" x14ac:dyDescent="0.25">
      <c r="A27" s="8">
        <v>46308</v>
      </c>
      <c r="B27" s="8" t="s">
        <v>44</v>
      </c>
      <c r="C27" s="4"/>
      <c r="D27" s="4" t="s">
        <v>45</v>
      </c>
      <c r="E27" s="10">
        <v>8191.62</v>
      </c>
      <c r="F27" s="10">
        <v>144115.01</v>
      </c>
      <c r="G27" s="4">
        <v>1700</v>
      </c>
      <c r="H27" s="9">
        <f>Tabela35[[#This Row],[Valor Frete]]/Tabela35[[#This Row],[Valor Mercadoria]]</f>
        <v>5.6840852316493606E-2</v>
      </c>
      <c r="I27" s="4"/>
      <c r="J27" s="4"/>
      <c r="K27" s="4">
        <f>Tabela35[[#This Row],[Hr Chegada]]-Tabela35[[#This Row],[Hr Saida]]</f>
        <v>0</v>
      </c>
      <c r="L27" s="10">
        <v>500</v>
      </c>
      <c r="M27" s="9">
        <f>Tabela35[[#This Row],[Frete]]/Tabela35[[#This Row],[Valor Frete]]</f>
        <v>6.103798760196396E-2</v>
      </c>
      <c r="N27" s="4">
        <v>346</v>
      </c>
      <c r="O27" s="4">
        <v>16</v>
      </c>
      <c r="P27" s="4">
        <v>16</v>
      </c>
      <c r="Q27" s="12">
        <f>Tabela35[[#This Row],[Qtde Entregas]]-Tabela35[[#This Row],[Entregas Realizadas]]</f>
        <v>0</v>
      </c>
      <c r="R27" s="13">
        <f>Tabela35[[#This Row],[Entregas Realizadas]]/Tabela35[[#This Row],[Qtde Entregas]]</f>
        <v>1</v>
      </c>
      <c r="S27" s="14" t="str">
        <f>IF(Tabela35[[#This Row],[% Entrega]]&gt;=96%,"Atendeu a Meta","Não Atendeu a Meta")</f>
        <v>Atendeu a Meta</v>
      </c>
      <c r="T27" s="4"/>
      <c r="U27" s="4"/>
      <c r="V27" s="5"/>
    </row>
    <row r="28" spans="1:22" x14ac:dyDescent="0.25">
      <c r="A28" s="8">
        <v>46309</v>
      </c>
      <c r="B28" s="8" t="s">
        <v>44</v>
      </c>
      <c r="C28" s="4"/>
      <c r="D28" s="4" t="s">
        <v>45</v>
      </c>
      <c r="E28" s="10">
        <v>9402.9500000000007</v>
      </c>
      <c r="F28" s="10">
        <v>196694.44</v>
      </c>
      <c r="G28" s="4">
        <v>2046</v>
      </c>
      <c r="H28" s="9">
        <f>Tabela35[[#This Row],[Valor Frete]]/Tabela35[[#This Row],[Valor Mercadoria]]</f>
        <v>4.7804859151077177E-2</v>
      </c>
      <c r="I28" s="4"/>
      <c r="J28" s="4"/>
      <c r="K28" s="4">
        <f>Tabela35[[#This Row],[Hr Chegada]]-Tabela35[[#This Row],[Hr Saida]]</f>
        <v>0</v>
      </c>
      <c r="L28" s="10">
        <v>500</v>
      </c>
      <c r="M28" s="9">
        <f>Tabela35[[#This Row],[Frete]]/Tabela35[[#This Row],[Valor Frete]]</f>
        <v>5.31748015250533E-2</v>
      </c>
      <c r="N28" s="4">
        <v>432</v>
      </c>
      <c r="O28" s="4">
        <v>33</v>
      </c>
      <c r="P28" s="4">
        <v>32</v>
      </c>
      <c r="Q28" s="12">
        <f>Tabela35[[#This Row],[Qtde Entregas]]-Tabela35[[#This Row],[Entregas Realizadas]]</f>
        <v>1</v>
      </c>
      <c r="R28" s="13">
        <f>Tabela35[[#This Row],[Entregas Realizadas]]/Tabela35[[#This Row],[Qtde Entregas]]</f>
        <v>0.96969696969696972</v>
      </c>
      <c r="S28" s="14" t="str">
        <f>IF(Tabela35[[#This Row],[% Entrega]]&gt;=96%,"Atendeu a Meta","Não Atendeu a Meta")</f>
        <v>Atendeu a Meta</v>
      </c>
      <c r="T28" s="4" t="s">
        <v>39</v>
      </c>
      <c r="U28" s="4">
        <v>1</v>
      </c>
      <c r="V28" s="5">
        <v>13.38</v>
      </c>
    </row>
    <row r="29" spans="1:22" x14ac:dyDescent="0.25">
      <c r="A29" s="8">
        <v>46310</v>
      </c>
      <c r="B29" s="8" t="s">
        <v>44</v>
      </c>
      <c r="C29" s="4"/>
      <c r="D29" s="4" t="s">
        <v>45</v>
      </c>
      <c r="E29" s="10">
        <v>3879.95</v>
      </c>
      <c r="F29" s="10">
        <v>86853.79</v>
      </c>
      <c r="G29" s="4">
        <v>623</v>
      </c>
      <c r="H29" s="9">
        <f>Tabela35[[#This Row],[Valor Frete]]/Tabela35[[#This Row],[Valor Mercadoria]]</f>
        <v>4.4672201408827411E-2</v>
      </c>
      <c r="I29" s="4"/>
      <c r="J29" s="4"/>
      <c r="K29" s="4">
        <f>Tabela35[[#This Row],[Hr Chegada]]-Tabela35[[#This Row],[Hr Saida]]</f>
        <v>0</v>
      </c>
      <c r="L29" s="10">
        <v>500</v>
      </c>
      <c r="M29" s="9">
        <f>Tabela35[[#This Row],[Frete]]/Tabela35[[#This Row],[Valor Frete]]</f>
        <v>0.12886764004690782</v>
      </c>
      <c r="N29" s="4">
        <v>98</v>
      </c>
      <c r="O29" s="4">
        <v>22</v>
      </c>
      <c r="P29" s="4">
        <v>22</v>
      </c>
      <c r="Q29" s="12">
        <f>Tabela35[[#This Row],[Qtde Entregas]]-Tabela35[[#This Row],[Entregas Realizadas]]</f>
        <v>0</v>
      </c>
      <c r="R29" s="13">
        <f>Tabela35[[#This Row],[Entregas Realizadas]]/Tabela35[[#This Row],[Qtde Entregas]]</f>
        <v>1</v>
      </c>
      <c r="S29" s="14" t="str">
        <f>IF(Tabela35[[#This Row],[% Entrega]]&gt;=96%,"Atendeu a Meta","Não Atendeu a Meta")</f>
        <v>Atendeu a Meta</v>
      </c>
      <c r="T29" s="4" t="s">
        <v>39</v>
      </c>
      <c r="U29" s="4">
        <v>0</v>
      </c>
      <c r="V29" s="5">
        <v>0</v>
      </c>
    </row>
    <row r="30" spans="1:22" x14ac:dyDescent="0.25">
      <c r="A30" s="8">
        <v>46311</v>
      </c>
      <c r="B30" s="8" t="s">
        <v>44</v>
      </c>
      <c r="C30" s="4"/>
      <c r="D30" s="4" t="s">
        <v>45</v>
      </c>
      <c r="E30" s="10">
        <v>11165.89</v>
      </c>
      <c r="F30" s="10">
        <v>183889.61</v>
      </c>
      <c r="G30" s="4">
        <v>2241</v>
      </c>
      <c r="H30" s="9">
        <f>Tabela35[[#This Row],[Valor Frete]]/Tabela35[[#This Row],[Valor Mercadoria]]</f>
        <v>6.0720613850885868E-2</v>
      </c>
      <c r="I30" s="4"/>
      <c r="J30" s="4"/>
      <c r="K30" s="4">
        <f>Tabela35[[#This Row],[Hr Chegada]]-Tabela35[[#This Row],[Hr Saida]]</f>
        <v>0</v>
      </c>
      <c r="L30" s="10">
        <v>500</v>
      </c>
      <c r="M30" s="9">
        <f>Tabela35[[#This Row],[Frete]]/Tabela35[[#This Row],[Valor Frete]]</f>
        <v>4.4779233898954766E-2</v>
      </c>
      <c r="N30" s="4">
        <v>208</v>
      </c>
      <c r="O30" s="4">
        <v>16</v>
      </c>
      <c r="P30" s="4">
        <v>16</v>
      </c>
      <c r="Q30" s="12">
        <f>Tabela35[[#This Row],[Qtde Entregas]]-Tabela35[[#This Row],[Entregas Realizadas]]</f>
        <v>0</v>
      </c>
      <c r="R30" s="13">
        <f>Tabela35[[#This Row],[Entregas Realizadas]]/Tabela35[[#This Row],[Qtde Entregas]]</f>
        <v>1</v>
      </c>
      <c r="S30" s="14" t="str">
        <f>IF(Tabela35[[#This Row],[% Entrega]]&gt;=96%,"Atendeu a Meta","Não Atendeu a Meta")</f>
        <v>Atendeu a Meta</v>
      </c>
      <c r="T30" s="4" t="s">
        <v>43</v>
      </c>
      <c r="U30" s="4">
        <v>0</v>
      </c>
      <c r="V30" s="5">
        <v>0</v>
      </c>
    </row>
    <row r="31" spans="1:22" x14ac:dyDescent="0.25">
      <c r="A31" s="8">
        <v>46314</v>
      </c>
      <c r="B31" s="8" t="s">
        <v>44</v>
      </c>
      <c r="C31" s="4"/>
      <c r="D31" s="4" t="s">
        <v>45</v>
      </c>
      <c r="E31" s="10">
        <v>4218.16</v>
      </c>
      <c r="F31" s="10">
        <v>91137.94</v>
      </c>
      <c r="G31" s="4">
        <v>790</v>
      </c>
      <c r="H31" s="9">
        <f>Tabela35[[#This Row],[Valor Frete]]/Tabela35[[#This Row],[Valor Mercadoria]]</f>
        <v>4.6283249325143841E-2</v>
      </c>
      <c r="I31" s="4"/>
      <c r="J31" s="4"/>
      <c r="K31" s="4">
        <f>Tabela35[[#This Row],[Hr Chegada]]-Tabela35[[#This Row],[Hr Saida]]</f>
        <v>0</v>
      </c>
      <c r="L31" s="10">
        <v>500</v>
      </c>
      <c r="M31" s="9">
        <f>Tabela35[[#This Row],[Frete]]/Tabela35[[#This Row],[Valor Frete]]</f>
        <v>0.11853509587118555</v>
      </c>
      <c r="N31" s="4">
        <v>97</v>
      </c>
      <c r="O31" s="4">
        <v>13</v>
      </c>
      <c r="P31" s="4">
        <v>13</v>
      </c>
      <c r="Q31" s="12">
        <f>Tabela35[[#This Row],[Qtde Entregas]]-Tabela35[[#This Row],[Entregas Realizadas]]</f>
        <v>0</v>
      </c>
      <c r="R31" s="13">
        <f>Tabela35[[#This Row],[Entregas Realizadas]]/Tabela35[[#This Row],[Qtde Entregas]]</f>
        <v>1</v>
      </c>
      <c r="S31" s="14" t="str">
        <f>IF(Tabela35[[#This Row],[% Entrega]]&gt;=96%,"Atendeu a Meta","Não Atendeu a Meta")</f>
        <v>Atendeu a Meta</v>
      </c>
      <c r="T31" s="4" t="s">
        <v>39</v>
      </c>
      <c r="U31" s="4">
        <v>0</v>
      </c>
      <c r="V31" s="5">
        <v>38.380000000000003</v>
      </c>
    </row>
    <row r="32" spans="1:22" x14ac:dyDescent="0.25">
      <c r="A32" s="8">
        <v>46315</v>
      </c>
      <c r="B32" s="8" t="s">
        <v>44</v>
      </c>
      <c r="C32" s="4"/>
      <c r="D32" s="4" t="s">
        <v>45</v>
      </c>
      <c r="E32" s="27">
        <v>13436.17</v>
      </c>
      <c r="F32" s="27">
        <v>222024.45</v>
      </c>
      <c r="G32" s="4">
        <v>1806</v>
      </c>
      <c r="H32" s="9">
        <f>Tabela35[[#This Row],[Valor Frete]]/Tabela35[[#This Row],[Valor Mercadoria]]</f>
        <v>6.0516623281805224E-2</v>
      </c>
      <c r="I32" s="4"/>
      <c r="J32" s="4"/>
      <c r="K32" s="4">
        <f>Tabela35[[#This Row],[Hr Chegada]]-Tabela35[[#This Row],[Hr Saida]]</f>
        <v>0</v>
      </c>
      <c r="L32" s="10">
        <v>500</v>
      </c>
      <c r="M32" s="9">
        <f>Tabela35[[#This Row],[Frete]]/Tabela35[[#This Row],[Valor Frete]]</f>
        <v>3.7212985545732151E-2</v>
      </c>
      <c r="N32" s="4">
        <v>323</v>
      </c>
      <c r="O32" s="4">
        <v>54</v>
      </c>
      <c r="P32" s="4">
        <v>46</v>
      </c>
      <c r="Q32" s="12">
        <f>Tabela35[[#This Row],[Qtde Entregas]]-Tabela35[[#This Row],[Entregas Realizadas]]</f>
        <v>8</v>
      </c>
      <c r="R32" s="13">
        <f>Tabela35[[#This Row],[Entregas Realizadas]]/Tabela35[[#This Row],[Qtde Entregas]]</f>
        <v>0.85185185185185186</v>
      </c>
      <c r="S32" s="14" t="str">
        <f>IF(Tabela35[[#This Row],[% Entrega]]&gt;=96%,"Atendeu a Meta","Não Atendeu a Meta")</f>
        <v>Não Atendeu a Meta</v>
      </c>
      <c r="T32" s="4" t="s">
        <v>39</v>
      </c>
      <c r="U32" s="4">
        <v>8</v>
      </c>
      <c r="V32" s="5" t="s">
        <v>73</v>
      </c>
    </row>
    <row r="33" spans="1:22" x14ac:dyDescent="0.25">
      <c r="A33" s="8">
        <v>46315</v>
      </c>
      <c r="B33" s="8" t="s">
        <v>64</v>
      </c>
      <c r="C33" s="4"/>
      <c r="D33" s="4" t="s">
        <v>65</v>
      </c>
      <c r="E33" s="27">
        <v>8690.0400000000009</v>
      </c>
      <c r="F33" s="27">
        <v>162493.32999999999</v>
      </c>
      <c r="G33" s="4">
        <v>2340</v>
      </c>
      <c r="H33" s="9">
        <f>Tabela35[[#This Row],[Valor Frete]]/Tabela35[[#This Row],[Valor Mercadoria]]</f>
        <v>5.3479364352986065E-2</v>
      </c>
      <c r="I33" s="4"/>
      <c r="J33" s="4"/>
      <c r="K33" s="4">
        <f>Tabela35[[#This Row],[Hr Chegada]]-Tabela35[[#This Row],[Hr Saida]]</f>
        <v>0</v>
      </c>
      <c r="L33" s="10">
        <v>500</v>
      </c>
      <c r="M33" s="9">
        <f>Tabela35[[#This Row],[Frete]]/Tabela35[[#This Row],[Valor Frete]]</f>
        <v>5.7537134466584726E-2</v>
      </c>
      <c r="N33" s="4">
        <v>621</v>
      </c>
      <c r="O33" s="4">
        <v>1</v>
      </c>
      <c r="P33" s="4">
        <v>1</v>
      </c>
      <c r="Q33" s="12">
        <f>Tabela35[[#This Row],[Qtde Entregas]]-Tabela35[[#This Row],[Entregas Realizadas]]</f>
        <v>0</v>
      </c>
      <c r="R33" s="13">
        <f>Tabela35[[#This Row],[Entregas Realizadas]]/Tabela35[[#This Row],[Qtde Entregas]]</f>
        <v>1</v>
      </c>
      <c r="S33" s="14" t="str">
        <f>IF(Tabela35[[#This Row],[% Entrega]]&gt;=96%,"Atendeu a Meta","Não Atendeu a Meta")</f>
        <v>Atendeu a Meta</v>
      </c>
      <c r="T33" s="4" t="s">
        <v>39</v>
      </c>
      <c r="U33" s="4">
        <v>0</v>
      </c>
      <c r="V33" s="5">
        <v>0</v>
      </c>
    </row>
  </sheetData>
  <conditionalFormatting sqref="H2:H33">
    <cfRule type="cellIs" dxfId="117" priority="1" operator="lessThan">
      <formula>0.05</formula>
    </cfRule>
    <cfRule type="cellIs" dxfId="116" priority="2" operator="greaterThanOrEqual">
      <formula>0.05</formula>
    </cfRule>
  </conditionalFormatting>
  <conditionalFormatting sqref="R2:R33">
    <cfRule type="cellIs" dxfId="115" priority="7" stopIfTrue="1" operator="lessThanOrEqual">
      <formula>0.949</formula>
    </cfRule>
    <cfRule type="cellIs" dxfId="114" priority="8" stopIfTrue="1" operator="greaterThanOrEqual">
      <formula>0.9</formula>
    </cfRule>
    <cfRule type="cellIs" dxfId="113" priority="9" stopIfTrue="1" operator="greaterThanOrEqual">
      <formula>90</formula>
    </cfRule>
    <cfRule type="cellIs" dxfId="112" priority="10" stopIfTrue="1" operator="lessThan">
      <formula>0</formula>
    </cfRule>
    <cfRule type="cellIs" dxfId="111" priority="11" stopIfTrue="1" operator="lessThan">
      <formula>1</formula>
    </cfRule>
    <cfRule type="cellIs" dxfId="110" priority="12" stopIfTrue="1" operator="greaterThan">
      <formula>100</formula>
    </cfRule>
    <cfRule type="cellIs" dxfId="109" priority="13" stopIfTrue="1" operator="greaterThan">
      <formula>1</formula>
    </cfRule>
  </conditionalFormatting>
  <conditionalFormatting sqref="S2:S33">
    <cfRule type="expression" dxfId="10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0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597"/>
  <sheetViews>
    <sheetView showGridLines="0" workbookViewId="0">
      <pane xSplit="10" ySplit="1" topLeftCell="W580" activePane="bottomRight" state="frozen"/>
      <selection pane="topRight" activeCell="I1" sqref="I1"/>
      <selection pane="bottomLeft" activeCell="A2" sqref="A2"/>
      <selection pane="bottomRight" activeCell="Y597" sqref="Y597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72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58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59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60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68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68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62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62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/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63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67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68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67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66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62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69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70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71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/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62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63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63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Juscelino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73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Juscelino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62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74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75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76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Juscelino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Juscelino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/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Juscelino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78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Juscelino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Juscelino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79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Juscelino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Juscelino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68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Juscelino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Juscelino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/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81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/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63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Juscelino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82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83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Juscelino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/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84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Juscelino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85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86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Juscelino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87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62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Juscelino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Juscelino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81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88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Juscelino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Juscelino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89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90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Juscelino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Juscelino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90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Juscelino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91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16">
        <f>YEAR(Tabela32[[#This Row],[Data]])</f>
        <v>2026</v>
      </c>
      <c r="C456" s="1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81</v>
      </c>
    </row>
    <row r="457" spans="1:25" x14ac:dyDescent="0.25">
      <c r="A457" s="8">
        <v>46297</v>
      </c>
      <c r="B457" s="16">
        <f>YEAR(Tabela32[[#This Row],[Data]])</f>
        <v>2026</v>
      </c>
      <c r="C457" s="1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16">
        <f>YEAR(Tabela32[[#This Row],[Data]])</f>
        <v>2026</v>
      </c>
      <c r="C458" s="1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16">
        <f>YEAR(Tabela32[[#This Row],[Data]])</f>
        <v>2026</v>
      </c>
      <c r="C459" s="1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16">
        <f>YEAR(Tabela32[[#This Row],[Data]])</f>
        <v>2026</v>
      </c>
      <c r="C460" s="1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16">
        <f>YEAR(Tabela32[[#This Row],[Data]])</f>
        <v>2026</v>
      </c>
      <c r="C461" s="1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92</v>
      </c>
    </row>
    <row r="462" spans="1:25" x14ac:dyDescent="0.25">
      <c r="A462" s="8">
        <v>46297</v>
      </c>
      <c r="B462" s="16">
        <f>YEAR(Tabela32[[#This Row],[Data]])</f>
        <v>2026</v>
      </c>
      <c r="C462" s="1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16">
        <f>YEAR(Tabela32[[#This Row],[Data]])</f>
        <v>2026</v>
      </c>
      <c r="C463" s="1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Juscelino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16">
        <f>YEAR(Tabela32[[#This Row],[Data]])</f>
        <v>2026</v>
      </c>
      <c r="C464" s="1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16">
        <f>YEAR(Tabela32[[#This Row],[Data]])</f>
        <v>2026</v>
      </c>
      <c r="C465" s="1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16">
        <f>YEAR(Tabela32[[#This Row],[Data]])</f>
        <v>2026</v>
      </c>
      <c r="C466" s="1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16">
        <f>YEAR(Tabela32[[#This Row],[Data]])</f>
        <v>2026</v>
      </c>
      <c r="C467" s="1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16">
        <f>YEAR(Tabela32[[#This Row],[Data]])</f>
        <v>2026</v>
      </c>
      <c r="C468" s="1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16">
        <f>YEAR(Tabela32[[#This Row],[Data]])</f>
        <v>2026</v>
      </c>
      <c r="C469" s="1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16">
        <f>YEAR(Tabela32[[#This Row],[Data]])</f>
        <v>2026</v>
      </c>
      <c r="C470" s="1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16">
        <f>YEAR(Tabela32[[#This Row],[Data]])</f>
        <v>2026</v>
      </c>
      <c r="C471" s="1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93</v>
      </c>
    </row>
    <row r="472" spans="1:25" x14ac:dyDescent="0.25">
      <c r="A472" s="8">
        <v>46300</v>
      </c>
      <c r="B472" s="16">
        <f>YEAR(Tabela32[[#This Row],[Data]])</f>
        <v>2026</v>
      </c>
      <c r="C472" s="1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16">
        <f>YEAR(Tabela32[[#This Row],[Data]])</f>
        <v>2026</v>
      </c>
      <c r="C473" s="1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16">
        <f>YEAR(Tabela32[[#This Row],[Data]])</f>
        <v>2026</v>
      </c>
      <c r="C474" s="1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Juscelino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87</v>
      </c>
    </row>
    <row r="475" spans="1:25" x14ac:dyDescent="0.25">
      <c r="A475" s="8">
        <v>46300</v>
      </c>
      <c r="B475" s="16">
        <f>YEAR(Tabela32[[#This Row],[Data]])</f>
        <v>2026</v>
      </c>
      <c r="C475" s="1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16">
        <f>YEAR(Tabela32[[#This Row],[Data]])</f>
        <v>2026</v>
      </c>
      <c r="C476" s="1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16">
        <f>YEAR(Tabela32[[#This Row],[Data]])</f>
        <v>2026</v>
      </c>
      <c r="C477" s="1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16">
        <f>YEAR(Tabela32[[#This Row],[Data]])</f>
        <v>2026</v>
      </c>
      <c r="C478" s="1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16">
        <f>YEAR(Tabela32[[#This Row],[Data]])</f>
        <v>2026</v>
      </c>
      <c r="C479" s="1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  <row r="480" spans="1:25" x14ac:dyDescent="0.25">
      <c r="A480" s="8">
        <v>46301</v>
      </c>
      <c r="B480" s="16">
        <f>YEAR(Tabela32[[#This Row],[Data]])</f>
        <v>2026</v>
      </c>
      <c r="C480" s="16">
        <f>MONTH(Tabela32[[#This Row],[Data]])</f>
        <v>10</v>
      </c>
      <c r="D480" s="4" t="s">
        <v>27</v>
      </c>
      <c r="E480" s="4">
        <v>1</v>
      </c>
      <c r="F480" s="4" t="str">
        <f>IFERROR(VLOOKUP(Tabela32[[#This Row],[Placa]],Planilha2!$A$1:$B$12,2,0),"")</f>
        <v>Rosinaldo</v>
      </c>
      <c r="G480" s="10">
        <v>1829.66</v>
      </c>
      <c r="H480" s="10">
        <v>25503.46</v>
      </c>
      <c r="I480" s="4">
        <v>118.5</v>
      </c>
      <c r="J480" s="17">
        <f>IFERROR(Tabela32[[#This Row],[Valor Frete]]/Tabela32[[#This Row],[Valor Mercadoria]],"")</f>
        <v>7.1741638193405927E-2</v>
      </c>
      <c r="K480" s="11">
        <v>0.29166666666666669</v>
      </c>
      <c r="L480" s="15">
        <v>0.56944444444444442</v>
      </c>
      <c r="M480" s="15">
        <f>Tabela32[[#This Row],[Hr Chegada]]-Tabela32[[#This Row],[Hr Saida]]</f>
        <v>0.27777777777777773</v>
      </c>
      <c r="N480" s="4">
        <v>292247</v>
      </c>
      <c r="O480" s="4">
        <v>292290</v>
      </c>
      <c r="P480" s="4">
        <f>Tabela32[[#This Row],[Km Chegada]]-Tabela32[[#This Row],[Km Saída]]</f>
        <v>43</v>
      </c>
      <c r="Q480" s="4">
        <v>51</v>
      </c>
      <c r="R480" s="4">
        <v>2</v>
      </c>
      <c r="S480" s="4">
        <v>2</v>
      </c>
      <c r="T480" s="12">
        <f>Tabela32[[#This Row],[Entregas]]-Tabela32[[#This Row],[Realizadas]]</f>
        <v>0</v>
      </c>
      <c r="U480" s="18">
        <f>Tabela32[[#This Row],[Realizadas]]/Tabela32[[#This Row],[Entregas]]</f>
        <v>1</v>
      </c>
      <c r="V480" s="19" t="str">
        <f>IF(Tabela32[[#This Row],[% Entrega]]&gt;=96%,"Atendeu a Meta","Não Atendeu a Meta")</f>
        <v>Atendeu a Meta</v>
      </c>
      <c r="W480" s="4" t="s">
        <v>40</v>
      </c>
      <c r="X480" s="4">
        <v>0</v>
      </c>
      <c r="Y480" s="5">
        <v>0</v>
      </c>
    </row>
    <row r="481" spans="1:25" x14ac:dyDescent="0.25">
      <c r="A481" s="8">
        <v>46301</v>
      </c>
      <c r="B481" s="16">
        <f>YEAR(Tabela32[[#This Row],[Data]])</f>
        <v>2026</v>
      </c>
      <c r="C481" s="16">
        <f>MONTH(Tabela32[[#This Row],[Data]])</f>
        <v>10</v>
      </c>
      <c r="D481" s="4" t="s">
        <v>27</v>
      </c>
      <c r="E481" s="4">
        <v>4</v>
      </c>
      <c r="F481" s="4" t="str">
        <f>IFERROR(VLOOKUP(Tabela32[[#This Row],[Placa]],Planilha2!$A$1:$B$12,2,0),"")</f>
        <v>Rosinaldo</v>
      </c>
      <c r="G481" s="10">
        <v>1270.51</v>
      </c>
      <c r="H481" s="10">
        <v>33344.06</v>
      </c>
      <c r="I481" s="4">
        <v>59</v>
      </c>
      <c r="J481" s="17">
        <f>IFERROR(Tabela32[[#This Row],[Valor Frete]]/Tabela32[[#This Row],[Valor Mercadoria]],"")</f>
        <v>3.8103038442229294E-2</v>
      </c>
      <c r="K481" s="11">
        <v>0.61458333333333337</v>
      </c>
      <c r="L481" s="15">
        <v>0.78472222222222221</v>
      </c>
      <c r="M481" s="15">
        <f>Tabela32[[#This Row],[Hr Chegada]]-Tabela32[[#This Row],[Hr Saida]]</f>
        <v>0.17013888888888884</v>
      </c>
      <c r="N481" s="4">
        <v>292290</v>
      </c>
      <c r="O481" s="4">
        <v>292343</v>
      </c>
      <c r="P481" s="4">
        <f>Tabela32[[#This Row],[Km Chegada]]-Tabela32[[#This Row],[Km Saída]]</f>
        <v>53</v>
      </c>
      <c r="Q481" s="4">
        <v>24</v>
      </c>
      <c r="R481" s="4">
        <v>6</v>
      </c>
      <c r="S481" s="4">
        <v>6</v>
      </c>
      <c r="T481" s="12">
        <f>Tabela32[[#This Row],[Entregas]]-Tabela32[[#This Row],[Realizadas]]</f>
        <v>0</v>
      </c>
      <c r="U481" s="18">
        <f>Tabela32[[#This Row],[Realizadas]]/Tabela32[[#This Row],[Entregas]]</f>
        <v>1</v>
      </c>
      <c r="V481" s="19" t="str">
        <f>IF(Tabela32[[#This Row],[% Entrega]]&gt;=96%,"Atendeu a Meta","Não Atendeu a Meta")</f>
        <v>Atendeu a Meta</v>
      </c>
      <c r="W481" s="4" t="s">
        <v>39</v>
      </c>
      <c r="X481" s="4">
        <v>0</v>
      </c>
      <c r="Y481" s="5">
        <v>0</v>
      </c>
    </row>
    <row r="482" spans="1:25" x14ac:dyDescent="0.25">
      <c r="A482" s="8">
        <v>46301</v>
      </c>
      <c r="B482" s="16">
        <f>YEAR(Tabela32[[#This Row],[Data]])</f>
        <v>2026</v>
      </c>
      <c r="C482" s="16">
        <f>MONTH(Tabela32[[#This Row],[Data]])</f>
        <v>10</v>
      </c>
      <c r="D482" s="4" t="s">
        <v>35</v>
      </c>
      <c r="E482" s="4">
        <v>11</v>
      </c>
      <c r="F482" s="4" t="str">
        <f>IFERROR(VLOOKUP(Tabela32[[#This Row],[Placa]],Planilha2!$A$1:$B$12,2,0),"")</f>
        <v>Osvaldo</v>
      </c>
      <c r="G482" s="10">
        <v>16301.71</v>
      </c>
      <c r="H482" s="10">
        <v>206976.8</v>
      </c>
      <c r="I482" s="4">
        <v>3472</v>
      </c>
      <c r="J482" s="17">
        <f>IFERROR(Tabela32[[#This Row],[Valor Frete]]/Tabela32[[#This Row],[Valor Mercadoria]],"")</f>
        <v>7.8761049547582146E-2</v>
      </c>
      <c r="K482" s="11">
        <v>0.27083333333333331</v>
      </c>
      <c r="L482" s="15">
        <v>0.75</v>
      </c>
      <c r="M482" s="15">
        <f>Tabela32[[#This Row],[Hr Chegada]]-Tabela32[[#This Row],[Hr Saida]]</f>
        <v>0.47916666666666669</v>
      </c>
      <c r="N482" s="4">
        <v>144311</v>
      </c>
      <c r="O482" s="4">
        <v>144455</v>
      </c>
      <c r="P482" s="4">
        <f>Tabela32[[#This Row],[Km Chegada]]-Tabela32[[#This Row],[Km Saída]]</f>
        <v>144</v>
      </c>
      <c r="Q482" s="4">
        <v>248</v>
      </c>
      <c r="R482" s="4">
        <v>31</v>
      </c>
      <c r="S482" s="4">
        <v>31</v>
      </c>
      <c r="T482" s="12">
        <f>Tabela32[[#This Row],[Entregas]]-Tabela32[[#This Row],[Realizadas]]</f>
        <v>0</v>
      </c>
      <c r="U482" s="18">
        <f>Tabela32[[#This Row],[Realizadas]]/Tabela32[[#This Row],[Entregas]]</f>
        <v>1</v>
      </c>
      <c r="V482" s="19" t="str">
        <f>IF(Tabela32[[#This Row],[% Entrega]]&gt;=96%,"Atendeu a Meta","Não Atendeu a Meta")</f>
        <v>Atendeu a Meta</v>
      </c>
      <c r="W482" s="4" t="s">
        <v>41</v>
      </c>
      <c r="X482" s="4">
        <v>0</v>
      </c>
      <c r="Y482" s="5" t="s">
        <v>75</v>
      </c>
    </row>
    <row r="483" spans="1:25" x14ac:dyDescent="0.25">
      <c r="A483" s="8">
        <v>46301</v>
      </c>
      <c r="B483" s="16">
        <f>YEAR(Tabela32[[#This Row],[Data]])</f>
        <v>2026</v>
      </c>
      <c r="C483" s="16">
        <f>MONTH(Tabela32[[#This Row],[Data]])</f>
        <v>10</v>
      </c>
      <c r="D483" s="4" t="s">
        <v>22</v>
      </c>
      <c r="E483" s="4">
        <v>5</v>
      </c>
      <c r="F483" s="4" t="str">
        <f>IFERROR(VLOOKUP(Tabela32[[#This Row],[Placa]],Planilha2!$A$1:$B$12,2,0),"")</f>
        <v>Juscelino</v>
      </c>
      <c r="G483" s="10">
        <v>10450.99</v>
      </c>
      <c r="H483" s="10">
        <v>122185.55</v>
      </c>
      <c r="I483" s="4">
        <v>1863</v>
      </c>
      <c r="J483" s="17">
        <f>IFERROR(Tabela32[[#This Row],[Valor Frete]]/Tabela32[[#This Row],[Valor Mercadoria]],"")</f>
        <v>8.5533764017103497E-2</v>
      </c>
      <c r="K483" s="11">
        <v>0.3125</v>
      </c>
      <c r="L483" s="15">
        <v>0.75416666666666665</v>
      </c>
      <c r="M483" s="15">
        <f>Tabela32[[#This Row],[Hr Chegada]]-Tabela32[[#This Row],[Hr Saida]]</f>
        <v>0.44166666666666665</v>
      </c>
      <c r="N483" s="4">
        <v>305906</v>
      </c>
      <c r="O483" s="4">
        <v>305983</v>
      </c>
      <c r="P483" s="4">
        <f>Tabela32[[#This Row],[Km Chegada]]-Tabela32[[#This Row],[Km Saída]]</f>
        <v>77</v>
      </c>
      <c r="Q483" s="4">
        <v>300</v>
      </c>
      <c r="R483" s="4">
        <v>25</v>
      </c>
      <c r="S483" s="4">
        <v>25</v>
      </c>
      <c r="T483" s="12">
        <f>Tabela32[[#This Row],[Entregas]]-Tabela32[[#This Row],[Realizadas]]</f>
        <v>0</v>
      </c>
      <c r="U483" s="18">
        <f>Tabela32[[#This Row],[Realizadas]]/Tabela32[[#This Row],[Entregas]]</f>
        <v>1</v>
      </c>
      <c r="V483" s="19" t="str">
        <f>IF(Tabela32[[#This Row],[% Entrega]]&gt;=96%,"Atendeu a Meta","Não Atendeu a Meta")</f>
        <v>Atendeu a Meta</v>
      </c>
      <c r="W483" s="4" t="s">
        <v>39</v>
      </c>
      <c r="X483" s="4">
        <v>0</v>
      </c>
      <c r="Y483" s="5">
        <v>0</v>
      </c>
    </row>
    <row r="484" spans="1:25" x14ac:dyDescent="0.25">
      <c r="A484" s="8">
        <v>46301</v>
      </c>
      <c r="B484" s="16">
        <f>YEAR(Tabela32[[#This Row],[Data]])</f>
        <v>2026</v>
      </c>
      <c r="C484" s="16">
        <f>MONTH(Tabela32[[#This Row],[Data]])</f>
        <v>10</v>
      </c>
      <c r="D484" s="4" t="s">
        <v>23</v>
      </c>
      <c r="E484" s="4">
        <v>3</v>
      </c>
      <c r="F484" s="4" t="str">
        <f>IFERROR(VLOOKUP(Tabela32[[#This Row],[Placa]],Planilha2!$A$1:$B$12,2,0),"")</f>
        <v>William</v>
      </c>
      <c r="G484" s="10">
        <v>14818.4</v>
      </c>
      <c r="H484" s="10">
        <v>270443.61</v>
      </c>
      <c r="I484" s="4">
        <v>3409</v>
      </c>
      <c r="J484" s="17">
        <f>IFERROR(Tabela32[[#This Row],[Valor Frete]]/Tabela32[[#This Row],[Valor Mercadoria]],"")</f>
        <v>5.4792938165556956E-2</v>
      </c>
      <c r="K484" s="11">
        <v>0.2986111111111111</v>
      </c>
      <c r="L484" s="15">
        <v>0.78125</v>
      </c>
      <c r="M484" s="15">
        <f>Tabela32[[#This Row],[Hr Chegada]]-Tabela32[[#This Row],[Hr Saida]]</f>
        <v>0.4826388888888889</v>
      </c>
      <c r="N484" s="4">
        <v>126676</v>
      </c>
      <c r="O484" s="4">
        <v>126743</v>
      </c>
      <c r="P484" s="4">
        <f>Tabela32[[#This Row],[Km Chegada]]-Tabela32[[#This Row],[Km Saída]]</f>
        <v>67</v>
      </c>
      <c r="Q484" s="4">
        <v>383</v>
      </c>
      <c r="R484" s="4">
        <v>23</v>
      </c>
      <c r="S484" s="4">
        <v>23</v>
      </c>
      <c r="T484" s="12">
        <f>Tabela32[[#This Row],[Entregas]]-Tabela32[[#This Row],[Realizadas]]</f>
        <v>0</v>
      </c>
      <c r="U484" s="18">
        <f>Tabela32[[#This Row],[Realizadas]]/Tabela32[[#This Row],[Entregas]]</f>
        <v>1</v>
      </c>
      <c r="V484" s="19" t="str">
        <f>IF(Tabela32[[#This Row],[% Entrega]]&gt;=96%,"Atendeu a Meta","Não Atendeu a Meta")</f>
        <v>Atendeu a Meta</v>
      </c>
      <c r="W484" s="4" t="s">
        <v>39</v>
      </c>
      <c r="X484" s="4">
        <v>0</v>
      </c>
      <c r="Y484" s="5">
        <v>0</v>
      </c>
    </row>
    <row r="485" spans="1:25" x14ac:dyDescent="0.25">
      <c r="A485" s="8">
        <v>46301</v>
      </c>
      <c r="B485" s="16">
        <f>YEAR(Tabela32[[#This Row],[Data]])</f>
        <v>2026</v>
      </c>
      <c r="C485" s="16">
        <f>MONTH(Tabela32[[#This Row],[Data]])</f>
        <v>10</v>
      </c>
      <c r="D485" s="4" t="s">
        <v>31</v>
      </c>
      <c r="E485" s="4">
        <v>2</v>
      </c>
      <c r="F485" s="4" t="str">
        <f>IFERROR(VLOOKUP(Tabela32[[#This Row],[Placa]],Planilha2!$A$1:$B$12,2,0),"")</f>
        <v>Jerson</v>
      </c>
      <c r="G485" s="10">
        <v>14479.26</v>
      </c>
      <c r="H485" s="10">
        <v>262607.09999999998</v>
      </c>
      <c r="I485" s="4">
        <v>2642</v>
      </c>
      <c r="J485" s="17">
        <f>IFERROR(Tabela32[[#This Row],[Valor Frete]]/Tabela32[[#This Row],[Valor Mercadoria]],"")</f>
        <v>5.513658998557161E-2</v>
      </c>
      <c r="K485" s="11">
        <v>0.27430555555555558</v>
      </c>
      <c r="L485" s="15">
        <v>0.82638888888888884</v>
      </c>
      <c r="M485" s="15">
        <f>Tabela32[[#This Row],[Hr Chegada]]-Tabela32[[#This Row],[Hr Saida]]</f>
        <v>0.55208333333333326</v>
      </c>
      <c r="N485" s="4">
        <v>281825</v>
      </c>
      <c r="O485" s="4">
        <v>281896</v>
      </c>
      <c r="P485" s="4">
        <f>Tabela32[[#This Row],[Km Chegada]]-Tabela32[[#This Row],[Km Saída]]</f>
        <v>71</v>
      </c>
      <c r="Q485" s="4">
        <v>336</v>
      </c>
      <c r="R485" s="4">
        <v>39</v>
      </c>
      <c r="S485" s="4">
        <v>39</v>
      </c>
      <c r="T485" s="12">
        <f>Tabela32[[#This Row],[Entregas]]-Tabela32[[#This Row],[Realizadas]]</f>
        <v>0</v>
      </c>
      <c r="U485" s="18">
        <f>Tabela32[[#This Row],[Realizadas]]/Tabela32[[#This Row],[Entregas]]</f>
        <v>1</v>
      </c>
      <c r="V485" s="19" t="str">
        <f>IF(Tabela32[[#This Row],[% Entrega]]&gt;=96%,"Atendeu a Meta","Não Atendeu a Meta")</f>
        <v>Atendeu a Meta</v>
      </c>
      <c r="W485" s="4" t="s">
        <v>39</v>
      </c>
      <c r="X485" s="4">
        <v>0</v>
      </c>
      <c r="Y485" s="5">
        <v>0</v>
      </c>
    </row>
    <row r="486" spans="1:25" x14ac:dyDescent="0.25">
      <c r="A486" s="8">
        <v>46301</v>
      </c>
      <c r="B486" s="16">
        <f>YEAR(Tabela32[[#This Row],[Data]])</f>
        <v>2026</v>
      </c>
      <c r="C486" s="16">
        <f>MONTH(Tabela32[[#This Row],[Data]])</f>
        <v>10</v>
      </c>
      <c r="D486" s="4" t="s">
        <v>29</v>
      </c>
      <c r="E486" s="4">
        <v>1</v>
      </c>
      <c r="F486" s="4" t="str">
        <f>IFERROR(VLOOKUP(Tabela32[[#This Row],[Placa]],Planilha2!$A$1:$B$12,2,0),"")</f>
        <v>Sandro</v>
      </c>
      <c r="G486" s="10">
        <v>8860.61</v>
      </c>
      <c r="H486" s="10">
        <v>175974.15</v>
      </c>
      <c r="I486" s="4">
        <v>1387</v>
      </c>
      <c r="J486" s="17">
        <f>IFERROR(Tabela32[[#This Row],[Valor Frete]]/Tabela32[[#This Row],[Valor Mercadoria]],"")</f>
        <v>5.0351770416279897E-2</v>
      </c>
      <c r="K486" s="11">
        <v>0.3125</v>
      </c>
      <c r="L486" s="15">
        <v>0.82152777777777775</v>
      </c>
      <c r="M486" s="15">
        <f>Tabela32[[#This Row],[Hr Chegada]]-Tabela32[[#This Row],[Hr Saida]]</f>
        <v>0.50902777777777775</v>
      </c>
      <c r="N486" s="4">
        <v>276623</v>
      </c>
      <c r="O486" s="4">
        <v>276772</v>
      </c>
      <c r="P486" s="4">
        <f>Tabela32[[#This Row],[Km Chegada]]-Tabela32[[#This Row],[Km Saída]]</f>
        <v>149</v>
      </c>
      <c r="Q486" s="4">
        <v>197</v>
      </c>
      <c r="R486" s="4">
        <v>26</v>
      </c>
      <c r="S486" s="4">
        <v>24</v>
      </c>
      <c r="T486" s="12">
        <f>Tabela32[[#This Row],[Entregas]]-Tabela32[[#This Row],[Realizadas]]</f>
        <v>2</v>
      </c>
      <c r="U486" s="18">
        <f>Tabela32[[#This Row],[Realizadas]]/Tabela32[[#This Row],[Entregas]]</f>
        <v>0.92307692307692313</v>
      </c>
      <c r="V486" s="19" t="str">
        <f>IF(Tabela32[[#This Row],[% Entrega]]&gt;=96%,"Atendeu a Meta","Não Atendeu a Meta")</f>
        <v>Não Atendeu a Meta</v>
      </c>
      <c r="W486" s="4" t="s">
        <v>62</v>
      </c>
      <c r="X486" s="4">
        <v>2</v>
      </c>
      <c r="Y486" s="5">
        <v>13.13</v>
      </c>
    </row>
    <row r="487" spans="1:25" x14ac:dyDescent="0.25">
      <c r="A487" s="8">
        <v>46301</v>
      </c>
      <c r="B487" s="16">
        <f>YEAR(Tabela32[[#This Row],[Data]])</f>
        <v>2026</v>
      </c>
      <c r="C487" s="16">
        <f>MONTH(Tabela32[[#This Row],[Data]])</f>
        <v>10</v>
      </c>
      <c r="D487" s="4" t="s">
        <v>28</v>
      </c>
      <c r="E487" s="4">
        <v>3</v>
      </c>
      <c r="F487" s="4" t="str">
        <f>IFERROR(VLOOKUP(Tabela32[[#This Row],[Placa]],Planilha2!$A$1:$B$12,2,0),"")</f>
        <v>Edilson</v>
      </c>
      <c r="G487" s="10">
        <v>14066.85</v>
      </c>
      <c r="H487" s="10">
        <v>62486.95</v>
      </c>
      <c r="I487" s="4">
        <v>6328</v>
      </c>
      <c r="J487" s="17">
        <f>IFERROR(Tabela32[[#This Row],[Valor Frete]]/Tabela32[[#This Row],[Valor Mercadoria]],"")</f>
        <v>0.22511660434698766</v>
      </c>
      <c r="K487" s="11">
        <v>0.27083333333333331</v>
      </c>
      <c r="L487" s="15">
        <v>0.65833333333333333</v>
      </c>
      <c r="M487" s="15">
        <f>Tabela32[[#This Row],[Hr Chegada]]-Tabela32[[#This Row],[Hr Saida]]</f>
        <v>0.38750000000000001</v>
      </c>
      <c r="N487" s="4">
        <v>106700</v>
      </c>
      <c r="O487" s="4">
        <v>106739</v>
      </c>
      <c r="P487" s="4">
        <f>Tabela32[[#This Row],[Km Chegada]]-Tabela32[[#This Row],[Km Saída]]</f>
        <v>39</v>
      </c>
      <c r="Q487" s="4">
        <v>410</v>
      </c>
      <c r="R487" s="4">
        <v>1</v>
      </c>
      <c r="S487" s="4">
        <v>1</v>
      </c>
      <c r="T487" s="12">
        <f>Tabela32[[#This Row],[Entregas]]-Tabela32[[#This Row],[Realizadas]]</f>
        <v>0</v>
      </c>
      <c r="U487" s="18">
        <f>Tabela32[[#This Row],[Realizadas]]/Tabela32[[#This Row],[Entregas]]</f>
        <v>1</v>
      </c>
      <c r="V487" s="19" t="str">
        <f>IF(Tabela32[[#This Row],[% Entrega]]&gt;=96%,"Atendeu a Meta","Não Atendeu a Meta")</f>
        <v>Atendeu a Meta</v>
      </c>
      <c r="W487" s="4" t="s">
        <v>39</v>
      </c>
      <c r="X487" s="4">
        <v>0</v>
      </c>
      <c r="Y487" s="5">
        <v>0</v>
      </c>
    </row>
    <row r="488" spans="1:25" x14ac:dyDescent="0.25">
      <c r="A488" s="8">
        <v>46301</v>
      </c>
      <c r="B488" s="16">
        <f>YEAR(Tabela32[[#This Row],[Data]])</f>
        <v>2026</v>
      </c>
      <c r="C488" s="16">
        <f>MONTH(Tabela32[[#This Row],[Data]])</f>
        <v>10</v>
      </c>
      <c r="D488" s="4" t="s">
        <v>33</v>
      </c>
      <c r="E488" s="4">
        <v>5</v>
      </c>
      <c r="F488" s="4" t="str">
        <f>IFERROR(VLOOKUP(Tabela32[[#This Row],[Placa]],Planilha2!$A$1:$B$12,2,0),"")</f>
        <v>Paulo</v>
      </c>
      <c r="G488" s="10">
        <v>855.67</v>
      </c>
      <c r="H488" s="10">
        <v>17364.759999999998</v>
      </c>
      <c r="I488" s="4">
        <v>59</v>
      </c>
      <c r="J488" s="17">
        <f>IFERROR(Tabela32[[#This Row],[Valor Frete]]/Tabela32[[#This Row],[Valor Mercadoria]],"")</f>
        <v>4.9276235317965815E-2</v>
      </c>
      <c r="K488" s="11">
        <v>0.29166666666666669</v>
      </c>
      <c r="L488" s="15">
        <v>0.71180555555555558</v>
      </c>
      <c r="M488" s="15">
        <f>Tabela32[[#This Row],[Hr Chegada]]-Tabela32[[#This Row],[Hr Saida]]</f>
        <v>0.4201388888888889</v>
      </c>
      <c r="N488" s="4">
        <v>156692</v>
      </c>
      <c r="O488" s="4">
        <v>156744</v>
      </c>
      <c r="P488" s="4">
        <f>Tabela32[[#This Row],[Km Chegada]]-Tabela32[[#This Row],[Km Saída]]</f>
        <v>52</v>
      </c>
      <c r="Q488" s="4">
        <v>45</v>
      </c>
      <c r="R488" s="4">
        <v>2</v>
      </c>
      <c r="S488" s="4">
        <v>2</v>
      </c>
      <c r="T488" s="12">
        <f>Tabela32[[#This Row],[Entregas]]-Tabela32[[#This Row],[Realizadas]]</f>
        <v>0</v>
      </c>
      <c r="U488" s="18">
        <f>Tabela32[[#This Row],[Realizadas]]/Tabela32[[#This Row],[Entregas]]</f>
        <v>1</v>
      </c>
      <c r="V488" s="19" t="str">
        <f>IF(Tabela32[[#This Row],[% Entrega]]&gt;=96%,"Atendeu a Meta","Não Atendeu a Meta")</f>
        <v>Atendeu a Meta</v>
      </c>
      <c r="W488" s="4" t="s">
        <v>39</v>
      </c>
      <c r="X488" s="4">
        <v>0</v>
      </c>
      <c r="Y488" s="5">
        <v>0</v>
      </c>
    </row>
    <row r="489" spans="1:25" x14ac:dyDescent="0.25">
      <c r="A489" s="8">
        <v>46301</v>
      </c>
      <c r="B489" s="16">
        <f>YEAR(Tabela32[[#This Row],[Data]])</f>
        <v>2026</v>
      </c>
      <c r="C489" s="16">
        <f>MONTH(Tabela32[[#This Row],[Data]])</f>
        <v>10</v>
      </c>
      <c r="D489" s="4" t="s">
        <v>53</v>
      </c>
      <c r="E489" s="4">
        <v>1</v>
      </c>
      <c r="F489" s="4" t="str">
        <f>IFERROR(VLOOKUP(Tabela32[[#This Row],[Placa]],Planilha2!$A$1:$B$12,2,0),"")</f>
        <v>Arnaldo</v>
      </c>
      <c r="G489" s="10">
        <v>4094.02</v>
      </c>
      <c r="H489" s="10">
        <v>45709.9</v>
      </c>
      <c r="I489" s="4">
        <v>797</v>
      </c>
      <c r="J489" s="17">
        <f>IFERROR(Tabela32[[#This Row],[Valor Frete]]/Tabela32[[#This Row],[Valor Mercadoria]],"")</f>
        <v>8.9565280169066216E-2</v>
      </c>
      <c r="K489" s="11">
        <v>0.2986111111111111</v>
      </c>
      <c r="L489" s="15">
        <v>0.67291666666666672</v>
      </c>
      <c r="M489" s="15">
        <f>Tabela32[[#This Row],[Hr Chegada]]-Tabela32[[#This Row],[Hr Saida]]</f>
        <v>0.37430555555555561</v>
      </c>
      <c r="N489" s="4">
        <v>14572</v>
      </c>
      <c r="O489" s="4">
        <v>14610</v>
      </c>
      <c r="P489" s="4">
        <f>Tabela32[[#This Row],[Km Chegada]]-Tabela32[[#This Row],[Km Saída]]</f>
        <v>38</v>
      </c>
      <c r="Q489" s="4">
        <v>116</v>
      </c>
      <c r="R489" s="4">
        <v>9</v>
      </c>
      <c r="S489" s="4">
        <v>9</v>
      </c>
      <c r="T489" s="12">
        <f>Tabela32[[#This Row],[Entregas]]-Tabela32[[#This Row],[Realizadas]]</f>
        <v>0</v>
      </c>
      <c r="U489" s="18">
        <f>Tabela32[[#This Row],[Realizadas]]/Tabela32[[#This Row],[Entregas]]</f>
        <v>1</v>
      </c>
      <c r="V489" s="19" t="str">
        <f>IF(Tabela32[[#This Row],[% Entrega]]&gt;=96%,"Atendeu a Meta","Não Atendeu a Meta")</f>
        <v>Atendeu a Meta</v>
      </c>
      <c r="W489" s="4" t="s">
        <v>43</v>
      </c>
      <c r="X489" s="4">
        <v>0</v>
      </c>
      <c r="Y489" s="5">
        <v>38</v>
      </c>
    </row>
    <row r="490" spans="1:25" x14ac:dyDescent="0.25">
      <c r="A490" s="8">
        <v>46302</v>
      </c>
      <c r="B490" s="16">
        <f>YEAR(Tabela32[[#This Row],[Data]])</f>
        <v>2026</v>
      </c>
      <c r="C490" s="16">
        <f>MONTH(Tabela32[[#This Row],[Data]])</f>
        <v>10</v>
      </c>
      <c r="D490" s="4" t="s">
        <v>33</v>
      </c>
      <c r="E490" s="4">
        <v>1</v>
      </c>
      <c r="F490" s="4" t="str">
        <f>IFERROR(VLOOKUP(Tabela32[[#This Row],[Placa]],Planilha2!$A$1:$B$12,2,0),"")</f>
        <v>Paulo</v>
      </c>
      <c r="G490" s="10">
        <v>2365.94</v>
      </c>
      <c r="H490" s="10">
        <v>79712.88</v>
      </c>
      <c r="I490" s="4">
        <v>147</v>
      </c>
      <c r="J490" s="17">
        <f>IFERROR(Tabela32[[#This Row],[Valor Frete]]/Tabela32[[#This Row],[Valor Mercadoria]],"")</f>
        <v>2.9680774298958962E-2</v>
      </c>
      <c r="K490" s="11">
        <v>0.3125</v>
      </c>
      <c r="L490" s="15">
        <v>0.46319444444444446</v>
      </c>
      <c r="M490" s="15">
        <f>Tabela32[[#This Row],[Hr Chegada]]-Tabela32[[#This Row],[Hr Saida]]</f>
        <v>0.15069444444444446</v>
      </c>
      <c r="N490" s="4">
        <v>156744</v>
      </c>
      <c r="O490" s="4">
        <v>156775</v>
      </c>
      <c r="P490" s="4">
        <f>Tabela32[[#This Row],[Km Chegada]]-Tabela32[[#This Row],[Km Saída]]</f>
        <v>31</v>
      </c>
      <c r="Q490" s="4">
        <v>79</v>
      </c>
      <c r="R490" s="4">
        <v>4</v>
      </c>
      <c r="S490" s="4">
        <v>4</v>
      </c>
      <c r="T490" s="12">
        <f>Tabela32[[#This Row],[Entregas]]-Tabela32[[#This Row],[Realizadas]]</f>
        <v>0</v>
      </c>
      <c r="U490" s="18">
        <f>Tabela32[[#This Row],[Realizadas]]/Tabela32[[#This Row],[Entregas]]</f>
        <v>1</v>
      </c>
      <c r="V490" s="19" t="str">
        <f>IF(Tabela32[[#This Row],[% Entrega]]&gt;=96%,"Atendeu a Meta","Não Atendeu a Meta")</f>
        <v>Atendeu a Meta</v>
      </c>
      <c r="W490" s="4" t="s">
        <v>40</v>
      </c>
      <c r="X490" s="4">
        <v>0</v>
      </c>
      <c r="Y490" s="5">
        <v>0</v>
      </c>
    </row>
    <row r="491" spans="1:25" x14ac:dyDescent="0.25">
      <c r="A491" s="8">
        <v>46302</v>
      </c>
      <c r="B491" s="16">
        <f>YEAR(Tabela32[[#This Row],[Data]])</f>
        <v>2026</v>
      </c>
      <c r="C491" s="16">
        <f>MONTH(Tabela32[[#This Row],[Data]])</f>
        <v>10</v>
      </c>
      <c r="D491" s="4" t="s">
        <v>37</v>
      </c>
      <c r="E491" s="4">
        <v>1</v>
      </c>
      <c r="F491" s="4" t="str">
        <f>IFERROR(VLOOKUP(Tabela32[[#This Row],[Placa]],Planilha2!$A$1:$B$12,2,0),"")</f>
        <v/>
      </c>
      <c r="G491" s="10">
        <v>167.72</v>
      </c>
      <c r="H491" s="10">
        <v>7965.96</v>
      </c>
      <c r="I491" s="4">
        <v>3</v>
      </c>
      <c r="J491" s="17">
        <f>IFERROR(Tabela32[[#This Row],[Valor Frete]]/Tabela32[[#This Row],[Valor Mercadoria]],"")</f>
        <v>2.1054587268828865E-2</v>
      </c>
      <c r="K491" s="11">
        <v>0.33333333333333331</v>
      </c>
      <c r="L491" s="15">
        <v>0.35416666666666669</v>
      </c>
      <c r="M491" s="15">
        <f>Tabela32[[#This Row],[Hr Chegada]]-Tabela32[[#This Row],[Hr Saida]]</f>
        <v>2.083333333333337E-2</v>
      </c>
      <c r="N491" s="4">
        <v>13146</v>
      </c>
      <c r="O491" s="4">
        <v>13147</v>
      </c>
      <c r="P491" s="4">
        <f>Tabela32[[#This Row],[Km Chegada]]-Tabela32[[#This Row],[Km Saída]]</f>
        <v>1</v>
      </c>
      <c r="Q491" s="4">
        <v>5</v>
      </c>
      <c r="R491" s="4">
        <v>1</v>
      </c>
      <c r="S491" s="4">
        <v>1</v>
      </c>
      <c r="T491" s="12">
        <f>Tabela32[[#This Row],[Entregas]]-Tabela32[[#This Row],[Realizadas]]</f>
        <v>0</v>
      </c>
      <c r="U491" s="18">
        <f>Tabela32[[#This Row],[Realizadas]]/Tabela32[[#This Row],[Entregas]]</f>
        <v>1</v>
      </c>
      <c r="V491" s="19" t="str">
        <f>IF(Tabela32[[#This Row],[% Entrega]]&gt;=96%,"Atendeu a Meta","Não Atendeu a Meta")</f>
        <v>Atendeu a Meta</v>
      </c>
      <c r="W491" s="4" t="s">
        <v>43</v>
      </c>
      <c r="X491" s="4">
        <v>0</v>
      </c>
      <c r="Y491" s="5">
        <v>0</v>
      </c>
    </row>
    <row r="492" spans="1:25" x14ac:dyDescent="0.25">
      <c r="A492" s="8">
        <v>46302</v>
      </c>
      <c r="B492" s="16">
        <f>YEAR(Tabela32[[#This Row],[Data]])</f>
        <v>2026</v>
      </c>
      <c r="C492" s="16">
        <f>MONTH(Tabela32[[#This Row],[Data]])</f>
        <v>10</v>
      </c>
      <c r="D492" s="4" t="s">
        <v>27</v>
      </c>
      <c r="E492" s="4">
        <v>1</v>
      </c>
      <c r="F492" s="4" t="str">
        <f>IFERROR(VLOOKUP(Tabela32[[#This Row],[Placa]],Planilha2!$A$1:$B$12,2,0),"")</f>
        <v>Rosinaldo</v>
      </c>
      <c r="G492" s="10">
        <v>3470.09</v>
      </c>
      <c r="H492" s="10">
        <v>47314.8</v>
      </c>
      <c r="I492" s="4">
        <v>709</v>
      </c>
      <c r="J492" s="17">
        <f>IFERROR(Tabela32[[#This Row],[Valor Frete]]/Tabela32[[#This Row],[Valor Mercadoria]],"")</f>
        <v>7.3340476975491814E-2</v>
      </c>
      <c r="K492" s="11">
        <v>0.29166666666666669</v>
      </c>
      <c r="L492" s="15">
        <v>0.49305555555555558</v>
      </c>
      <c r="M492" s="15">
        <f>Tabela32[[#This Row],[Hr Chegada]]-Tabela32[[#This Row],[Hr Saida]]</f>
        <v>0.2013888888888889</v>
      </c>
      <c r="N492" s="4">
        <v>292243</v>
      </c>
      <c r="O492" s="4">
        <v>292286</v>
      </c>
      <c r="P492" s="4">
        <f>Tabela32[[#This Row],[Km Chegada]]-Tabela32[[#This Row],[Km Saída]]</f>
        <v>43</v>
      </c>
      <c r="Q492" s="4">
        <v>1</v>
      </c>
      <c r="R492" s="4">
        <v>1</v>
      </c>
      <c r="S492" s="4">
        <v>1</v>
      </c>
      <c r="T492" s="12">
        <f>Tabela32[[#This Row],[Entregas]]-Tabela32[[#This Row],[Realizadas]]</f>
        <v>0</v>
      </c>
      <c r="U492" s="18">
        <f>Tabela32[[#This Row],[Realizadas]]/Tabela32[[#This Row],[Entregas]]</f>
        <v>1</v>
      </c>
      <c r="V492" s="19" t="str">
        <f>IF(Tabela32[[#This Row],[% Entrega]]&gt;=96%,"Atendeu a Meta","Não Atendeu a Meta")</f>
        <v>Atendeu a Meta</v>
      </c>
      <c r="W492" s="4" t="s">
        <v>40</v>
      </c>
      <c r="X492" s="4">
        <v>0</v>
      </c>
      <c r="Y492" s="5">
        <v>0</v>
      </c>
    </row>
    <row r="493" spans="1:25" x14ac:dyDescent="0.25">
      <c r="A493" s="8">
        <v>46302</v>
      </c>
      <c r="B493" s="16">
        <f>YEAR(Tabela32[[#This Row],[Data]])</f>
        <v>2026</v>
      </c>
      <c r="C493" s="16">
        <f>MONTH(Tabela32[[#This Row],[Data]])</f>
        <v>10</v>
      </c>
      <c r="D493" s="4" t="s">
        <v>28</v>
      </c>
      <c r="E493" s="4">
        <v>11</v>
      </c>
      <c r="F493" s="4" t="str">
        <f>IFERROR(VLOOKUP(Tabela32[[#This Row],[Placa]],Planilha2!$A$1:$B$12,2,0),"")</f>
        <v>Edilson</v>
      </c>
      <c r="G493" s="10">
        <v>10067.5</v>
      </c>
      <c r="H493" s="10">
        <v>190558.92</v>
      </c>
      <c r="I493" s="4">
        <v>1778</v>
      </c>
      <c r="J493" s="17">
        <f>IFERROR(Tabela32[[#This Row],[Valor Frete]]/Tabela32[[#This Row],[Valor Mercadoria]],"")</f>
        <v>5.2831428725561624E-2</v>
      </c>
      <c r="K493" s="11">
        <v>0.27083333333333331</v>
      </c>
      <c r="L493" s="15">
        <v>0.7270833333333333</v>
      </c>
      <c r="M493" s="15">
        <f>Tabela32[[#This Row],[Hr Chegada]]-Tabela32[[#This Row],[Hr Saida]]</f>
        <v>0.45624999999999999</v>
      </c>
      <c r="N493" s="4">
        <v>106739</v>
      </c>
      <c r="O493" s="4">
        <v>106901</v>
      </c>
      <c r="P493" s="4">
        <f>Tabela32[[#This Row],[Km Chegada]]-Tabela32[[#This Row],[Km Saída]]</f>
        <v>162</v>
      </c>
      <c r="Q493" s="4">
        <v>365</v>
      </c>
      <c r="R493" s="4">
        <v>21</v>
      </c>
      <c r="S493" s="4">
        <v>21</v>
      </c>
      <c r="T493" s="12">
        <f>Tabela32[[#This Row],[Entregas]]-Tabela32[[#This Row],[Realizadas]]</f>
        <v>0</v>
      </c>
      <c r="U493" s="18">
        <f>Tabela32[[#This Row],[Realizadas]]/Tabela32[[#This Row],[Entregas]]</f>
        <v>1</v>
      </c>
      <c r="V493" s="19" t="str">
        <f>IF(Tabela32[[#This Row],[% Entrega]]&gt;=96%,"Atendeu a Meta","Não Atendeu a Meta")</f>
        <v>Atendeu a Meta</v>
      </c>
      <c r="W493" s="4" t="s">
        <v>41</v>
      </c>
      <c r="X493" s="4">
        <v>0</v>
      </c>
      <c r="Y493" s="5">
        <v>0</v>
      </c>
    </row>
    <row r="494" spans="1:25" x14ac:dyDescent="0.25">
      <c r="A494" s="8">
        <v>46302</v>
      </c>
      <c r="B494" s="16">
        <f>YEAR(Tabela32[[#This Row],[Data]])</f>
        <v>2026</v>
      </c>
      <c r="C494" s="16">
        <f>MONTH(Tabela32[[#This Row],[Data]])</f>
        <v>10</v>
      </c>
      <c r="D494" s="4" t="s">
        <v>22</v>
      </c>
      <c r="E494" s="4">
        <v>5</v>
      </c>
      <c r="F494" s="4" t="str">
        <f>IFERROR(VLOOKUP(Tabela32[[#This Row],[Placa]],Planilha2!$A$1:$B$12,2,0),"")</f>
        <v>Juscelino</v>
      </c>
      <c r="G494" s="10">
        <v>6011.95</v>
      </c>
      <c r="H494" s="10">
        <v>83304.95</v>
      </c>
      <c r="I494" s="4">
        <v>1129</v>
      </c>
      <c r="J494" s="17">
        <f>IFERROR(Tabela32[[#This Row],[Valor Frete]]/Tabela32[[#This Row],[Valor Mercadoria]],"")</f>
        <v>7.2167980414129057E-2</v>
      </c>
      <c r="K494" s="11">
        <v>0.3125</v>
      </c>
      <c r="L494" s="15">
        <v>0.77430555555555558</v>
      </c>
      <c r="M494" s="15">
        <f>Tabela32[[#This Row],[Hr Chegada]]-Tabela32[[#This Row],[Hr Saida]]</f>
        <v>0.46180555555555558</v>
      </c>
      <c r="N494" s="4">
        <v>305983</v>
      </c>
      <c r="O494" s="4">
        <v>306071</v>
      </c>
      <c r="P494" s="4">
        <f>Tabela32[[#This Row],[Km Chegada]]-Tabela32[[#This Row],[Km Saída]]</f>
        <v>88</v>
      </c>
      <c r="Q494" s="4">
        <v>122</v>
      </c>
      <c r="R494" s="4">
        <v>24</v>
      </c>
      <c r="S494" s="4">
        <v>24</v>
      </c>
      <c r="T494" s="12">
        <f>Tabela32[[#This Row],[Entregas]]-Tabela32[[#This Row],[Realizadas]]</f>
        <v>0</v>
      </c>
      <c r="U494" s="18">
        <f>Tabela32[[#This Row],[Realizadas]]/Tabela32[[#This Row],[Entregas]]</f>
        <v>1</v>
      </c>
      <c r="V494" s="19" t="str">
        <f>IF(Tabela32[[#This Row],[% Entrega]]&gt;=96%,"Atendeu a Meta","Não Atendeu a Meta")</f>
        <v>Atendeu a Meta</v>
      </c>
      <c r="W494" s="4" t="s">
        <v>39</v>
      </c>
      <c r="X494" s="4">
        <v>0</v>
      </c>
      <c r="Y494" s="5">
        <v>0</v>
      </c>
    </row>
    <row r="495" spans="1:25" x14ac:dyDescent="0.25">
      <c r="A495" s="8">
        <v>46302</v>
      </c>
      <c r="B495" s="16">
        <f>YEAR(Tabela32[[#This Row],[Data]])</f>
        <v>2026</v>
      </c>
      <c r="C495" s="16">
        <f>MONTH(Tabela32[[#This Row],[Data]])</f>
        <v>10</v>
      </c>
      <c r="D495" s="4" t="s">
        <v>23</v>
      </c>
      <c r="E495" s="4">
        <v>3</v>
      </c>
      <c r="F495" s="4" t="str">
        <f>IFERROR(VLOOKUP(Tabela32[[#This Row],[Placa]],Planilha2!$A$1:$B$12,2,0),"")</f>
        <v>William</v>
      </c>
      <c r="G495" s="10">
        <v>10067.5</v>
      </c>
      <c r="H495" s="10">
        <v>190558.92</v>
      </c>
      <c r="I495" s="4">
        <v>1778</v>
      </c>
      <c r="J495" s="17">
        <f>IFERROR(Tabela32[[#This Row],[Valor Frete]]/Tabela32[[#This Row],[Valor Mercadoria]],"")</f>
        <v>5.2831428725561624E-2</v>
      </c>
      <c r="K495" s="11">
        <v>0.29166666666666669</v>
      </c>
      <c r="L495" s="15">
        <v>0.80763888888888891</v>
      </c>
      <c r="M495" s="15">
        <f>Tabela32[[#This Row],[Hr Chegada]]-Tabela32[[#This Row],[Hr Saida]]</f>
        <v>0.51597222222222228</v>
      </c>
      <c r="N495" s="4">
        <v>126743</v>
      </c>
      <c r="O495" s="4">
        <v>126810</v>
      </c>
      <c r="P495" s="4">
        <f>Tabela32[[#This Row],[Km Chegada]]-Tabela32[[#This Row],[Km Saída]]</f>
        <v>67</v>
      </c>
      <c r="Q495" s="4">
        <v>365</v>
      </c>
      <c r="R495" s="4">
        <v>21</v>
      </c>
      <c r="S495" s="4">
        <v>21</v>
      </c>
      <c r="T495" s="12">
        <f>Tabela32[[#This Row],[Entregas]]-Tabela32[[#This Row],[Realizadas]]</f>
        <v>0</v>
      </c>
      <c r="U495" s="18">
        <f>Tabela32[[#This Row],[Realizadas]]/Tabela32[[#This Row],[Entregas]]</f>
        <v>1</v>
      </c>
      <c r="V495" s="19" t="str">
        <f>IF(Tabela32[[#This Row],[% Entrega]]&gt;=96%,"Atendeu a Meta","Não Atendeu a Meta")</f>
        <v>Atendeu a Meta</v>
      </c>
      <c r="W495" s="4" t="s">
        <v>41</v>
      </c>
      <c r="X495" s="4">
        <v>0</v>
      </c>
      <c r="Y495" s="5">
        <v>0</v>
      </c>
    </row>
    <row r="496" spans="1:25" x14ac:dyDescent="0.25">
      <c r="A496" s="8">
        <v>46302</v>
      </c>
      <c r="B496" s="16">
        <f>YEAR(Tabela32[[#This Row],[Data]])</f>
        <v>2026</v>
      </c>
      <c r="C496" s="16">
        <f>MONTH(Tabela32[[#This Row],[Data]])</f>
        <v>10</v>
      </c>
      <c r="D496" s="4" t="s">
        <v>27</v>
      </c>
      <c r="E496" s="4">
        <v>1</v>
      </c>
      <c r="F496" s="4" t="str">
        <f>IFERROR(VLOOKUP(Tabela32[[#This Row],[Placa]],Planilha2!$A$1:$B$12,2,0),"")</f>
        <v>Rosinaldo</v>
      </c>
      <c r="G496" s="10">
        <v>729.95</v>
      </c>
      <c r="H496" s="10">
        <v>10884.6</v>
      </c>
      <c r="I496" s="4">
        <v>132</v>
      </c>
      <c r="J496" s="17">
        <f>IFERROR(Tabela32[[#This Row],[Valor Frete]]/Tabela32[[#This Row],[Valor Mercadoria]],"")</f>
        <v>6.7062638957793588E-2</v>
      </c>
      <c r="K496" s="11">
        <v>0.60416666666666663</v>
      </c>
      <c r="L496" s="15">
        <v>0.75</v>
      </c>
      <c r="M496" s="15">
        <f>Tabela32[[#This Row],[Hr Chegada]]-Tabela32[[#This Row],[Hr Saida]]</f>
        <v>0.14583333333333337</v>
      </c>
      <c r="N496" s="4">
        <v>292386</v>
      </c>
      <c r="O496" s="4">
        <v>292433</v>
      </c>
      <c r="P496" s="4">
        <f>Tabela32[[#This Row],[Km Chegada]]-Tabela32[[#This Row],[Km Saída]]</f>
        <v>47</v>
      </c>
      <c r="Q496" s="4">
        <v>29</v>
      </c>
      <c r="R496" s="4">
        <v>4</v>
      </c>
      <c r="S496" s="4">
        <v>4</v>
      </c>
      <c r="T496" s="12">
        <f>Tabela32[[#This Row],[Entregas]]-Tabela32[[#This Row],[Realizadas]]</f>
        <v>0</v>
      </c>
      <c r="U496" s="18">
        <f>Tabela32[[#This Row],[Realizadas]]/Tabela32[[#This Row],[Entregas]]</f>
        <v>1</v>
      </c>
      <c r="V496" s="19" t="str">
        <f>IF(Tabela32[[#This Row],[% Entrega]]&gt;=96%,"Atendeu a Meta","Não Atendeu a Meta")</f>
        <v>Atendeu a Meta</v>
      </c>
      <c r="W496" s="4" t="s">
        <v>43</v>
      </c>
      <c r="X496" s="4">
        <v>0</v>
      </c>
      <c r="Y496" s="5">
        <v>0</v>
      </c>
    </row>
    <row r="497" spans="1:25" x14ac:dyDescent="0.25">
      <c r="A497" s="8">
        <v>46302</v>
      </c>
      <c r="B497" s="16">
        <f>YEAR(Tabela32[[#This Row],[Data]])</f>
        <v>2026</v>
      </c>
      <c r="C497" s="16">
        <f>MONTH(Tabela32[[#This Row],[Data]])</f>
        <v>10</v>
      </c>
      <c r="D497" s="4" t="s">
        <v>29</v>
      </c>
      <c r="E497" s="4">
        <v>1</v>
      </c>
      <c r="F497" s="4" t="str">
        <f>IFERROR(VLOOKUP(Tabela32[[#This Row],[Placa]],Planilha2!$A$1:$B$12,2,0),"")</f>
        <v>Sandro</v>
      </c>
      <c r="G497" s="10">
        <v>10417.92</v>
      </c>
      <c r="H497" s="10">
        <v>311725.05</v>
      </c>
      <c r="I497" s="4">
        <v>2131</v>
      </c>
      <c r="J497" s="17">
        <f>IFERROR(Tabela32[[#This Row],[Valor Frete]]/Tabela32[[#This Row],[Valor Mercadoria]],"")</f>
        <v>3.3420220800349537E-2</v>
      </c>
      <c r="K497" s="11">
        <v>0.29166666666666669</v>
      </c>
      <c r="L497" s="15">
        <v>0.74375000000000002</v>
      </c>
      <c r="M497" s="15">
        <f>Tabela32[[#This Row],[Hr Chegada]]-Tabela32[[#This Row],[Hr Saida]]</f>
        <v>0.45208333333333334</v>
      </c>
      <c r="N497" s="4">
        <v>276772</v>
      </c>
      <c r="O497" s="4">
        <v>276802</v>
      </c>
      <c r="P497" s="4">
        <f>Tabela32[[#This Row],[Km Chegada]]-Tabela32[[#This Row],[Km Saída]]</f>
        <v>30</v>
      </c>
      <c r="Q497" s="4">
        <v>4</v>
      </c>
      <c r="R497" s="4">
        <v>2</v>
      </c>
      <c r="S497" s="4">
        <v>2</v>
      </c>
      <c r="T497" s="12">
        <f>Tabela32[[#This Row],[Entregas]]-Tabela32[[#This Row],[Realizadas]]</f>
        <v>0</v>
      </c>
      <c r="U497" s="18">
        <f>Tabela32[[#This Row],[Realizadas]]/Tabela32[[#This Row],[Entregas]]</f>
        <v>1</v>
      </c>
      <c r="V497" s="19" t="str">
        <f>IF(Tabela32[[#This Row],[% Entrega]]&gt;=96%,"Atendeu a Meta","Não Atendeu a Meta")</f>
        <v>Atendeu a Meta</v>
      </c>
      <c r="W497" s="4" t="s">
        <v>40</v>
      </c>
      <c r="X497" s="4">
        <v>0</v>
      </c>
      <c r="Y497" s="5">
        <v>0</v>
      </c>
    </row>
    <row r="498" spans="1:25" x14ac:dyDescent="0.25">
      <c r="A498" s="8">
        <v>46302</v>
      </c>
      <c r="B498" s="16">
        <f>YEAR(Tabela32[[#This Row],[Data]])</f>
        <v>2026</v>
      </c>
      <c r="C498" s="16">
        <f>MONTH(Tabela32[[#This Row],[Data]])</f>
        <v>10</v>
      </c>
      <c r="D498" s="4" t="s">
        <v>31</v>
      </c>
      <c r="E498" s="4">
        <v>2</v>
      </c>
      <c r="F498" s="4" t="str">
        <f>IFERROR(VLOOKUP(Tabela32[[#This Row],[Placa]],Planilha2!$A$1:$B$12,2,0),"")</f>
        <v>Jerson</v>
      </c>
      <c r="G498" s="10">
        <v>12598.62</v>
      </c>
      <c r="H498" s="10">
        <v>233879.14</v>
      </c>
      <c r="I498" s="4">
        <v>2926</v>
      </c>
      <c r="J498" s="17">
        <f>IFERROR(Tabela32[[#This Row],[Valor Frete]]/Tabela32[[#This Row],[Valor Mercadoria]],"")</f>
        <v>5.386807904287659E-2</v>
      </c>
      <c r="K498" s="11">
        <v>0.27430555555555558</v>
      </c>
      <c r="L498" s="15">
        <v>0.80208333333333337</v>
      </c>
      <c r="M498" s="15">
        <f>Tabela32[[#This Row],[Hr Chegada]]-Tabela32[[#This Row],[Hr Saida]]</f>
        <v>0.52777777777777779</v>
      </c>
      <c r="N498" s="4">
        <v>281896</v>
      </c>
      <c r="O498" s="4">
        <v>281963</v>
      </c>
      <c r="P498" s="4">
        <f>Tabela32[[#This Row],[Km Chegada]]-Tabela32[[#This Row],[Km Saída]]</f>
        <v>67</v>
      </c>
      <c r="Q498" s="4">
        <v>312</v>
      </c>
      <c r="R498" s="4">
        <v>42</v>
      </c>
      <c r="S498" s="4">
        <v>42</v>
      </c>
      <c r="T498" s="12">
        <f>Tabela32[[#This Row],[Entregas]]-Tabela32[[#This Row],[Realizadas]]</f>
        <v>0</v>
      </c>
      <c r="U498" s="18">
        <f>Tabela32[[#This Row],[Realizadas]]/Tabela32[[#This Row],[Entregas]]</f>
        <v>1</v>
      </c>
      <c r="V498" s="19" t="str">
        <f>IF(Tabela32[[#This Row],[% Entrega]]&gt;=96%,"Atendeu a Meta","Não Atendeu a Meta")</f>
        <v>Atendeu a Meta</v>
      </c>
      <c r="W498" s="4" t="s">
        <v>39</v>
      </c>
      <c r="X498" s="4">
        <v>0</v>
      </c>
      <c r="Y498" s="5">
        <v>0</v>
      </c>
    </row>
    <row r="499" spans="1:25" x14ac:dyDescent="0.25">
      <c r="A499" s="8">
        <v>46302</v>
      </c>
      <c r="B499" s="16">
        <f>YEAR(Tabela32[[#This Row],[Data]])</f>
        <v>2026</v>
      </c>
      <c r="C499" s="16">
        <f>MONTH(Tabela32[[#This Row],[Data]])</f>
        <v>10</v>
      </c>
      <c r="D499" s="4" t="s">
        <v>53</v>
      </c>
      <c r="E499" s="4">
        <v>1</v>
      </c>
      <c r="F499" s="4" t="str">
        <f>IFERROR(VLOOKUP(Tabela32[[#This Row],[Placa]],Planilha2!$A$1:$B$12,2,0),"")</f>
        <v>Arnaldo</v>
      </c>
      <c r="G499" s="10">
        <v>8325.74</v>
      </c>
      <c r="H499" s="10">
        <v>207414.54</v>
      </c>
      <c r="I499" s="4">
        <v>3398</v>
      </c>
      <c r="J499" s="17">
        <f>IFERROR(Tabela32[[#This Row],[Valor Frete]]/Tabela32[[#This Row],[Valor Mercadoria]],"")</f>
        <v>4.0140580308400751E-2</v>
      </c>
      <c r="K499" s="11">
        <v>0.5625</v>
      </c>
      <c r="L499" s="15">
        <v>0.84236111111111112</v>
      </c>
      <c r="M499" s="15">
        <f>Tabela32[[#This Row],[Hr Chegada]]-Tabela32[[#This Row],[Hr Saida]]</f>
        <v>0.27986111111111112</v>
      </c>
      <c r="N499" s="4">
        <v>14610</v>
      </c>
      <c r="O499" s="4">
        <v>14721</v>
      </c>
      <c r="P499" s="4">
        <f>Tabela32[[#This Row],[Km Chegada]]-Tabela32[[#This Row],[Km Saída]]</f>
        <v>111</v>
      </c>
      <c r="Q499" s="4">
        <v>730</v>
      </c>
      <c r="R499" s="4">
        <v>17</v>
      </c>
      <c r="S499" s="4">
        <v>17</v>
      </c>
      <c r="T499" s="12">
        <f>Tabela32[[#This Row],[Entregas]]-Tabela32[[#This Row],[Realizadas]]</f>
        <v>0</v>
      </c>
      <c r="U499" s="18">
        <f>Tabela32[[#This Row],[Realizadas]]/Tabela32[[#This Row],[Entregas]]</f>
        <v>1</v>
      </c>
      <c r="V499" s="19" t="str">
        <f>IF(Tabela32[[#This Row],[% Entrega]]&gt;=96%,"Atendeu a Meta","Não Atendeu a Meta")</f>
        <v>Atendeu a Meta</v>
      </c>
      <c r="W499" s="4" t="s">
        <v>39</v>
      </c>
      <c r="X499" s="4">
        <v>0</v>
      </c>
      <c r="Y499" s="5">
        <v>0</v>
      </c>
    </row>
    <row r="500" spans="1:25" x14ac:dyDescent="0.25">
      <c r="A500" s="8">
        <v>46302</v>
      </c>
      <c r="B500" s="16">
        <f>YEAR(Tabela32[[#This Row],[Data]])</f>
        <v>2026</v>
      </c>
      <c r="C500" s="16">
        <f>MONTH(Tabela32[[#This Row],[Data]])</f>
        <v>10</v>
      </c>
      <c r="D500" s="4" t="s">
        <v>35</v>
      </c>
      <c r="E500" s="4">
        <v>1</v>
      </c>
      <c r="F500" s="4" t="str">
        <f>IFERROR(VLOOKUP(Tabela32[[#This Row],[Placa]],Planilha2!$A$1:$B$12,2,0),"")</f>
        <v>Osvaldo</v>
      </c>
      <c r="G500" s="10">
        <v>2147.7199999999998</v>
      </c>
      <c r="H500" s="10">
        <v>35039.72</v>
      </c>
      <c r="I500" s="4">
        <v>369</v>
      </c>
      <c r="J500" s="17">
        <f>IFERROR(Tabela32[[#This Row],[Valor Frete]]/Tabela32[[#This Row],[Valor Mercadoria]],"")</f>
        <v>6.129386878662272E-2</v>
      </c>
      <c r="K500" s="11">
        <v>0.3125</v>
      </c>
      <c r="L500" s="15">
        <v>0.71250000000000002</v>
      </c>
      <c r="M500" s="15">
        <f>Tabela32[[#This Row],[Hr Chegada]]-Tabela32[[#This Row],[Hr Saida]]</f>
        <v>0.4</v>
      </c>
      <c r="N500" s="4">
        <v>144455</v>
      </c>
      <c r="O500" s="4">
        <v>144536</v>
      </c>
      <c r="P500" s="4">
        <f>Tabela32[[#This Row],[Km Chegada]]-Tabela32[[#This Row],[Km Saída]]</f>
        <v>81</v>
      </c>
      <c r="Q500" s="4">
        <v>92</v>
      </c>
      <c r="R500" s="4">
        <v>9</v>
      </c>
      <c r="S500" s="4">
        <v>9</v>
      </c>
      <c r="T500" s="12">
        <f>Tabela32[[#This Row],[Entregas]]-Tabela32[[#This Row],[Realizadas]]</f>
        <v>0</v>
      </c>
      <c r="U500" s="18">
        <f>Tabela32[[#This Row],[Realizadas]]/Tabela32[[#This Row],[Entregas]]</f>
        <v>1</v>
      </c>
      <c r="V500" s="19" t="str">
        <f>IF(Tabela32[[#This Row],[% Entrega]]&gt;=96%,"Atendeu a Meta","Não Atendeu a Meta")</f>
        <v>Atendeu a Meta</v>
      </c>
      <c r="W500" s="4" t="s">
        <v>43</v>
      </c>
      <c r="X500" s="4">
        <v>0</v>
      </c>
      <c r="Y500" s="5">
        <v>0</v>
      </c>
    </row>
    <row r="501" spans="1:25" x14ac:dyDescent="0.25">
      <c r="A501" s="8">
        <v>46302</v>
      </c>
      <c r="B501" s="16">
        <f>YEAR(Tabela32[[#This Row],[Data]])</f>
        <v>2026</v>
      </c>
      <c r="C501" s="16">
        <f>MONTH(Tabela32[[#This Row],[Data]])</f>
        <v>10</v>
      </c>
      <c r="D501" s="4" t="s">
        <v>33</v>
      </c>
      <c r="E501" s="4">
        <v>3</v>
      </c>
      <c r="F501" s="4" t="str">
        <f>IFERROR(VLOOKUP(Tabela32[[#This Row],[Placa]],Planilha2!$A$1:$B$12,2,0),"")</f>
        <v>Paulo</v>
      </c>
      <c r="G501" s="10">
        <v>2201.44</v>
      </c>
      <c r="H501" s="10">
        <v>44417.4</v>
      </c>
      <c r="I501" s="4">
        <v>373</v>
      </c>
      <c r="J501" s="17">
        <f>IFERROR(Tabela32[[#This Row],[Valor Frete]]/Tabela32[[#This Row],[Valor Mercadoria]],"")</f>
        <v>4.9562558817040171E-2</v>
      </c>
      <c r="K501" s="11">
        <v>0.47916666666666669</v>
      </c>
      <c r="L501" s="15">
        <v>0.71319444444444446</v>
      </c>
      <c r="M501" s="15">
        <f>Tabela32[[#This Row],[Hr Chegada]]-Tabela32[[#This Row],[Hr Saida]]</f>
        <v>0.23402777777777778</v>
      </c>
      <c r="N501" s="4">
        <v>156775</v>
      </c>
      <c r="O501" s="4">
        <v>156830</v>
      </c>
      <c r="P501" s="4">
        <f>Tabela32[[#This Row],[Km Chegada]]-Tabela32[[#This Row],[Km Saída]]</f>
        <v>55</v>
      </c>
      <c r="Q501" s="4">
        <v>54</v>
      </c>
      <c r="R501" s="4">
        <v>14</v>
      </c>
      <c r="S501" s="4">
        <v>14</v>
      </c>
      <c r="T501" s="12">
        <f>Tabela32[[#This Row],[Entregas]]-Tabela32[[#This Row],[Realizadas]]</f>
        <v>0</v>
      </c>
      <c r="U501" s="18">
        <f>Tabela32[[#This Row],[Realizadas]]/Tabela32[[#This Row],[Entregas]]</f>
        <v>1</v>
      </c>
      <c r="V501" s="19" t="str">
        <f>IF(Tabela32[[#This Row],[% Entrega]]&gt;=96%,"Atendeu a Meta","Não Atendeu a Meta")</f>
        <v>Atendeu a Meta</v>
      </c>
      <c r="W501" s="4" t="s">
        <v>39</v>
      </c>
      <c r="X501" s="4">
        <v>0</v>
      </c>
      <c r="Y501" s="5">
        <v>0</v>
      </c>
    </row>
    <row r="502" spans="1:25" x14ac:dyDescent="0.25">
      <c r="A502" s="8">
        <v>46303</v>
      </c>
      <c r="B502" s="16">
        <f>YEAR(Tabela32[[#This Row],[Data]])</f>
        <v>2026</v>
      </c>
      <c r="C502" s="16">
        <f>MONTH(Tabela32[[#This Row],[Data]])</f>
        <v>10</v>
      </c>
      <c r="D502" s="4" t="s">
        <v>36</v>
      </c>
      <c r="E502" s="4">
        <v>5</v>
      </c>
      <c r="F502" s="4" t="str">
        <f>IFERROR(VLOOKUP(Tabela32[[#This Row],[Placa]],Planilha2!$A$1:$B$12,2,0),"")</f>
        <v>Heremilton</v>
      </c>
      <c r="G502" s="10">
        <v>54917.27</v>
      </c>
      <c r="H502" s="10">
        <v>795207.48</v>
      </c>
      <c r="I502" s="4">
        <v>9760</v>
      </c>
      <c r="J502" s="17">
        <f>IFERROR(Tabela32[[#This Row],[Valor Frete]]/Tabela32[[#This Row],[Valor Mercadoria]],"")</f>
        <v>6.9060303607808113E-2</v>
      </c>
      <c r="K502" s="11">
        <v>0.27986111111111112</v>
      </c>
      <c r="L502" s="15">
        <v>0.83333333333333337</v>
      </c>
      <c r="M502" s="15">
        <f>Tabela32[[#This Row],[Hr Chegada]]-Tabela32[[#This Row],[Hr Saida]]</f>
        <v>0.55347222222222225</v>
      </c>
      <c r="N502" s="4">
        <v>368062</v>
      </c>
      <c r="O502" s="4">
        <v>368100</v>
      </c>
      <c r="P502" s="4">
        <f>Tabela32[[#This Row],[Km Chegada]]-Tabela32[[#This Row],[Km Saída]]</f>
        <v>38</v>
      </c>
      <c r="Q502" s="4">
        <v>1948</v>
      </c>
      <c r="R502" s="4">
        <v>34</v>
      </c>
      <c r="S502" s="4">
        <v>34</v>
      </c>
      <c r="T502" s="12">
        <f>Tabela32[[#This Row],[Entregas]]-Tabela32[[#This Row],[Realizadas]]</f>
        <v>0</v>
      </c>
      <c r="U502" s="18">
        <f>Tabela32[[#This Row],[Realizadas]]/Tabela32[[#This Row],[Entregas]]</f>
        <v>1</v>
      </c>
      <c r="V502" s="19" t="str">
        <f>IF(Tabela32[[#This Row],[% Entrega]]&gt;=96%,"Atendeu a Meta","Não Atendeu a Meta")</f>
        <v>Atendeu a Meta</v>
      </c>
      <c r="W502" s="4" t="s">
        <v>39</v>
      </c>
      <c r="X502" s="4">
        <v>0</v>
      </c>
      <c r="Y502" s="5">
        <v>0</v>
      </c>
    </row>
    <row r="503" spans="1:25" x14ac:dyDescent="0.25">
      <c r="A503" s="8">
        <v>46303</v>
      </c>
      <c r="B503" s="16">
        <f>YEAR(Tabela32[[#This Row],[Data]])</f>
        <v>2026</v>
      </c>
      <c r="C503" s="16">
        <f>MONTH(Tabela32[[#This Row],[Data]])</f>
        <v>10</v>
      </c>
      <c r="D503" s="4" t="s">
        <v>28</v>
      </c>
      <c r="E503" s="4">
        <v>11</v>
      </c>
      <c r="F503" s="4" t="str">
        <f>IFERROR(VLOOKUP(Tabela32[[#This Row],[Placa]],Planilha2!$A$1:$B$12,2,0),"")</f>
        <v>Edilson</v>
      </c>
      <c r="G503" s="10">
        <v>12215.24</v>
      </c>
      <c r="H503" s="10">
        <v>320378.76</v>
      </c>
      <c r="I503" s="4">
        <v>5773</v>
      </c>
      <c r="J503" s="17">
        <f>IFERROR(Tabela32[[#This Row],[Valor Frete]]/Tabela32[[#This Row],[Valor Mercadoria]],"")</f>
        <v>3.8127496342142034E-2</v>
      </c>
      <c r="K503" s="11">
        <v>0.27083333333333331</v>
      </c>
      <c r="L503" s="15">
        <v>0.70833333333333337</v>
      </c>
      <c r="M503" s="15">
        <f>Tabela32[[#This Row],[Hr Chegada]]-Tabela32[[#This Row],[Hr Saida]]</f>
        <v>0.43750000000000006</v>
      </c>
      <c r="N503" s="4">
        <v>106902</v>
      </c>
      <c r="O503" s="4">
        <v>107024</v>
      </c>
      <c r="P503" s="4">
        <f>Tabela32[[#This Row],[Km Chegada]]-Tabela32[[#This Row],[Km Saída]]</f>
        <v>122</v>
      </c>
      <c r="Q503" s="4">
        <v>12</v>
      </c>
      <c r="R503" s="4">
        <v>2</v>
      </c>
      <c r="S503" s="4">
        <v>2</v>
      </c>
      <c r="T503" s="12">
        <f>Tabela32[[#This Row],[Entregas]]-Tabela32[[#This Row],[Realizadas]]</f>
        <v>0</v>
      </c>
      <c r="U503" s="18">
        <f>Tabela32[[#This Row],[Realizadas]]/Tabela32[[#This Row],[Entregas]]</f>
        <v>1</v>
      </c>
      <c r="V503" s="19" t="str">
        <f>IF(Tabela32[[#This Row],[% Entrega]]&gt;=96%,"Atendeu a Meta","Não Atendeu a Meta")</f>
        <v>Atendeu a Meta</v>
      </c>
      <c r="W503" s="4" t="s">
        <v>41</v>
      </c>
      <c r="X503" s="4">
        <v>0</v>
      </c>
      <c r="Y503" s="5">
        <v>0</v>
      </c>
    </row>
    <row r="504" spans="1:25" x14ac:dyDescent="0.25">
      <c r="A504" s="8">
        <v>46303</v>
      </c>
      <c r="B504" s="16">
        <f>YEAR(Tabela32[[#This Row],[Data]])</f>
        <v>2026</v>
      </c>
      <c r="C504" s="16">
        <f>MONTH(Tabela32[[#This Row],[Data]])</f>
        <v>10</v>
      </c>
      <c r="D504" s="4" t="s">
        <v>53</v>
      </c>
      <c r="E504" s="4">
        <v>1</v>
      </c>
      <c r="F504" s="4" t="str">
        <f>IFERROR(VLOOKUP(Tabela32[[#This Row],[Placa]],Planilha2!$A$1:$B$12,2,0),"")</f>
        <v>Arnaldo</v>
      </c>
      <c r="G504" s="10">
        <v>14427.01</v>
      </c>
      <c r="H504" s="10">
        <v>287130.32</v>
      </c>
      <c r="I504" s="4">
        <v>4484</v>
      </c>
      <c r="J504" s="17">
        <f>IFERROR(Tabela32[[#This Row],[Valor Frete]]/Tabela32[[#This Row],[Valor Mercadoria]],"")</f>
        <v>5.0245512212015786E-2</v>
      </c>
      <c r="K504" s="11">
        <v>0.31944444444444442</v>
      </c>
      <c r="L504" s="15">
        <v>0.4861111111111111</v>
      </c>
      <c r="M504" s="15">
        <f>Tabela32[[#This Row],[Hr Chegada]]-Tabela32[[#This Row],[Hr Saida]]</f>
        <v>0.16666666666666669</v>
      </c>
      <c r="N504" s="4">
        <v>14722</v>
      </c>
      <c r="O504" s="4">
        <v>14745</v>
      </c>
      <c r="P504" s="4">
        <f>Tabela32[[#This Row],[Km Chegada]]-Tabela32[[#This Row],[Km Saída]]</f>
        <v>23</v>
      </c>
      <c r="Q504" s="4">
        <v>15</v>
      </c>
      <c r="R504" s="4">
        <v>2</v>
      </c>
      <c r="S504" s="4">
        <v>2</v>
      </c>
      <c r="T504" s="12">
        <f>Tabela32[[#This Row],[Entregas]]-Tabela32[[#This Row],[Realizadas]]</f>
        <v>0</v>
      </c>
      <c r="U504" s="18">
        <f>Tabela32[[#This Row],[Realizadas]]/Tabela32[[#This Row],[Entregas]]</f>
        <v>1</v>
      </c>
      <c r="V504" s="19" t="str">
        <f>IF(Tabela32[[#This Row],[% Entrega]]&gt;=96%,"Atendeu a Meta","Não Atendeu a Meta")</f>
        <v>Atendeu a Meta</v>
      </c>
      <c r="W504" s="4" t="s">
        <v>43</v>
      </c>
      <c r="X504" s="4">
        <v>0</v>
      </c>
      <c r="Y504" s="5">
        <v>38.380000000000003</v>
      </c>
    </row>
    <row r="505" spans="1:25" x14ac:dyDescent="0.25">
      <c r="A505" s="8">
        <v>46303</v>
      </c>
      <c r="B505" s="16">
        <f>YEAR(Tabela32[[#This Row],[Data]])</f>
        <v>2026</v>
      </c>
      <c r="C505" s="16">
        <f>MONTH(Tabela32[[#This Row],[Data]])</f>
        <v>10</v>
      </c>
      <c r="D505" s="4" t="s">
        <v>22</v>
      </c>
      <c r="E505" s="4">
        <v>5</v>
      </c>
      <c r="F505" s="4" t="str">
        <f>IFERROR(VLOOKUP(Tabela32[[#This Row],[Placa]],Planilha2!$A$1:$B$12,2,0),"")</f>
        <v>Juscelino</v>
      </c>
      <c r="G505" s="10">
        <v>6355.51</v>
      </c>
      <c r="H505" s="10">
        <v>68977.039999999994</v>
      </c>
      <c r="I505" s="4">
        <v>754</v>
      </c>
      <c r="J505" s="17">
        <f>IFERROR(Tabela32[[#This Row],[Valor Frete]]/Tabela32[[#This Row],[Valor Mercadoria]],"")</f>
        <v>9.2139500332284491E-2</v>
      </c>
      <c r="K505" s="11">
        <v>0.3125</v>
      </c>
      <c r="L505" s="15">
        <v>0.77013888888888893</v>
      </c>
      <c r="M505" s="15">
        <f>Tabela32[[#This Row],[Hr Chegada]]-Tabela32[[#This Row],[Hr Saida]]</f>
        <v>0.45763888888888893</v>
      </c>
      <c r="N505" s="4">
        <v>306072</v>
      </c>
      <c r="O505" s="4">
        <v>306160</v>
      </c>
      <c r="P505" s="4">
        <f>Tabela32[[#This Row],[Km Chegada]]-Tabela32[[#This Row],[Km Saída]]</f>
        <v>88</v>
      </c>
      <c r="Q505" s="4">
        <v>165</v>
      </c>
      <c r="R505" s="4">
        <v>22</v>
      </c>
      <c r="S505" s="4">
        <v>22</v>
      </c>
      <c r="T505" s="12">
        <f>Tabela32[[#This Row],[Entregas]]-Tabela32[[#This Row],[Realizadas]]</f>
        <v>0</v>
      </c>
      <c r="U505" s="18">
        <f>Tabela32[[#This Row],[Realizadas]]/Tabela32[[#This Row],[Entregas]]</f>
        <v>1</v>
      </c>
      <c r="V505" s="19" t="str">
        <f>IF(Tabela32[[#This Row],[% Entrega]]&gt;=96%,"Atendeu a Meta","Não Atendeu a Meta")</f>
        <v>Atendeu a Meta</v>
      </c>
      <c r="W505" s="4" t="s">
        <v>39</v>
      </c>
      <c r="X505" s="4">
        <v>0</v>
      </c>
      <c r="Y505" s="5">
        <v>0</v>
      </c>
    </row>
    <row r="506" spans="1:25" x14ac:dyDescent="0.25">
      <c r="A506" s="8">
        <v>46303</v>
      </c>
      <c r="B506" s="16">
        <f>YEAR(Tabela32[[#This Row],[Data]])</f>
        <v>2026</v>
      </c>
      <c r="C506" s="16">
        <f>MONTH(Tabela32[[#This Row],[Data]])</f>
        <v>10</v>
      </c>
      <c r="D506" s="4" t="s">
        <v>29</v>
      </c>
      <c r="E506" s="4">
        <v>3</v>
      </c>
      <c r="F506" s="4" t="str">
        <f>IFERROR(VLOOKUP(Tabela32[[#This Row],[Placa]],Planilha2!$A$1:$B$12,2,0),"")</f>
        <v>Sandro</v>
      </c>
      <c r="G506" s="10">
        <v>4102.62</v>
      </c>
      <c r="H506" s="10">
        <v>113588.33</v>
      </c>
      <c r="I506" s="4">
        <v>609</v>
      </c>
      <c r="J506" s="17">
        <f>IFERROR(Tabela32[[#This Row],[Valor Frete]]/Tabela32[[#This Row],[Valor Mercadoria]],"")</f>
        <v>3.6118323070688685E-2</v>
      </c>
      <c r="K506" s="11">
        <v>0.29166666666666669</v>
      </c>
      <c r="L506" s="15">
        <v>0.72222222222222221</v>
      </c>
      <c r="M506" s="15">
        <f>Tabela32[[#This Row],[Hr Chegada]]-Tabela32[[#This Row],[Hr Saida]]</f>
        <v>0.43055555555555552</v>
      </c>
      <c r="N506" s="4">
        <v>276802</v>
      </c>
      <c r="O506" s="4">
        <v>276851</v>
      </c>
      <c r="P506" s="4">
        <f>Tabela32[[#This Row],[Km Chegada]]-Tabela32[[#This Row],[Km Saída]]</f>
        <v>49</v>
      </c>
      <c r="Q506" s="4">
        <v>136</v>
      </c>
      <c r="R506" s="4">
        <v>14</v>
      </c>
      <c r="S506" s="4">
        <v>14</v>
      </c>
      <c r="T506" s="12">
        <f>Tabela32[[#This Row],[Entregas]]-Tabela32[[#This Row],[Realizadas]]</f>
        <v>0</v>
      </c>
      <c r="U506" s="18">
        <f>Tabela32[[#This Row],[Realizadas]]/Tabela32[[#This Row],[Entregas]]</f>
        <v>1</v>
      </c>
      <c r="V506" s="19" t="str">
        <f>IF(Tabela32[[#This Row],[% Entrega]]&gt;=96%,"Atendeu a Meta","Não Atendeu a Meta")</f>
        <v>Atendeu a Meta</v>
      </c>
      <c r="W506" s="4" t="s">
        <v>39</v>
      </c>
      <c r="X506" s="4">
        <v>0</v>
      </c>
      <c r="Y506" s="5">
        <v>0</v>
      </c>
    </row>
    <row r="507" spans="1:25" x14ac:dyDescent="0.25">
      <c r="A507" s="8">
        <v>46303</v>
      </c>
      <c r="B507" s="16">
        <f>YEAR(Tabela32[[#This Row],[Data]])</f>
        <v>2026</v>
      </c>
      <c r="C507" s="16">
        <f>MONTH(Tabela32[[#This Row],[Data]])</f>
        <v>10</v>
      </c>
      <c r="D507" s="4" t="s">
        <v>27</v>
      </c>
      <c r="E507" s="4">
        <v>1</v>
      </c>
      <c r="F507" s="4" t="str">
        <f>IFERROR(VLOOKUP(Tabela32[[#This Row],[Placa]],Planilha2!$A$1:$B$12,2,0),"")</f>
        <v>Rosinaldo</v>
      </c>
      <c r="G507" s="10">
        <v>6839.32</v>
      </c>
      <c r="H507" s="10">
        <v>90468.19</v>
      </c>
      <c r="I507" s="4">
        <v>1530</v>
      </c>
      <c r="J507" s="17">
        <f>IFERROR(Tabela32[[#This Row],[Valor Frete]]/Tabela32[[#This Row],[Valor Mercadoria]],"")</f>
        <v>7.5599169166532448E-2</v>
      </c>
      <c r="K507" s="11">
        <v>0.3125</v>
      </c>
      <c r="L507" s="15">
        <v>0.69513888888888886</v>
      </c>
      <c r="M507" s="15">
        <f>Tabela32[[#This Row],[Hr Chegada]]-Tabela32[[#This Row],[Hr Saida]]</f>
        <v>0.38263888888888886</v>
      </c>
      <c r="N507" s="4">
        <v>292433</v>
      </c>
      <c r="O507" s="4">
        <v>292474</v>
      </c>
      <c r="P507" s="4">
        <f>Tabela32[[#This Row],[Km Chegada]]-Tabela32[[#This Row],[Km Saída]]</f>
        <v>41</v>
      </c>
      <c r="Q507" s="4">
        <v>125</v>
      </c>
      <c r="R507" s="4">
        <v>18</v>
      </c>
      <c r="S507" s="4">
        <v>18</v>
      </c>
      <c r="T507" s="12">
        <f>Tabela32[[#This Row],[Entregas]]-Tabela32[[#This Row],[Realizadas]]</f>
        <v>0</v>
      </c>
      <c r="U507" s="18">
        <f>Tabela32[[#This Row],[Realizadas]]/Tabela32[[#This Row],[Entregas]]</f>
        <v>1</v>
      </c>
      <c r="V507" s="19" t="str">
        <f>IF(Tabela32[[#This Row],[% Entrega]]&gt;=96%,"Atendeu a Meta","Não Atendeu a Meta")</f>
        <v>Atendeu a Meta</v>
      </c>
      <c r="W507" s="4" t="s">
        <v>43</v>
      </c>
      <c r="X507" s="4">
        <v>0</v>
      </c>
      <c r="Y507" s="5">
        <v>0</v>
      </c>
    </row>
    <row r="508" spans="1:25" x14ac:dyDescent="0.25">
      <c r="A508" s="8">
        <v>46303</v>
      </c>
      <c r="B508" s="16">
        <f>YEAR(Tabela32[[#This Row],[Data]])</f>
        <v>2026</v>
      </c>
      <c r="C508" s="16">
        <f>MONTH(Tabela32[[#This Row],[Data]])</f>
        <v>10</v>
      </c>
      <c r="D508" s="4" t="s">
        <v>35</v>
      </c>
      <c r="E508" s="4">
        <v>11</v>
      </c>
      <c r="F508" s="4" t="str">
        <f>IFERROR(VLOOKUP(Tabela32[[#This Row],[Placa]],Planilha2!$A$1:$B$12,2,0),"")</f>
        <v>Osvaldo</v>
      </c>
      <c r="G508" s="10">
        <v>12692.21</v>
      </c>
      <c r="H508" s="10">
        <v>202839.55</v>
      </c>
      <c r="I508" s="4">
        <v>1938</v>
      </c>
      <c r="J508" s="17">
        <f>IFERROR(Tabela32[[#This Row],[Valor Frete]]/Tabela32[[#This Row],[Valor Mercadoria]],"")</f>
        <v>6.2572659030253219E-2</v>
      </c>
      <c r="K508" s="11">
        <v>0.27777777777777779</v>
      </c>
      <c r="L508" s="15">
        <v>0.74444444444444446</v>
      </c>
      <c r="M508" s="15">
        <f>Tabela32[[#This Row],[Hr Chegada]]-Tabela32[[#This Row],[Hr Saida]]</f>
        <v>0.46666666666666667</v>
      </c>
      <c r="N508" s="4">
        <v>144536</v>
      </c>
      <c r="O508" s="4">
        <v>144677</v>
      </c>
      <c r="P508" s="4">
        <f>Tabela32[[#This Row],[Km Chegada]]-Tabela32[[#This Row],[Km Saída]]</f>
        <v>141</v>
      </c>
      <c r="Q508" s="4">
        <v>325</v>
      </c>
      <c r="R508" s="4">
        <v>34</v>
      </c>
      <c r="S508" s="4">
        <v>34</v>
      </c>
      <c r="T508" s="12">
        <f>Tabela32[[#This Row],[Entregas]]-Tabela32[[#This Row],[Realizadas]]</f>
        <v>0</v>
      </c>
      <c r="U508" s="18">
        <f>Tabela32[[#This Row],[Realizadas]]/Tabela32[[#This Row],[Entregas]]</f>
        <v>1</v>
      </c>
      <c r="V508" s="19" t="str">
        <f>IF(Tabela32[[#This Row],[% Entrega]]&gt;=96%,"Atendeu a Meta","Não Atendeu a Meta")</f>
        <v>Atendeu a Meta</v>
      </c>
      <c r="W508" s="4" t="s">
        <v>41</v>
      </c>
      <c r="X508" s="4">
        <v>0</v>
      </c>
      <c r="Y508" s="5">
        <v>38.380000000000003</v>
      </c>
    </row>
    <row r="509" spans="1:25" x14ac:dyDescent="0.25">
      <c r="A509" s="8">
        <v>46303</v>
      </c>
      <c r="B509" s="16">
        <f>YEAR(Tabela32[[#This Row],[Data]])</f>
        <v>2026</v>
      </c>
      <c r="C509" s="16">
        <f>MONTH(Tabela32[[#This Row],[Data]])</f>
        <v>10</v>
      </c>
      <c r="D509" s="4" t="s">
        <v>23</v>
      </c>
      <c r="E509" s="4">
        <v>3</v>
      </c>
      <c r="F509" s="4" t="str">
        <f>IFERROR(VLOOKUP(Tabela32[[#This Row],[Placa]],Planilha2!$A$1:$B$12,2,0),"")</f>
        <v>William</v>
      </c>
      <c r="G509" s="10">
        <v>5759.81</v>
      </c>
      <c r="H509" s="10">
        <v>111313.76</v>
      </c>
      <c r="I509" s="4">
        <v>795</v>
      </c>
      <c r="J509" s="17">
        <f>IFERROR(Tabela32[[#This Row],[Valor Frete]]/Tabela32[[#This Row],[Valor Mercadoria]],"")</f>
        <v>5.174391737373709E-2</v>
      </c>
      <c r="K509" s="11">
        <v>0.3125</v>
      </c>
      <c r="L509" s="15">
        <v>0.70833333333333337</v>
      </c>
      <c r="M509" s="15">
        <f>Tabela32[[#This Row],[Hr Chegada]]-Tabela32[[#This Row],[Hr Saida]]</f>
        <v>0.39583333333333337</v>
      </c>
      <c r="N509" s="4">
        <v>126810</v>
      </c>
      <c r="O509" s="4">
        <v>126860</v>
      </c>
      <c r="P509" s="4">
        <f>Tabela32[[#This Row],[Km Chegada]]-Tabela32[[#This Row],[Km Saída]]</f>
        <v>50</v>
      </c>
      <c r="Q509" s="4">
        <v>104</v>
      </c>
      <c r="R509" s="4">
        <v>17</v>
      </c>
      <c r="S509" s="4">
        <v>17</v>
      </c>
      <c r="T509" s="12">
        <f>Tabela32[[#This Row],[Entregas]]-Tabela32[[#This Row],[Realizadas]]</f>
        <v>0</v>
      </c>
      <c r="U509" s="18">
        <f>Tabela32[[#This Row],[Realizadas]]/Tabela32[[#This Row],[Entregas]]</f>
        <v>1</v>
      </c>
      <c r="V509" s="19" t="str">
        <f>IF(Tabela32[[#This Row],[% Entrega]]&gt;=96%,"Atendeu a Meta","Não Atendeu a Meta")</f>
        <v>Atendeu a Meta</v>
      </c>
      <c r="W509" s="4" t="s">
        <v>39</v>
      </c>
      <c r="X509" s="4">
        <v>0</v>
      </c>
      <c r="Y509" s="5">
        <v>0</v>
      </c>
    </row>
    <row r="510" spans="1:25" x14ac:dyDescent="0.25">
      <c r="A510" s="8">
        <v>46303</v>
      </c>
      <c r="B510" s="16">
        <f>YEAR(Tabela32[[#This Row],[Data]])</f>
        <v>2026</v>
      </c>
      <c r="C510" s="16">
        <f>MONTH(Tabela32[[#This Row],[Data]])</f>
        <v>10</v>
      </c>
      <c r="D510" s="4" t="s">
        <v>33</v>
      </c>
      <c r="E510" s="4">
        <v>1</v>
      </c>
      <c r="F510" s="4" t="str">
        <f>IFERROR(VLOOKUP(Tabela32[[#This Row],[Placa]],Planilha2!$A$1:$B$12,2,0),"")</f>
        <v>Paulo</v>
      </c>
      <c r="G510" s="10">
        <v>3075.28</v>
      </c>
      <c r="H510" s="10">
        <v>41356.01</v>
      </c>
      <c r="I510" s="4">
        <v>620</v>
      </c>
      <c r="J510" s="17">
        <f>IFERROR(Tabela32[[#This Row],[Valor Frete]]/Tabela32[[#This Row],[Valor Mercadoria]],"")</f>
        <v>7.4361138804251187E-2</v>
      </c>
      <c r="K510" s="11">
        <v>0.33333333333333331</v>
      </c>
      <c r="L510" s="15">
        <v>0.71944444444444444</v>
      </c>
      <c r="M510" s="15">
        <f>Tabela32[[#This Row],[Hr Chegada]]-Tabela32[[#This Row],[Hr Saida]]</f>
        <v>0.38611111111111113</v>
      </c>
      <c r="N510" s="4">
        <v>156830</v>
      </c>
      <c r="O510" s="4">
        <v>157003</v>
      </c>
      <c r="P510" s="4">
        <f>Tabela32[[#This Row],[Km Chegada]]-Tabela32[[#This Row],[Km Saída]]</f>
        <v>173</v>
      </c>
      <c r="Q510" s="4">
        <v>138</v>
      </c>
      <c r="R510" s="4">
        <v>12</v>
      </c>
      <c r="S510" s="4">
        <v>12</v>
      </c>
      <c r="T510" s="12">
        <f>Tabela32[[#This Row],[Entregas]]-Tabela32[[#This Row],[Realizadas]]</f>
        <v>0</v>
      </c>
      <c r="U510" s="18">
        <f>Tabela32[[#This Row],[Realizadas]]/Tabela32[[#This Row],[Entregas]]</f>
        <v>1</v>
      </c>
      <c r="V510" s="19" t="str">
        <f>IF(Tabela32[[#This Row],[% Entrega]]&gt;=96%,"Atendeu a Meta","Não Atendeu a Meta")</f>
        <v>Atendeu a Meta</v>
      </c>
      <c r="W510" s="4" t="s">
        <v>43</v>
      </c>
      <c r="X510" s="4">
        <v>0</v>
      </c>
      <c r="Y510" s="5">
        <v>0</v>
      </c>
    </row>
    <row r="511" spans="1:25" x14ac:dyDescent="0.25">
      <c r="A511" s="8">
        <v>46303</v>
      </c>
      <c r="B511" s="16">
        <f>YEAR(Tabela32[[#This Row],[Data]])</f>
        <v>2026</v>
      </c>
      <c r="C511" s="16">
        <f>MONTH(Tabela32[[#This Row],[Data]])</f>
        <v>10</v>
      </c>
      <c r="D511" s="4" t="s">
        <v>53</v>
      </c>
      <c r="E511" s="4">
        <v>1</v>
      </c>
      <c r="F511" s="4" t="str">
        <f>IFERROR(VLOOKUP(Tabela32[[#This Row],[Placa]],Planilha2!$A$1:$B$12,2,0),"")</f>
        <v>Arnaldo</v>
      </c>
      <c r="G511" s="10">
        <v>12050.21</v>
      </c>
      <c r="H511" s="10">
        <v>206944.9</v>
      </c>
      <c r="I511" s="4">
        <v>5981</v>
      </c>
      <c r="J511" s="17">
        <f>IFERROR(Tabela32[[#This Row],[Valor Frete]]/Tabela32[[#This Row],[Valor Mercadoria]],"")</f>
        <v>5.8229074502440019E-2</v>
      </c>
      <c r="K511" s="11">
        <v>0.65625</v>
      </c>
      <c r="L511" s="15">
        <v>0.69791666666666663</v>
      </c>
      <c r="M511" s="15">
        <f>Tabela32[[#This Row],[Hr Chegada]]-Tabela32[[#This Row],[Hr Saida]]</f>
        <v>4.166666666666663E-2</v>
      </c>
      <c r="N511" s="4">
        <v>14745</v>
      </c>
      <c r="O511" s="4">
        <v>14754</v>
      </c>
      <c r="P511" s="4">
        <f>Tabela32[[#This Row],[Km Chegada]]-Tabela32[[#This Row],[Km Saída]]</f>
        <v>9</v>
      </c>
      <c r="Q511" s="4">
        <v>588</v>
      </c>
      <c r="R511" s="4">
        <v>3</v>
      </c>
      <c r="S511" s="4">
        <v>0</v>
      </c>
      <c r="T511" s="12">
        <f>Tabela32[[#This Row],[Entregas]]-Tabela32[[#This Row],[Realizadas]]</f>
        <v>3</v>
      </c>
      <c r="U511" s="18">
        <f>Tabela32[[#This Row],[Realizadas]]/Tabela32[[#This Row],[Entregas]]</f>
        <v>0</v>
      </c>
      <c r="V511" s="19" t="str">
        <f>IF(Tabela32[[#This Row],[% Entrega]]&gt;=96%,"Atendeu a Meta","Não Atendeu a Meta")</f>
        <v>Não Atendeu a Meta</v>
      </c>
      <c r="W511" s="4" t="s">
        <v>62</v>
      </c>
      <c r="X511" s="4">
        <v>3</v>
      </c>
      <c r="Y511" s="5" t="s">
        <v>68</v>
      </c>
    </row>
    <row r="512" spans="1:25" x14ac:dyDescent="0.25">
      <c r="A512" s="8">
        <v>46304</v>
      </c>
      <c r="B512" s="16">
        <f>YEAR(Tabela32[[#This Row],[Data]])</f>
        <v>2026</v>
      </c>
      <c r="C512" s="16">
        <f>MONTH(Tabela32[[#This Row],[Data]])</f>
        <v>10</v>
      </c>
      <c r="D512" s="4" t="s">
        <v>28</v>
      </c>
      <c r="E512" s="4">
        <v>5</v>
      </c>
      <c r="F512" s="4" t="str">
        <f>IFERROR(VLOOKUP(Tabela32[[#This Row],[Placa]],Planilha2!$A$1:$B$12,2,0),"")</f>
        <v>Edilson</v>
      </c>
      <c r="G512" s="10">
        <v>3572.31</v>
      </c>
      <c r="H512" s="10">
        <v>71910.12</v>
      </c>
      <c r="I512" s="4">
        <v>1494</v>
      </c>
      <c r="J512" s="17">
        <f>IFERROR(Tabela32[[#This Row],[Valor Frete]]/Tabela32[[#This Row],[Valor Mercadoria]],"")</f>
        <v>4.9677430659272992E-2</v>
      </c>
      <c r="K512" s="11">
        <v>0.27083333333333331</v>
      </c>
      <c r="L512" s="15">
        <v>0.70833333333333337</v>
      </c>
      <c r="M512" s="15">
        <f>Tabela32[[#This Row],[Hr Chegada]]-Tabela32[[#This Row],[Hr Saida]]</f>
        <v>0.43750000000000006</v>
      </c>
      <c r="N512" s="4">
        <v>107024</v>
      </c>
      <c r="O512" s="4">
        <v>107076</v>
      </c>
      <c r="P512" s="4">
        <f>Tabela32[[#This Row],[Km Chegada]]-Tabela32[[#This Row],[Km Saída]]</f>
        <v>52</v>
      </c>
      <c r="Q512" s="4">
        <v>10</v>
      </c>
      <c r="R512" s="4">
        <v>9</v>
      </c>
      <c r="S512" s="4">
        <v>9</v>
      </c>
      <c r="T512" s="12">
        <f>Tabela32[[#This Row],[Entregas]]-Tabela32[[#This Row],[Realizadas]]</f>
        <v>0</v>
      </c>
      <c r="U512" s="18">
        <f>Tabela32[[#This Row],[Realizadas]]/Tabela32[[#This Row],[Entregas]]</f>
        <v>1</v>
      </c>
      <c r="V512" s="19" t="str">
        <f>IF(Tabela32[[#This Row],[% Entrega]]&gt;=96%,"Atendeu a Meta","Não Atendeu a Meta")</f>
        <v>Atendeu a Meta</v>
      </c>
      <c r="W512" s="4" t="s">
        <v>39</v>
      </c>
      <c r="X512" s="4">
        <v>0</v>
      </c>
      <c r="Y512" s="5">
        <v>0</v>
      </c>
    </row>
    <row r="513" spans="1:25" x14ac:dyDescent="0.25">
      <c r="A513" s="8">
        <v>46304</v>
      </c>
      <c r="B513" s="16">
        <f>YEAR(Tabela32[[#This Row],[Data]])</f>
        <v>2026</v>
      </c>
      <c r="C513" s="16">
        <f>MONTH(Tabela32[[#This Row],[Data]])</f>
        <v>10</v>
      </c>
      <c r="D513" s="4" t="s">
        <v>27</v>
      </c>
      <c r="E513" s="4">
        <v>1</v>
      </c>
      <c r="F513" s="4" t="str">
        <f>IFERROR(VLOOKUP(Tabela32[[#This Row],[Placa]],Planilha2!$A$1:$B$12,2,0),"")</f>
        <v>Rosinaldo</v>
      </c>
      <c r="G513" s="10">
        <v>8073.15</v>
      </c>
      <c r="H513" s="10">
        <v>152901.45000000001</v>
      </c>
      <c r="I513" s="4">
        <v>1519</v>
      </c>
      <c r="J513" s="17">
        <f>IFERROR(Tabela32[[#This Row],[Valor Frete]]/Tabela32[[#This Row],[Valor Mercadoria]],"")</f>
        <v>5.2799695490134323E-2</v>
      </c>
      <c r="K513" s="11">
        <v>0.3125</v>
      </c>
      <c r="L513" s="15">
        <v>0.73819444444444449</v>
      </c>
      <c r="M513" s="15">
        <f>Tabela32[[#This Row],[Hr Chegada]]-Tabela32[[#This Row],[Hr Saida]]</f>
        <v>0.42569444444444449</v>
      </c>
      <c r="N513" s="4">
        <v>292474</v>
      </c>
      <c r="O513" s="4">
        <v>292517</v>
      </c>
      <c r="P513" s="4">
        <f>Tabela32[[#This Row],[Km Chegada]]-Tabela32[[#This Row],[Km Saída]]</f>
        <v>43</v>
      </c>
      <c r="Q513" s="4">
        <v>147</v>
      </c>
      <c r="R513" s="4">
        <v>18</v>
      </c>
      <c r="S513" s="4">
        <v>18</v>
      </c>
      <c r="T513" s="12">
        <f>Tabela32[[#This Row],[Entregas]]-Tabela32[[#This Row],[Realizadas]]</f>
        <v>0</v>
      </c>
      <c r="U513" s="18">
        <f>Tabela32[[#This Row],[Realizadas]]/Tabela32[[#This Row],[Entregas]]</f>
        <v>1</v>
      </c>
      <c r="V513" s="19" t="str">
        <f>IF(Tabela32[[#This Row],[% Entrega]]&gt;=96%,"Atendeu a Meta","Não Atendeu a Meta")</f>
        <v>Atendeu a Meta</v>
      </c>
      <c r="W513" s="4" t="s">
        <v>43</v>
      </c>
      <c r="X513" s="4">
        <v>0</v>
      </c>
      <c r="Y513" s="5">
        <v>38</v>
      </c>
    </row>
    <row r="514" spans="1:25" x14ac:dyDescent="0.25">
      <c r="A514" s="8">
        <v>46304</v>
      </c>
      <c r="B514" s="16">
        <f>YEAR(Tabela32[[#This Row],[Data]])</f>
        <v>2026</v>
      </c>
      <c r="C514" s="16">
        <f>MONTH(Tabela32[[#This Row],[Data]])</f>
        <v>10</v>
      </c>
      <c r="D514" s="4" t="s">
        <v>53</v>
      </c>
      <c r="E514" s="4">
        <v>1</v>
      </c>
      <c r="F514" s="4" t="str">
        <f>IFERROR(VLOOKUP(Tabela32[[#This Row],[Placa]],Planilha2!$A$1:$B$12,2,0),"")</f>
        <v>Arnaldo</v>
      </c>
      <c r="G514" s="10">
        <v>12152.4</v>
      </c>
      <c r="H514" s="10">
        <v>207808.59</v>
      </c>
      <c r="I514" s="4">
        <v>5993</v>
      </c>
      <c r="J514" s="17">
        <f>IFERROR(Tabela32[[#This Row],[Valor Frete]]/Tabela32[[#This Row],[Valor Mercadoria]],"")</f>
        <v>5.8478814566808812E-2</v>
      </c>
      <c r="K514" s="11">
        <v>0.30486111111111114</v>
      </c>
      <c r="L514" s="15">
        <v>0.75138888888888888</v>
      </c>
      <c r="M514" s="15">
        <f>Tabela32[[#This Row],[Hr Chegada]]-Tabela32[[#This Row],[Hr Saida]]</f>
        <v>0.44652777777777775</v>
      </c>
      <c r="N514" s="4">
        <v>14754</v>
      </c>
      <c r="O514" s="4">
        <v>14782</v>
      </c>
      <c r="P514" s="4">
        <f>Tabela32[[#This Row],[Km Chegada]]-Tabela32[[#This Row],[Km Saída]]</f>
        <v>28</v>
      </c>
      <c r="Q514" s="4">
        <v>15</v>
      </c>
      <c r="R514" s="4">
        <v>4</v>
      </c>
      <c r="S514" s="4">
        <v>4</v>
      </c>
      <c r="T514" s="12">
        <f>Tabela32[[#This Row],[Entregas]]-Tabela32[[#This Row],[Realizadas]]</f>
        <v>0</v>
      </c>
      <c r="U514" s="18">
        <f>Tabela32[[#This Row],[Realizadas]]/Tabela32[[#This Row],[Entregas]]</f>
        <v>1</v>
      </c>
      <c r="V514" s="19" t="str">
        <f>IF(Tabela32[[#This Row],[% Entrega]]&gt;=96%,"Atendeu a Meta","Não Atendeu a Meta")</f>
        <v>Atendeu a Meta</v>
      </c>
      <c r="W514" s="4" t="s">
        <v>62</v>
      </c>
      <c r="X514" s="4">
        <v>0</v>
      </c>
      <c r="Y514" s="5">
        <v>38</v>
      </c>
    </row>
    <row r="515" spans="1:25" x14ac:dyDescent="0.25">
      <c r="A515" s="8">
        <v>46304</v>
      </c>
      <c r="B515" s="16">
        <f>YEAR(Tabela32[[#This Row],[Data]])</f>
        <v>2026</v>
      </c>
      <c r="C515" s="16">
        <f>MONTH(Tabela32[[#This Row],[Data]])</f>
        <v>10</v>
      </c>
      <c r="D515" s="4" t="s">
        <v>35</v>
      </c>
      <c r="E515" s="4">
        <v>11</v>
      </c>
      <c r="F515" s="4" t="str">
        <f>IFERROR(VLOOKUP(Tabela32[[#This Row],[Placa]],Planilha2!$A$1:$B$12,2,0),"")</f>
        <v>Osvaldo</v>
      </c>
      <c r="G515" s="10">
        <v>8387.43</v>
      </c>
      <c r="H515" s="10">
        <v>168450.99</v>
      </c>
      <c r="I515" s="4">
        <v>1174</v>
      </c>
      <c r="J515" s="17">
        <f>IFERROR(Tabela32[[#This Row],[Valor Frete]]/Tabela32[[#This Row],[Valor Mercadoria]],"")</f>
        <v>4.9791515027605364E-2</v>
      </c>
      <c r="K515" s="11">
        <v>0.27083333333333331</v>
      </c>
      <c r="L515" s="15">
        <v>0.75138888888888888</v>
      </c>
      <c r="M515" s="15">
        <f>Tabela32[[#This Row],[Hr Chegada]]-Tabela32[[#This Row],[Hr Saida]]</f>
        <v>0.48055555555555557</v>
      </c>
      <c r="N515" s="4">
        <v>144677</v>
      </c>
      <c r="O515" s="4">
        <v>144822</v>
      </c>
      <c r="P515" s="4">
        <f>Tabela32[[#This Row],[Km Chegada]]-Tabela32[[#This Row],[Km Saída]]</f>
        <v>145</v>
      </c>
      <c r="Q515" s="4">
        <v>143</v>
      </c>
      <c r="R515" s="4">
        <v>16</v>
      </c>
      <c r="S515" s="4">
        <v>15</v>
      </c>
      <c r="T515" s="12">
        <f>Tabela32[[#This Row],[Entregas]]-Tabela32[[#This Row],[Realizadas]]</f>
        <v>1</v>
      </c>
      <c r="U515" s="18">
        <f>Tabela32[[#This Row],[Realizadas]]/Tabela32[[#This Row],[Entregas]]</f>
        <v>0.9375</v>
      </c>
      <c r="V515" s="19" t="str">
        <f>IF(Tabela32[[#This Row],[% Entrega]]&gt;=96%,"Atendeu a Meta","Não Atendeu a Meta")</f>
        <v>Não Atendeu a Meta</v>
      </c>
      <c r="W515" s="4" t="s">
        <v>41</v>
      </c>
      <c r="X515" s="4">
        <v>1</v>
      </c>
      <c r="Y515" s="5">
        <v>13</v>
      </c>
    </row>
    <row r="516" spans="1:25" x14ac:dyDescent="0.25">
      <c r="A516" s="8">
        <v>46304</v>
      </c>
      <c r="B516" s="16">
        <f>YEAR(Tabela32[[#This Row],[Data]])</f>
        <v>2026</v>
      </c>
      <c r="C516" s="16">
        <f>MONTH(Tabela32[[#This Row],[Data]])</f>
        <v>10</v>
      </c>
      <c r="D516" s="4" t="s">
        <v>31</v>
      </c>
      <c r="E516" s="4">
        <v>2</v>
      </c>
      <c r="F516" s="4" t="str">
        <f>IFERROR(VLOOKUP(Tabela32[[#This Row],[Placa]],Planilha2!$A$1:$B$12,2,0),"")</f>
        <v>Jerson</v>
      </c>
      <c r="G516" s="10">
        <v>12325.53</v>
      </c>
      <c r="H516" s="10">
        <v>176127.26</v>
      </c>
      <c r="I516" s="4">
        <v>3129</v>
      </c>
      <c r="J516" s="17">
        <f>IFERROR(Tabela32[[#This Row],[Valor Frete]]/Tabela32[[#This Row],[Valor Mercadoria]],"")</f>
        <v>6.9980819550590864E-2</v>
      </c>
      <c r="K516" s="11">
        <v>0.27777777777777779</v>
      </c>
      <c r="L516" s="15">
        <v>0.79236111111111107</v>
      </c>
      <c r="M516" s="15">
        <f>Tabela32[[#This Row],[Hr Chegada]]-Tabela32[[#This Row],[Hr Saida]]</f>
        <v>0.51458333333333328</v>
      </c>
      <c r="N516" s="4">
        <v>281964</v>
      </c>
      <c r="O516" s="4">
        <v>282029</v>
      </c>
      <c r="P516" s="4">
        <f>Tabela32[[#This Row],[Km Chegada]]-Tabela32[[#This Row],[Km Saída]]</f>
        <v>65</v>
      </c>
      <c r="Q516" s="4">
        <v>304</v>
      </c>
      <c r="R516" s="4">
        <v>34</v>
      </c>
      <c r="S516" s="4">
        <v>34</v>
      </c>
      <c r="T516" s="12">
        <f>Tabela32[[#This Row],[Entregas]]-Tabela32[[#This Row],[Realizadas]]</f>
        <v>0</v>
      </c>
      <c r="U516" s="18">
        <f>Tabela32[[#This Row],[Realizadas]]/Tabela32[[#This Row],[Entregas]]</f>
        <v>1</v>
      </c>
      <c r="V516" s="19" t="str">
        <f>IF(Tabela32[[#This Row],[% Entrega]]&gt;=96%,"Atendeu a Meta","Não Atendeu a Meta")</f>
        <v>Atendeu a Meta</v>
      </c>
      <c r="W516" s="4" t="s">
        <v>39</v>
      </c>
      <c r="X516" s="4">
        <v>0</v>
      </c>
      <c r="Y516" s="5">
        <v>0</v>
      </c>
    </row>
    <row r="517" spans="1:25" x14ac:dyDescent="0.25">
      <c r="A517" s="8">
        <v>46304</v>
      </c>
      <c r="B517" s="16">
        <f>YEAR(Tabela32[[#This Row],[Data]])</f>
        <v>2026</v>
      </c>
      <c r="C517" s="16">
        <f>MONTH(Tabela32[[#This Row],[Data]])</f>
        <v>10</v>
      </c>
      <c r="D517" s="4" t="s">
        <v>23</v>
      </c>
      <c r="E517" s="4">
        <v>3</v>
      </c>
      <c r="F517" s="4" t="str">
        <f>IFERROR(VLOOKUP(Tabela32[[#This Row],[Placa]],Planilha2!$A$1:$B$12,2,0),"")</f>
        <v>William</v>
      </c>
      <c r="G517" s="10">
        <v>6192.89</v>
      </c>
      <c r="H517" s="10">
        <v>142671.84</v>
      </c>
      <c r="I517" s="4">
        <v>1141</v>
      </c>
      <c r="J517" s="17">
        <f>IFERROR(Tabela32[[#This Row],[Valor Frete]]/Tabela32[[#This Row],[Valor Mercadoria]],"")</f>
        <v>4.3406533482711097E-2</v>
      </c>
      <c r="K517" s="11">
        <v>0.29166666666666669</v>
      </c>
      <c r="L517" s="15">
        <v>0.8041666666666667</v>
      </c>
      <c r="M517" s="15">
        <f>Tabela32[[#This Row],[Hr Chegada]]-Tabela32[[#This Row],[Hr Saida]]</f>
        <v>0.51249999999999996</v>
      </c>
      <c r="N517" s="4">
        <v>126860</v>
      </c>
      <c r="O517" s="4">
        <v>126935</v>
      </c>
      <c r="P517" s="4">
        <f>Tabela32[[#This Row],[Km Chegada]]-Tabela32[[#This Row],[Km Saída]]</f>
        <v>75</v>
      </c>
      <c r="Q517" s="4">
        <v>169</v>
      </c>
      <c r="R517" s="4">
        <v>19</v>
      </c>
      <c r="S517" s="4">
        <v>17</v>
      </c>
      <c r="T517" s="12">
        <f>Tabela32[[#This Row],[Entregas]]-Tabela32[[#This Row],[Realizadas]]</f>
        <v>2</v>
      </c>
      <c r="U517" s="18">
        <f>Tabela32[[#This Row],[Realizadas]]/Tabela32[[#This Row],[Entregas]]</f>
        <v>0.89473684210526316</v>
      </c>
      <c r="V517" s="19" t="str">
        <f>IF(Tabela32[[#This Row],[% Entrega]]&gt;=96%,"Atendeu a Meta","Não Atendeu a Meta")</f>
        <v>Não Atendeu a Meta</v>
      </c>
      <c r="W517" s="4" t="s">
        <v>39</v>
      </c>
      <c r="X517" s="4">
        <v>4</v>
      </c>
      <c r="Y517" s="5" t="s">
        <v>94</v>
      </c>
    </row>
    <row r="518" spans="1:25" x14ac:dyDescent="0.25">
      <c r="A518" s="8">
        <v>46304</v>
      </c>
      <c r="B518" s="16">
        <f>YEAR(Tabela32[[#This Row],[Data]])</f>
        <v>2026</v>
      </c>
      <c r="C518" s="16">
        <f>MONTH(Tabela32[[#This Row],[Data]])</f>
        <v>10</v>
      </c>
      <c r="D518" s="4" t="s">
        <v>22</v>
      </c>
      <c r="E518" s="4">
        <v>5</v>
      </c>
      <c r="F518" s="4" t="str">
        <f>IFERROR(VLOOKUP(Tabela32[[#This Row],[Placa]],Planilha2!$A$1:$B$12,2,0),"")</f>
        <v>Juscelino</v>
      </c>
      <c r="G518" s="10">
        <v>11542.94</v>
      </c>
      <c r="H518" s="10">
        <v>248336.8</v>
      </c>
      <c r="I518" s="4">
        <v>2574</v>
      </c>
      <c r="J518" s="17">
        <f>IFERROR(Tabela32[[#This Row],[Valor Frete]]/Tabela32[[#This Row],[Valor Mercadoria]],"")</f>
        <v>4.6480988721768181E-2</v>
      </c>
      <c r="K518" s="11">
        <v>0.3125</v>
      </c>
      <c r="L518" s="15">
        <v>0.80069444444444449</v>
      </c>
      <c r="M518" s="15">
        <f>Tabela32[[#This Row],[Hr Chegada]]-Tabela32[[#This Row],[Hr Saida]]</f>
        <v>0.48819444444444449</v>
      </c>
      <c r="N518" s="4">
        <v>306160</v>
      </c>
      <c r="O518" s="4">
        <v>306240</v>
      </c>
      <c r="P518" s="4">
        <f>Tabela32[[#This Row],[Km Chegada]]-Tabela32[[#This Row],[Km Saída]]</f>
        <v>80</v>
      </c>
      <c r="Q518" s="4">
        <v>358</v>
      </c>
      <c r="R518" s="4">
        <v>37</v>
      </c>
      <c r="S518" s="4">
        <v>37</v>
      </c>
      <c r="T518" s="12">
        <f>Tabela32[[#This Row],[Entregas]]-Tabela32[[#This Row],[Realizadas]]</f>
        <v>0</v>
      </c>
      <c r="U518" s="18">
        <f>Tabela32[[#This Row],[Realizadas]]/Tabela32[[#This Row],[Entregas]]</f>
        <v>1</v>
      </c>
      <c r="V518" s="19" t="str">
        <f>IF(Tabela32[[#This Row],[% Entrega]]&gt;=96%,"Atendeu a Meta","Não Atendeu a Meta")</f>
        <v>Atendeu a Meta</v>
      </c>
      <c r="W518" s="4" t="s">
        <v>39</v>
      </c>
      <c r="X518" s="4">
        <v>0</v>
      </c>
      <c r="Y518" s="5">
        <v>0</v>
      </c>
    </row>
    <row r="519" spans="1:25" x14ac:dyDescent="0.25">
      <c r="A519" s="8">
        <v>46304</v>
      </c>
      <c r="B519" s="16">
        <f>YEAR(Tabela32[[#This Row],[Data]])</f>
        <v>2026</v>
      </c>
      <c r="C519" s="16">
        <f>MONTH(Tabela32[[#This Row],[Data]])</f>
        <v>10</v>
      </c>
      <c r="D519" s="4" t="s">
        <v>29</v>
      </c>
      <c r="E519" s="4">
        <v>1</v>
      </c>
      <c r="F519" s="4" t="str">
        <f>IFERROR(VLOOKUP(Tabela32[[#This Row],[Placa]],Planilha2!$A$1:$B$12,2,0),"")</f>
        <v>Sandro</v>
      </c>
      <c r="G519" s="10">
        <v>4983.6400000000003</v>
      </c>
      <c r="H519" s="10">
        <v>129842.06</v>
      </c>
      <c r="I519" s="4">
        <v>956</v>
      </c>
      <c r="J519" s="17">
        <f>IFERROR(Tabela32[[#This Row],[Valor Frete]]/Tabela32[[#This Row],[Valor Mercadoria]],"")</f>
        <v>3.8382323878718504E-2</v>
      </c>
      <c r="K519" s="11">
        <v>0.29166666666666669</v>
      </c>
      <c r="L519" s="15">
        <v>0.72222222222222221</v>
      </c>
      <c r="M519" s="15">
        <f>Tabela32[[#This Row],[Hr Chegada]]-Tabela32[[#This Row],[Hr Saida]]</f>
        <v>0.43055555555555552</v>
      </c>
      <c r="N519" s="4">
        <v>276851</v>
      </c>
      <c r="O519" s="4">
        <v>276917</v>
      </c>
      <c r="P519" s="4">
        <f>Tabela32[[#This Row],[Km Chegada]]-Tabela32[[#This Row],[Km Saída]]</f>
        <v>66</v>
      </c>
      <c r="Q519" s="4">
        <v>166</v>
      </c>
      <c r="R519" s="4">
        <v>6</v>
      </c>
      <c r="S519" s="4">
        <v>6</v>
      </c>
      <c r="T519" s="12">
        <f>Tabela32[[#This Row],[Entregas]]-Tabela32[[#This Row],[Realizadas]]</f>
        <v>0</v>
      </c>
      <c r="U519" s="18">
        <f>Tabela32[[#This Row],[Realizadas]]/Tabela32[[#This Row],[Entregas]]</f>
        <v>1</v>
      </c>
      <c r="V519" s="19" t="str">
        <f>IF(Tabela32[[#This Row],[% Entrega]]&gt;=96%,"Atendeu a Meta","Não Atendeu a Meta")</f>
        <v>Atendeu a Meta</v>
      </c>
      <c r="W519" s="4" t="s">
        <v>43</v>
      </c>
      <c r="X519" s="4">
        <v>0</v>
      </c>
      <c r="Y519" s="5">
        <v>38.380000000000003</v>
      </c>
    </row>
    <row r="520" spans="1:25" x14ac:dyDescent="0.25">
      <c r="A520" s="8">
        <v>46304</v>
      </c>
      <c r="B520" s="16">
        <f>YEAR(Tabela32[[#This Row],[Data]])</f>
        <v>2026</v>
      </c>
      <c r="C520" s="16">
        <f>MONTH(Tabela32[[#This Row],[Data]])</f>
        <v>10</v>
      </c>
      <c r="D520" s="4" t="s">
        <v>25</v>
      </c>
      <c r="E520" s="4">
        <v>1</v>
      </c>
      <c r="F520" s="4" t="str">
        <f>IFERROR(VLOOKUP(Tabela32[[#This Row],[Placa]],Planilha2!$A$1:$B$12,2,0),"")</f>
        <v>Gilberto</v>
      </c>
      <c r="G520" s="10">
        <v>6869.81</v>
      </c>
      <c r="H520" s="10">
        <v>158166.76</v>
      </c>
      <c r="I520" s="4">
        <v>3125</v>
      </c>
      <c r="J520" s="17">
        <f>IFERROR(Tabela32[[#This Row],[Valor Frete]]/Tabela32[[#This Row],[Valor Mercadoria]],"")</f>
        <v>4.3433968047395043E-2</v>
      </c>
      <c r="K520" s="11">
        <v>0.3125</v>
      </c>
      <c r="L520" s="15">
        <v>0.70416666666666672</v>
      </c>
      <c r="M520" s="15">
        <f>Tabela32[[#This Row],[Hr Chegada]]-Tabela32[[#This Row],[Hr Saida]]</f>
        <v>0.39166666666666672</v>
      </c>
      <c r="N520" s="4">
        <v>120909</v>
      </c>
      <c r="O520" s="4">
        <v>120939</v>
      </c>
      <c r="P520" s="4">
        <f>Tabela32[[#This Row],[Km Chegada]]-Tabela32[[#This Row],[Km Saída]]</f>
        <v>30</v>
      </c>
      <c r="Q520" s="4">
        <v>967</v>
      </c>
      <c r="R520" s="4">
        <v>8</v>
      </c>
      <c r="S520" s="4">
        <v>8</v>
      </c>
      <c r="T520" s="12">
        <f>Tabela32[[#This Row],[Entregas]]-Tabela32[[#This Row],[Realizadas]]</f>
        <v>0</v>
      </c>
      <c r="U520" s="18">
        <f>Tabela32[[#This Row],[Realizadas]]/Tabela32[[#This Row],[Entregas]]</f>
        <v>1</v>
      </c>
      <c r="V520" s="19" t="str">
        <f>IF(Tabela32[[#This Row],[% Entrega]]&gt;=96%,"Atendeu a Meta","Não Atendeu a Meta")</f>
        <v>Atendeu a Meta</v>
      </c>
      <c r="W520" s="4" t="s">
        <v>43</v>
      </c>
      <c r="X520" s="4">
        <v>0</v>
      </c>
      <c r="Y520" s="5">
        <v>0</v>
      </c>
    </row>
    <row r="521" spans="1:25" x14ac:dyDescent="0.25">
      <c r="A521" s="8">
        <v>46304</v>
      </c>
      <c r="B521" s="16">
        <f>YEAR(Tabela32[[#This Row],[Data]])</f>
        <v>2026</v>
      </c>
      <c r="C521" s="16">
        <f>MONTH(Tabela32[[#This Row],[Data]])</f>
        <v>10</v>
      </c>
      <c r="D521" s="4" t="s">
        <v>33</v>
      </c>
      <c r="E521" s="4">
        <v>1</v>
      </c>
      <c r="F521" s="4" t="str">
        <f>IFERROR(VLOOKUP(Tabela32[[#This Row],[Placa]],Planilha2!$A$1:$B$12,2,0),"")</f>
        <v>Paulo</v>
      </c>
      <c r="G521" s="10">
        <v>2841.14</v>
      </c>
      <c r="H521" s="10">
        <v>25089.89</v>
      </c>
      <c r="I521" s="4">
        <v>164</v>
      </c>
      <c r="J521" s="17">
        <f>IFERROR(Tabela32[[#This Row],[Valor Frete]]/Tabela32[[#This Row],[Valor Mercadoria]],"")</f>
        <v>0.11323843986561918</v>
      </c>
      <c r="K521" s="11">
        <v>0.29166666666666669</v>
      </c>
      <c r="L521" s="15">
        <v>0.67500000000000004</v>
      </c>
      <c r="M521" s="15">
        <f>Tabela32[[#This Row],[Hr Chegada]]-Tabela32[[#This Row],[Hr Saida]]</f>
        <v>0.38333333333333336</v>
      </c>
      <c r="N521" s="4">
        <v>157003</v>
      </c>
      <c r="O521" s="4">
        <v>157065</v>
      </c>
      <c r="P521" s="4">
        <f>Tabela32[[#This Row],[Km Chegada]]-Tabela32[[#This Row],[Km Saída]]</f>
        <v>62</v>
      </c>
      <c r="Q521" s="4">
        <v>30</v>
      </c>
      <c r="R521" s="4">
        <v>3</v>
      </c>
      <c r="S521" s="4">
        <v>3</v>
      </c>
      <c r="T521" s="12">
        <f>Tabela32[[#This Row],[Entregas]]-Tabela32[[#This Row],[Realizadas]]</f>
        <v>0</v>
      </c>
      <c r="U521" s="18">
        <f>Tabela32[[#This Row],[Realizadas]]/Tabela32[[#This Row],[Entregas]]</f>
        <v>1</v>
      </c>
      <c r="V521" s="19" t="str">
        <f>IF(Tabela32[[#This Row],[% Entrega]]&gt;=96%,"Atendeu a Meta","Não Atendeu a Meta")</f>
        <v>Atendeu a Meta</v>
      </c>
      <c r="W521" s="4" t="s">
        <v>40</v>
      </c>
      <c r="X521" s="4">
        <v>0</v>
      </c>
      <c r="Y521" s="5">
        <v>0</v>
      </c>
    </row>
    <row r="522" spans="1:25" x14ac:dyDescent="0.25">
      <c r="A522" s="8">
        <v>46305</v>
      </c>
      <c r="B522" s="16">
        <f>YEAR(Tabela32[[#This Row],[Data]])</f>
        <v>2026</v>
      </c>
      <c r="C522" s="16">
        <f>MONTH(Tabela32[[#This Row],[Data]])</f>
        <v>10</v>
      </c>
      <c r="D522" s="4" t="s">
        <v>33</v>
      </c>
      <c r="E522" s="4">
        <v>1</v>
      </c>
      <c r="F522" s="4" t="str">
        <f>IFERROR(VLOOKUP(Tabela32[[#This Row],[Placa]],Planilha2!$A$1:$B$12,2,0),"")</f>
        <v>Paulo</v>
      </c>
      <c r="G522" s="10">
        <v>2473.9499999999998</v>
      </c>
      <c r="H522" s="10">
        <v>29026.86</v>
      </c>
      <c r="I522" s="4">
        <v>208</v>
      </c>
      <c r="J522" s="17">
        <f>IFERROR(Tabela32[[#This Row],[Valor Frete]]/Tabela32[[#This Row],[Valor Mercadoria]],"")</f>
        <v>8.5229680371903802E-2</v>
      </c>
      <c r="K522" s="11">
        <v>0.33333333333333331</v>
      </c>
      <c r="L522" s="15">
        <v>0.5</v>
      </c>
      <c r="M522" s="15">
        <f>Tabela32[[#This Row],[Hr Chegada]]-Tabela32[[#This Row],[Hr Saida]]</f>
        <v>0.16666666666666669</v>
      </c>
      <c r="N522" s="4">
        <v>157065</v>
      </c>
      <c r="O522" s="4">
        <v>157101</v>
      </c>
      <c r="P522" s="4">
        <f>Tabela32[[#This Row],[Km Chegada]]-Tabela32[[#This Row],[Km Saída]]</f>
        <v>36</v>
      </c>
      <c r="Q522" s="4">
        <v>23</v>
      </c>
      <c r="R522" s="4">
        <v>13</v>
      </c>
      <c r="S522" s="4">
        <v>13</v>
      </c>
      <c r="T522" s="12">
        <f>Tabela32[[#This Row],[Entregas]]-Tabela32[[#This Row],[Realizadas]]</f>
        <v>0</v>
      </c>
      <c r="U522" s="18">
        <f>Tabela32[[#This Row],[Realizadas]]/Tabela32[[#This Row],[Entregas]]</f>
        <v>1</v>
      </c>
      <c r="V522" s="19" t="str">
        <f>IF(Tabela32[[#This Row],[% Entrega]]&gt;=96%,"Atendeu a Meta","Não Atendeu a Meta")</f>
        <v>Atendeu a Meta</v>
      </c>
      <c r="W522" s="4" t="s">
        <v>43</v>
      </c>
      <c r="X522" s="4">
        <v>0</v>
      </c>
      <c r="Y522" s="5">
        <v>0</v>
      </c>
    </row>
    <row r="523" spans="1:25" x14ac:dyDescent="0.25">
      <c r="A523" s="8">
        <v>46308</v>
      </c>
      <c r="B523" s="16">
        <f>YEAR(Tabela32[[#This Row],[Data]])</f>
        <v>2026</v>
      </c>
      <c r="C523" s="16">
        <f>MONTH(Tabela32[[#This Row],[Data]])</f>
        <v>10</v>
      </c>
      <c r="D523" s="4" t="s">
        <v>33</v>
      </c>
      <c r="E523" s="4">
        <v>1</v>
      </c>
      <c r="F523" s="4" t="str">
        <f>IFERROR(VLOOKUP(Tabela32[[#This Row],[Placa]],Planilha2!$A$1:$B$12,2,0),"")</f>
        <v>Paulo</v>
      </c>
      <c r="G523" s="10">
        <v>3617.26</v>
      </c>
      <c r="H523" s="10">
        <v>114238.16</v>
      </c>
      <c r="I523" s="4">
        <v>995</v>
      </c>
      <c r="J523" s="17">
        <f>IFERROR(Tabela32[[#This Row],[Valor Frete]]/Tabela32[[#This Row],[Valor Mercadoria]],"")</f>
        <v>3.1664200473817156E-2</v>
      </c>
      <c r="K523" s="11">
        <v>0.33333333333333331</v>
      </c>
      <c r="L523" s="15">
        <v>0.80138888888888893</v>
      </c>
      <c r="M523" s="15">
        <f>Tabela32[[#This Row],[Hr Chegada]]-Tabela32[[#This Row],[Hr Saida]]</f>
        <v>0.46805555555555561</v>
      </c>
      <c r="N523" s="4">
        <v>157124</v>
      </c>
      <c r="O523" s="4">
        <v>157213</v>
      </c>
      <c r="P523" s="4">
        <f>Tabela32[[#This Row],[Km Chegada]]-Tabela32[[#This Row],[Km Saída]]</f>
        <v>89</v>
      </c>
      <c r="Q523" s="4">
        <v>128</v>
      </c>
      <c r="R523" s="4">
        <v>10</v>
      </c>
      <c r="S523" s="4">
        <v>10</v>
      </c>
      <c r="T523" s="12">
        <f>Tabela32[[#This Row],[Entregas]]-Tabela32[[#This Row],[Realizadas]]</f>
        <v>0</v>
      </c>
      <c r="U523" s="18">
        <f>Tabela32[[#This Row],[Realizadas]]/Tabela32[[#This Row],[Entregas]]</f>
        <v>1</v>
      </c>
      <c r="V523" s="19" t="str">
        <f>IF(Tabela32[[#This Row],[% Entrega]]&gt;=96%,"Atendeu a Meta","Não Atendeu a Meta")</f>
        <v>Atendeu a Meta</v>
      </c>
      <c r="W523" s="4" t="s">
        <v>43</v>
      </c>
      <c r="X523" s="4">
        <v>0</v>
      </c>
      <c r="Y523" s="5">
        <v>0</v>
      </c>
    </row>
    <row r="524" spans="1:25" x14ac:dyDescent="0.25">
      <c r="A524" s="8">
        <v>46308</v>
      </c>
      <c r="B524" s="16">
        <f>YEAR(Tabela32[[#This Row],[Data]])</f>
        <v>2026</v>
      </c>
      <c r="C524" s="16">
        <f>MONTH(Tabela32[[#This Row],[Data]])</f>
        <v>10</v>
      </c>
      <c r="D524" s="4" t="s">
        <v>35</v>
      </c>
      <c r="E524" s="4">
        <v>2</v>
      </c>
      <c r="F524" s="4" t="str">
        <f>IFERROR(VLOOKUP(Tabela32[[#This Row],[Placa]],Planilha2!$A$1:$B$12,2,0),"")</f>
        <v>Osvaldo</v>
      </c>
      <c r="G524" s="10">
        <v>13755.73</v>
      </c>
      <c r="H524" s="10">
        <v>261029.64</v>
      </c>
      <c r="I524" s="4">
        <v>2586</v>
      </c>
      <c r="J524" s="17">
        <f>IFERROR(Tabela32[[#This Row],[Valor Frete]]/Tabela32[[#This Row],[Valor Mercadoria]],"")</f>
        <v>5.2697961810007472E-2</v>
      </c>
      <c r="K524" s="11">
        <v>0.27083333333333331</v>
      </c>
      <c r="L524" s="15">
        <v>0.74097222222222225</v>
      </c>
      <c r="M524" s="15">
        <f>Tabela32[[#This Row],[Hr Chegada]]-Tabela32[[#This Row],[Hr Saida]]</f>
        <v>0.47013888888888894</v>
      </c>
      <c r="N524" s="4">
        <v>144822</v>
      </c>
      <c r="O524" s="4">
        <v>144874</v>
      </c>
      <c r="P524" s="4">
        <f>Tabela32[[#This Row],[Km Chegada]]-Tabela32[[#This Row],[Km Saída]]</f>
        <v>52</v>
      </c>
      <c r="Q524" s="4">
        <v>359</v>
      </c>
      <c r="R524" s="4">
        <v>38</v>
      </c>
      <c r="S524" s="4">
        <v>28</v>
      </c>
      <c r="T524" s="12">
        <f>Tabela32[[#This Row],[Entregas]]-Tabela32[[#This Row],[Realizadas]]</f>
        <v>10</v>
      </c>
      <c r="U524" s="18">
        <f>Tabela32[[#This Row],[Realizadas]]/Tabela32[[#This Row],[Entregas]]</f>
        <v>0.73684210526315785</v>
      </c>
      <c r="V524" s="19" t="str">
        <f>IF(Tabela32[[#This Row],[% Entrega]]&gt;=96%,"Atendeu a Meta","Não Atendeu a Meta")</f>
        <v>Não Atendeu a Meta</v>
      </c>
      <c r="W524" s="4" t="s">
        <v>39</v>
      </c>
      <c r="X524" s="4">
        <v>10</v>
      </c>
      <c r="Y524" s="5" t="s">
        <v>95</v>
      </c>
    </row>
    <row r="525" spans="1:25" x14ac:dyDescent="0.25">
      <c r="A525" s="8">
        <v>46308</v>
      </c>
      <c r="B525" s="16">
        <f>YEAR(Tabela32[[#This Row],[Data]])</f>
        <v>2026</v>
      </c>
      <c r="C525" s="16">
        <f>MONTH(Tabela32[[#This Row],[Data]])</f>
        <v>10</v>
      </c>
      <c r="D525" s="4" t="s">
        <v>96</v>
      </c>
      <c r="E525" s="4">
        <v>1</v>
      </c>
      <c r="F525" s="4" t="str">
        <f>IFERROR(VLOOKUP(Tabela32[[#This Row],[Placa]],Planilha2!$A$1:$B$12,2,0),"")</f>
        <v>Manoel</v>
      </c>
      <c r="G525" s="10">
        <v>303.91000000000003</v>
      </c>
      <c r="H525" s="10">
        <v>3447.53</v>
      </c>
      <c r="I525" s="4">
        <v>55</v>
      </c>
      <c r="J525" s="17">
        <f>IFERROR(Tabela32[[#This Row],[Valor Frete]]/Tabela32[[#This Row],[Valor Mercadoria]],"")</f>
        <v>8.8152967486867406E-2</v>
      </c>
      <c r="K525" s="11">
        <v>0.3125</v>
      </c>
      <c r="L525" s="15">
        <v>0.5</v>
      </c>
      <c r="M525" s="15">
        <f>Tabela32[[#This Row],[Hr Chegada]]-Tabela32[[#This Row],[Hr Saida]]</f>
        <v>0.1875</v>
      </c>
      <c r="N525" s="4">
        <v>63919</v>
      </c>
      <c r="O525" s="4">
        <v>63949</v>
      </c>
      <c r="P525" s="4">
        <f>Tabela32[[#This Row],[Km Chegada]]-Tabela32[[#This Row],[Km Saída]]</f>
        <v>30</v>
      </c>
      <c r="Q525" s="4">
        <v>6</v>
      </c>
      <c r="R525" s="4">
        <v>1</v>
      </c>
      <c r="S525" s="4">
        <v>1</v>
      </c>
      <c r="T525" s="12">
        <f>Tabela32[[#This Row],[Entregas]]-Tabela32[[#This Row],[Realizadas]]</f>
        <v>0</v>
      </c>
      <c r="U525" s="18">
        <f>Tabela32[[#This Row],[Realizadas]]/Tabela32[[#This Row],[Entregas]]</f>
        <v>1</v>
      </c>
      <c r="V525" s="19" t="str">
        <f>IF(Tabela32[[#This Row],[% Entrega]]&gt;=96%,"Atendeu a Meta","Não Atendeu a Meta")</f>
        <v>Atendeu a Meta</v>
      </c>
      <c r="W525" s="4" t="s">
        <v>43</v>
      </c>
      <c r="X525" s="4">
        <v>0</v>
      </c>
      <c r="Y525" s="5">
        <v>0</v>
      </c>
    </row>
    <row r="526" spans="1:25" x14ac:dyDescent="0.25">
      <c r="A526" s="8">
        <v>46308</v>
      </c>
      <c r="B526" s="16">
        <f>YEAR(Tabela32[[#This Row],[Data]])</f>
        <v>2026</v>
      </c>
      <c r="C526" s="16">
        <f>MONTH(Tabela32[[#This Row],[Data]])</f>
        <v>10</v>
      </c>
      <c r="D526" s="4" t="s">
        <v>28</v>
      </c>
      <c r="E526" s="4">
        <v>11</v>
      </c>
      <c r="F526" s="4" t="str">
        <f>IFERROR(VLOOKUP(Tabela32[[#This Row],[Placa]],Planilha2!$A$1:$B$12,2,0),"")</f>
        <v>Edilson</v>
      </c>
      <c r="G526" s="10">
        <v>18965.39</v>
      </c>
      <c r="H526" s="10">
        <v>491416.8</v>
      </c>
      <c r="I526" s="4">
        <v>2888</v>
      </c>
      <c r="J526" s="17">
        <f>IFERROR(Tabela32[[#This Row],[Valor Frete]]/Tabela32[[#This Row],[Valor Mercadoria]],"")</f>
        <v>3.8593287815963967E-2</v>
      </c>
      <c r="K526" s="11">
        <v>0.27083333333333331</v>
      </c>
      <c r="L526" s="15">
        <v>0.78333333333333333</v>
      </c>
      <c r="M526" s="15">
        <f>Tabela32[[#This Row],[Hr Chegada]]-Tabela32[[#This Row],[Hr Saida]]</f>
        <v>0.51249999999999996</v>
      </c>
      <c r="N526" s="4">
        <v>107056</v>
      </c>
      <c r="O526" s="4">
        <v>107222</v>
      </c>
      <c r="P526" s="4">
        <f>Tabela32[[#This Row],[Km Chegada]]-Tabela32[[#This Row],[Km Saída]]</f>
        <v>166</v>
      </c>
      <c r="Q526" s="4">
        <v>230</v>
      </c>
      <c r="R526" s="4">
        <v>24</v>
      </c>
      <c r="S526" s="4">
        <v>24</v>
      </c>
      <c r="T526" s="12">
        <f>Tabela32[[#This Row],[Entregas]]-Tabela32[[#This Row],[Realizadas]]</f>
        <v>0</v>
      </c>
      <c r="U526" s="18">
        <f>Tabela32[[#This Row],[Realizadas]]/Tabela32[[#This Row],[Entregas]]</f>
        <v>1</v>
      </c>
      <c r="V526" s="19" t="str">
        <f>IF(Tabela32[[#This Row],[% Entrega]]&gt;=96%,"Atendeu a Meta","Não Atendeu a Meta")</f>
        <v>Atendeu a Meta</v>
      </c>
      <c r="W526" s="4" t="s">
        <v>41</v>
      </c>
      <c r="X526" s="4">
        <v>2</v>
      </c>
      <c r="Y526" s="5" t="s">
        <v>97</v>
      </c>
    </row>
    <row r="527" spans="1:25" x14ac:dyDescent="0.25">
      <c r="A527" s="8">
        <v>46308</v>
      </c>
      <c r="B527" s="16">
        <f>YEAR(Tabela32[[#This Row],[Data]])</f>
        <v>2026</v>
      </c>
      <c r="C527" s="16">
        <f>MONTH(Tabela32[[#This Row],[Data]])</f>
        <v>10</v>
      </c>
      <c r="D527" s="4" t="s">
        <v>23</v>
      </c>
      <c r="E527" s="4">
        <v>5</v>
      </c>
      <c r="F527" s="4" t="str">
        <f>IFERROR(VLOOKUP(Tabela32[[#This Row],[Placa]],Planilha2!$A$1:$B$12,2,0),"")</f>
        <v>William</v>
      </c>
      <c r="G527" s="10">
        <v>9205</v>
      </c>
      <c r="H527" s="10">
        <v>119510.17</v>
      </c>
      <c r="I527" s="4">
        <v>918</v>
      </c>
      <c r="J527" s="17">
        <f>IFERROR(Tabela32[[#This Row],[Valor Frete]]/Tabela32[[#This Row],[Valor Mercadoria]],"")</f>
        <v>7.7022733713791897E-2</v>
      </c>
      <c r="K527" s="11">
        <v>0.29166666666666669</v>
      </c>
      <c r="L527" s="15">
        <v>0.70138888888888884</v>
      </c>
      <c r="M527" s="15">
        <f>Tabela32[[#This Row],[Hr Chegada]]-Tabela32[[#This Row],[Hr Saida]]</f>
        <v>0.40972222222222215</v>
      </c>
      <c r="N527" s="4">
        <v>126935</v>
      </c>
      <c r="O527" s="4">
        <v>127015</v>
      </c>
      <c r="P527" s="4">
        <f>Tabela32[[#This Row],[Km Chegada]]-Tabela32[[#This Row],[Km Saída]]</f>
        <v>80</v>
      </c>
      <c r="Q527" s="4">
        <v>119</v>
      </c>
      <c r="R527" s="4">
        <v>24</v>
      </c>
      <c r="S527" s="4">
        <v>23</v>
      </c>
      <c r="T527" s="12">
        <f>Tabela32[[#This Row],[Entregas]]-Tabela32[[#This Row],[Realizadas]]</f>
        <v>1</v>
      </c>
      <c r="U527" s="18">
        <f>Tabela32[[#This Row],[Realizadas]]/Tabela32[[#This Row],[Entregas]]</f>
        <v>0.95833333333333337</v>
      </c>
      <c r="V527" s="19" t="str">
        <f>IF(Tabela32[[#This Row],[% Entrega]]&gt;=96%,"Atendeu a Meta","Não Atendeu a Meta")</f>
        <v>Não Atendeu a Meta</v>
      </c>
      <c r="W527" s="4" t="s">
        <v>39</v>
      </c>
      <c r="X527" s="4">
        <v>1</v>
      </c>
      <c r="Y527" s="5">
        <v>13</v>
      </c>
    </row>
    <row r="528" spans="1:25" x14ac:dyDescent="0.25">
      <c r="A528" s="8">
        <v>46308</v>
      </c>
      <c r="B528" s="16">
        <f>YEAR(Tabela32[[#This Row],[Data]])</f>
        <v>2026</v>
      </c>
      <c r="C528" s="16">
        <f>MONTH(Tabela32[[#This Row],[Data]])</f>
        <v>10</v>
      </c>
      <c r="D528" s="4" t="s">
        <v>27</v>
      </c>
      <c r="E528" s="4">
        <v>1</v>
      </c>
      <c r="F528" s="4" t="str">
        <f>IFERROR(VLOOKUP(Tabela32[[#This Row],[Placa]],Planilha2!$A$1:$B$12,2,0),"")</f>
        <v>Rosinaldo</v>
      </c>
      <c r="G528" s="10">
        <v>3047.73</v>
      </c>
      <c r="H528" s="10">
        <v>50931.76</v>
      </c>
      <c r="I528" s="4">
        <v>1047</v>
      </c>
      <c r="J528" s="17">
        <f>IFERROR(Tabela32[[#This Row],[Valor Frete]]/Tabela32[[#This Row],[Valor Mercadoria]],"")</f>
        <v>5.9839479334701962E-2</v>
      </c>
      <c r="K528" s="11">
        <v>0.29166666666666669</v>
      </c>
      <c r="L528" s="15">
        <v>0.70833333333333337</v>
      </c>
      <c r="M528" s="15">
        <f>Tabela32[[#This Row],[Hr Chegada]]-Tabela32[[#This Row],[Hr Saida]]</f>
        <v>0.41666666666666669</v>
      </c>
      <c r="N528" s="4">
        <v>292517</v>
      </c>
      <c r="O528" s="4">
        <v>292552</v>
      </c>
      <c r="P528" s="4">
        <f>Tabela32[[#This Row],[Km Chegada]]-Tabela32[[#This Row],[Km Saída]]</f>
        <v>35</v>
      </c>
      <c r="Q528" s="4">
        <v>97</v>
      </c>
      <c r="R528" s="4">
        <v>4</v>
      </c>
      <c r="S528" s="4">
        <v>4</v>
      </c>
      <c r="T528" s="12">
        <f>Tabela32[[#This Row],[Entregas]]-Tabela32[[#This Row],[Realizadas]]</f>
        <v>0</v>
      </c>
      <c r="U528" s="18">
        <f>Tabela32[[#This Row],[Realizadas]]/Tabela32[[#This Row],[Entregas]]</f>
        <v>1</v>
      </c>
      <c r="V528" s="19" t="str">
        <f>IF(Tabela32[[#This Row],[% Entrega]]&gt;=96%,"Atendeu a Meta","Não Atendeu a Meta")</f>
        <v>Atendeu a Meta</v>
      </c>
      <c r="W528" s="4" t="s">
        <v>43</v>
      </c>
      <c r="X528" s="4">
        <v>0</v>
      </c>
      <c r="Y528" s="5">
        <v>0</v>
      </c>
    </row>
    <row r="529" spans="1:25" x14ac:dyDescent="0.25">
      <c r="A529" s="8">
        <v>46308</v>
      </c>
      <c r="B529" s="16">
        <f>YEAR(Tabela32[[#This Row],[Data]])</f>
        <v>2026</v>
      </c>
      <c r="C529" s="16">
        <f>MONTH(Tabela32[[#This Row],[Data]])</f>
        <v>10</v>
      </c>
      <c r="D529" s="4" t="s">
        <v>31</v>
      </c>
      <c r="E529" s="4">
        <v>3</v>
      </c>
      <c r="F529" s="4" t="str">
        <f>IFERROR(VLOOKUP(Tabela32[[#This Row],[Placa]],Planilha2!$A$1:$B$12,2,0),"")</f>
        <v>Jerson</v>
      </c>
      <c r="G529" s="10">
        <v>9400.43</v>
      </c>
      <c r="H529" s="10">
        <v>191038.47</v>
      </c>
      <c r="I529" s="4">
        <v>1711</v>
      </c>
      <c r="J529" s="17">
        <f>IFERROR(Tabela32[[#This Row],[Valor Frete]]/Tabela32[[#This Row],[Valor Mercadoria]],"")</f>
        <v>4.9207000035123814E-2</v>
      </c>
      <c r="K529" s="11">
        <v>0.33333333333333331</v>
      </c>
      <c r="L529" s="15">
        <v>0.79513888888888884</v>
      </c>
      <c r="M529" s="15">
        <f>Tabela32[[#This Row],[Hr Chegada]]-Tabela32[[#This Row],[Hr Saida]]</f>
        <v>0.46180555555555552</v>
      </c>
      <c r="N529" s="4">
        <v>282030</v>
      </c>
      <c r="O529" s="4">
        <v>282098</v>
      </c>
      <c r="P529" s="4">
        <f>Tabela32[[#This Row],[Km Chegada]]-Tabela32[[#This Row],[Km Saída]]</f>
        <v>68</v>
      </c>
      <c r="Q529" s="4">
        <v>257</v>
      </c>
      <c r="R529" s="4">
        <v>22</v>
      </c>
      <c r="S529" s="4">
        <v>15</v>
      </c>
      <c r="T529" s="12">
        <f>Tabela32[[#This Row],[Entregas]]-Tabela32[[#This Row],[Realizadas]]</f>
        <v>7</v>
      </c>
      <c r="U529" s="18">
        <f>Tabela32[[#This Row],[Realizadas]]/Tabela32[[#This Row],[Entregas]]</f>
        <v>0.68181818181818177</v>
      </c>
      <c r="V529" s="19" t="str">
        <f>IF(Tabela32[[#This Row],[% Entrega]]&gt;=96%,"Atendeu a Meta","Não Atendeu a Meta")</f>
        <v>Não Atendeu a Meta</v>
      </c>
      <c r="W529" s="4" t="s">
        <v>39</v>
      </c>
      <c r="X529" s="4">
        <v>8</v>
      </c>
      <c r="Y529" s="5" t="s">
        <v>98</v>
      </c>
    </row>
    <row r="530" spans="1:25" x14ac:dyDescent="0.25">
      <c r="A530" s="8">
        <v>46308</v>
      </c>
      <c r="B530" s="16">
        <f>YEAR(Tabela32[[#This Row],[Data]])</f>
        <v>2026</v>
      </c>
      <c r="C530" s="16">
        <f>MONTH(Tabela32[[#This Row],[Data]])</f>
        <v>10</v>
      </c>
      <c r="D530" s="4" t="s">
        <v>22</v>
      </c>
      <c r="E530" s="4">
        <v>1</v>
      </c>
      <c r="F530" s="4" t="str">
        <f>IFERROR(VLOOKUP(Tabela32[[#This Row],[Placa]],Planilha2!$A$1:$B$12,2,0),"")</f>
        <v>Juscelino</v>
      </c>
      <c r="G530" s="10">
        <v>7143.37</v>
      </c>
      <c r="H530" s="10">
        <v>170266.68</v>
      </c>
      <c r="I530" s="4">
        <v>2088</v>
      </c>
      <c r="J530" s="17">
        <f>IFERROR(Tabela32[[#This Row],[Valor Frete]]/Tabela32[[#This Row],[Valor Mercadoria]],"")</f>
        <v>4.1954010027093966E-2</v>
      </c>
      <c r="K530" s="11">
        <v>0.3125</v>
      </c>
      <c r="L530" s="15">
        <v>0.87013888888888891</v>
      </c>
      <c r="M530" s="15">
        <f>Tabela32[[#This Row],[Hr Chegada]]-Tabela32[[#This Row],[Hr Saida]]</f>
        <v>0.55763888888888891</v>
      </c>
      <c r="N530" s="4">
        <v>306252</v>
      </c>
      <c r="O530" s="4">
        <v>306371</v>
      </c>
      <c r="P530" s="4">
        <f>Tabela32[[#This Row],[Km Chegada]]-Tabela32[[#This Row],[Km Saída]]</f>
        <v>119</v>
      </c>
      <c r="Q530" s="4">
        <v>131</v>
      </c>
      <c r="R530" s="4">
        <v>20</v>
      </c>
      <c r="S530" s="4">
        <v>14</v>
      </c>
      <c r="T530" s="12">
        <f>Tabela32[[#This Row],[Entregas]]-Tabela32[[#This Row],[Realizadas]]</f>
        <v>6</v>
      </c>
      <c r="U530" s="18">
        <f>Tabela32[[#This Row],[Realizadas]]/Tabela32[[#This Row],[Entregas]]</f>
        <v>0.7</v>
      </c>
      <c r="V530" s="19" t="str">
        <f>IF(Tabela32[[#This Row],[% Entrega]]&gt;=96%,"Atendeu a Meta","Não Atendeu a Meta")</f>
        <v>Não Atendeu a Meta</v>
      </c>
      <c r="W530" s="4" t="s">
        <v>43</v>
      </c>
      <c r="X530" s="4">
        <v>6</v>
      </c>
      <c r="Y530" s="5" t="s">
        <v>99</v>
      </c>
    </row>
    <row r="531" spans="1:25" x14ac:dyDescent="0.25">
      <c r="A531" s="8">
        <v>46308</v>
      </c>
      <c r="B531" s="16">
        <f>YEAR(Tabela32[[#This Row],[Data]])</f>
        <v>2026</v>
      </c>
      <c r="C531" s="16">
        <f>MONTH(Tabela32[[#This Row],[Data]])</f>
        <v>10</v>
      </c>
      <c r="D531" s="4" t="s">
        <v>25</v>
      </c>
      <c r="E531" s="4">
        <v>4</v>
      </c>
      <c r="F531" s="4" t="str">
        <f>IFERROR(VLOOKUP(Tabela32[[#This Row],[Placa]],Planilha2!$A$1:$B$12,2,0),"")</f>
        <v>Gilberto</v>
      </c>
      <c r="G531" s="10">
        <v>1999.41</v>
      </c>
      <c r="H531" s="10">
        <v>47673.84</v>
      </c>
      <c r="I531" s="4">
        <v>775</v>
      </c>
      <c r="J531" s="17">
        <f>IFERROR(Tabela32[[#This Row],[Valor Frete]]/Tabela32[[#This Row],[Valor Mercadoria]],"")</f>
        <v>4.1939352902975728E-2</v>
      </c>
      <c r="K531" s="11">
        <v>0.3125</v>
      </c>
      <c r="L531" s="15">
        <v>0.75694444444444442</v>
      </c>
      <c r="M531" s="15">
        <f>Tabela32[[#This Row],[Hr Chegada]]-Tabela32[[#This Row],[Hr Saida]]</f>
        <v>0.44444444444444442</v>
      </c>
      <c r="N531" s="4">
        <v>120940</v>
      </c>
      <c r="O531" s="4">
        <v>120995</v>
      </c>
      <c r="P531" s="4">
        <f>Tabela32[[#This Row],[Km Chegada]]-Tabela32[[#This Row],[Km Saída]]</f>
        <v>55</v>
      </c>
      <c r="Q531" s="4">
        <v>175</v>
      </c>
      <c r="R531" s="4">
        <v>10</v>
      </c>
      <c r="S531" s="4">
        <v>10</v>
      </c>
      <c r="T531" s="12">
        <f>Tabela32[[#This Row],[Entregas]]-Tabela32[[#This Row],[Realizadas]]</f>
        <v>0</v>
      </c>
      <c r="U531" s="18">
        <f>Tabela32[[#This Row],[Realizadas]]/Tabela32[[#This Row],[Entregas]]</f>
        <v>1</v>
      </c>
      <c r="V531" s="19" t="str">
        <f>IF(Tabela32[[#This Row],[% Entrega]]&gt;=96%,"Atendeu a Meta","Não Atendeu a Meta")</f>
        <v>Atendeu a Meta</v>
      </c>
      <c r="W531" s="4" t="s">
        <v>39</v>
      </c>
      <c r="X531" s="4">
        <v>0</v>
      </c>
      <c r="Y531" s="5">
        <v>0</v>
      </c>
    </row>
    <row r="532" spans="1:25" x14ac:dyDescent="0.25">
      <c r="A532" s="8">
        <v>46308</v>
      </c>
      <c r="B532" s="16">
        <f>YEAR(Tabela32[[#This Row],[Data]])</f>
        <v>2026</v>
      </c>
      <c r="C532" s="16">
        <f>MONTH(Tabela32[[#This Row],[Data]])</f>
        <v>10</v>
      </c>
      <c r="D532" s="4" t="s">
        <v>29</v>
      </c>
      <c r="E532" s="4">
        <v>1</v>
      </c>
      <c r="F532" s="4" t="str">
        <f>IFERROR(VLOOKUP(Tabela32[[#This Row],[Placa]],Planilha2!$A$1:$B$12,2,0),"")</f>
        <v>Sandro</v>
      </c>
      <c r="G532" s="10">
        <v>6267.12</v>
      </c>
      <c r="H532" s="10">
        <v>365974.7</v>
      </c>
      <c r="I532" s="4">
        <v>618</v>
      </c>
      <c r="J532" s="17">
        <f>IFERROR(Tabela32[[#This Row],[Valor Frete]]/Tabela32[[#This Row],[Valor Mercadoria]],"")</f>
        <v>1.712446242868701E-2</v>
      </c>
      <c r="K532" s="11">
        <v>0.29166666666666669</v>
      </c>
      <c r="L532" s="15">
        <v>0.76041666666666663</v>
      </c>
      <c r="M532" s="15">
        <f>Tabela32[[#This Row],[Hr Chegada]]-Tabela32[[#This Row],[Hr Saida]]</f>
        <v>0.46874999999999994</v>
      </c>
      <c r="N532" s="4">
        <v>276917</v>
      </c>
      <c r="O532" s="4">
        <v>276963</v>
      </c>
      <c r="P532" s="4">
        <f>Tabela32[[#This Row],[Km Chegada]]-Tabela32[[#This Row],[Km Saída]]</f>
        <v>46</v>
      </c>
      <c r="Q532" s="4">
        <v>167</v>
      </c>
      <c r="R532" s="4">
        <v>7</v>
      </c>
      <c r="S532" s="4">
        <v>7</v>
      </c>
      <c r="T532" s="12">
        <f>Tabela32[[#This Row],[Entregas]]-Tabela32[[#This Row],[Realizadas]]</f>
        <v>0</v>
      </c>
      <c r="U532" s="18">
        <f>Tabela32[[#This Row],[Realizadas]]/Tabela32[[#This Row],[Entregas]]</f>
        <v>1</v>
      </c>
      <c r="V532" s="19" t="str">
        <f>IF(Tabela32[[#This Row],[% Entrega]]&gt;=96%,"Atendeu a Meta","Não Atendeu a Meta")</f>
        <v>Atendeu a Meta</v>
      </c>
      <c r="W532" s="4" t="s">
        <v>40</v>
      </c>
      <c r="X532" s="4">
        <v>0</v>
      </c>
      <c r="Y532" s="5">
        <v>0</v>
      </c>
    </row>
    <row r="533" spans="1:25" x14ac:dyDescent="0.25">
      <c r="A533" s="8">
        <v>46308</v>
      </c>
      <c r="B533" s="16">
        <f>YEAR(Tabela32[[#This Row],[Data]])</f>
        <v>2026</v>
      </c>
      <c r="C533" s="16">
        <f>MONTH(Tabela32[[#This Row],[Data]])</f>
        <v>10</v>
      </c>
      <c r="D533" s="4" t="s">
        <v>53</v>
      </c>
      <c r="E533" s="4">
        <v>3</v>
      </c>
      <c r="F533" s="4" t="str">
        <f>IFERROR(VLOOKUP(Tabela32[[#This Row],[Placa]],Planilha2!$A$1:$B$12,2,0),"")</f>
        <v>Arnaldo</v>
      </c>
      <c r="G533" s="10">
        <v>7340.19</v>
      </c>
      <c r="H533" s="10">
        <v>77754.899999999994</v>
      </c>
      <c r="I533" s="4">
        <v>2073</v>
      </c>
      <c r="J533" s="17">
        <f>IFERROR(Tabela32[[#This Row],[Valor Frete]]/Tabela32[[#This Row],[Valor Mercadoria]],"")</f>
        <v>9.440163899638479E-2</v>
      </c>
      <c r="K533" s="11">
        <v>0.3125</v>
      </c>
      <c r="L533" s="15">
        <v>0.76388888888888884</v>
      </c>
      <c r="M533" s="15">
        <f>Tabela32[[#This Row],[Hr Chegada]]-Tabela32[[#This Row],[Hr Saida]]</f>
        <v>0.45138888888888884</v>
      </c>
      <c r="N533" s="4">
        <v>14782</v>
      </c>
      <c r="O533" s="4">
        <v>14835</v>
      </c>
      <c r="P533" s="4">
        <f>Tabela32[[#This Row],[Km Chegada]]-Tabela32[[#This Row],[Km Saída]]</f>
        <v>53</v>
      </c>
      <c r="Q533" s="4">
        <v>106</v>
      </c>
      <c r="R533" s="4">
        <v>14</v>
      </c>
      <c r="S533" s="4">
        <v>14</v>
      </c>
      <c r="T533" s="12">
        <f>Tabela32[[#This Row],[Entregas]]-Tabela32[[#This Row],[Realizadas]]</f>
        <v>0</v>
      </c>
      <c r="U533" s="18">
        <f>Tabela32[[#This Row],[Realizadas]]/Tabela32[[#This Row],[Entregas]]</f>
        <v>1</v>
      </c>
      <c r="V533" s="19" t="str">
        <f>IF(Tabela32[[#This Row],[% Entrega]]&gt;=96%,"Atendeu a Meta","Não Atendeu a Meta")</f>
        <v>Atendeu a Meta</v>
      </c>
      <c r="W533" s="4" t="s">
        <v>39</v>
      </c>
      <c r="X533" s="4">
        <v>0</v>
      </c>
      <c r="Y533" s="5">
        <v>0</v>
      </c>
    </row>
    <row r="534" spans="1:25" x14ac:dyDescent="0.25">
      <c r="A534" s="8">
        <v>46309</v>
      </c>
      <c r="B534" s="16">
        <f>YEAR(Tabela32[[#This Row],[Data]])</f>
        <v>2026</v>
      </c>
      <c r="C534" s="16">
        <f>MONTH(Tabela32[[#This Row],[Data]])</f>
        <v>10</v>
      </c>
      <c r="D534" s="4" t="s">
        <v>33</v>
      </c>
      <c r="E534" s="4">
        <v>1</v>
      </c>
      <c r="F534" s="4" t="str">
        <f>IFERROR(VLOOKUP(Tabela32[[#This Row],[Placa]],Planilha2!$A$1:$B$12,2,0),"")</f>
        <v>Paulo</v>
      </c>
      <c r="G534" s="10">
        <v>1098.01</v>
      </c>
      <c r="H534" s="10">
        <v>20422.439999999999</v>
      </c>
      <c r="I534" s="4">
        <v>46</v>
      </c>
      <c r="J534" s="17">
        <f>IFERROR(Tabela32[[#This Row],[Valor Frete]]/Tabela32[[#This Row],[Valor Mercadoria]],"")</f>
        <v>5.3764878241777184E-2</v>
      </c>
      <c r="K534" s="11">
        <v>0.3125</v>
      </c>
      <c r="L534" s="15">
        <v>0.46527777777777779</v>
      </c>
      <c r="M534" s="15">
        <f>Tabela32[[#This Row],[Hr Chegada]]-Tabela32[[#This Row],[Hr Saida]]</f>
        <v>0.15277777777777779</v>
      </c>
      <c r="N534" s="4">
        <v>157213</v>
      </c>
      <c r="O534" s="4">
        <v>157244</v>
      </c>
      <c r="P534" s="4">
        <f>Tabela32[[#This Row],[Km Chegada]]-Tabela32[[#This Row],[Km Saída]]</f>
        <v>31</v>
      </c>
      <c r="Q534" s="4">
        <v>13</v>
      </c>
      <c r="R534" s="4">
        <v>2</v>
      </c>
      <c r="S534" s="4">
        <v>2</v>
      </c>
      <c r="T534" s="12">
        <f>Tabela32[[#This Row],[Entregas]]-Tabela32[[#This Row],[Realizadas]]</f>
        <v>0</v>
      </c>
      <c r="U534" s="18">
        <f>Tabela32[[#This Row],[Realizadas]]/Tabela32[[#This Row],[Entregas]]</f>
        <v>1</v>
      </c>
      <c r="V534" s="19" t="str">
        <f>IF(Tabela32[[#This Row],[% Entrega]]&gt;=96%,"Atendeu a Meta","Não Atendeu a Meta")</f>
        <v>Atendeu a Meta</v>
      </c>
      <c r="W534" s="4" t="s">
        <v>40</v>
      </c>
      <c r="X534" s="4">
        <v>0</v>
      </c>
      <c r="Y534" s="5">
        <v>0</v>
      </c>
    </row>
    <row r="535" spans="1:25" x14ac:dyDescent="0.25">
      <c r="A535" s="8">
        <v>46309</v>
      </c>
      <c r="B535" s="16">
        <f>YEAR(Tabela32[[#This Row],[Data]])</f>
        <v>2026</v>
      </c>
      <c r="C535" s="16">
        <f>MONTH(Tabela32[[#This Row],[Data]])</f>
        <v>10</v>
      </c>
      <c r="D535" s="4" t="s">
        <v>33</v>
      </c>
      <c r="E535" s="4">
        <v>1</v>
      </c>
      <c r="F535" s="4" t="str">
        <f>IFERROR(VLOOKUP(Tabela32[[#This Row],[Placa]],Planilha2!$A$1:$B$12,2,0),"")</f>
        <v>Paulo</v>
      </c>
      <c r="G535" s="10">
        <v>252.53</v>
      </c>
      <c r="H535" s="10">
        <v>4830.92</v>
      </c>
      <c r="I535" s="4">
        <v>52</v>
      </c>
      <c r="J535" s="17">
        <f>IFERROR(Tabela32[[#This Row],[Valor Frete]]/Tabela32[[#This Row],[Valor Mercadoria]],"")</f>
        <v>5.2273686999577719E-2</v>
      </c>
      <c r="K535" s="11">
        <v>0.54166666666666663</v>
      </c>
      <c r="L535" s="15">
        <v>0.69305555555555554</v>
      </c>
      <c r="M535" s="15">
        <f>Tabela32[[#This Row],[Hr Chegada]]-Tabela32[[#This Row],[Hr Saida]]</f>
        <v>0.15138888888888891</v>
      </c>
      <c r="N535" s="4">
        <v>157244</v>
      </c>
      <c r="O535" s="4">
        <v>157271</v>
      </c>
      <c r="P535" s="4">
        <f>Tabela32[[#This Row],[Km Chegada]]-Tabela32[[#This Row],[Km Saída]]</f>
        <v>27</v>
      </c>
      <c r="Q535" s="4">
        <v>8</v>
      </c>
      <c r="R535" s="4">
        <v>1</v>
      </c>
      <c r="S535" s="4">
        <v>1</v>
      </c>
      <c r="T535" s="12">
        <f>Tabela32[[#This Row],[Entregas]]-Tabela32[[#This Row],[Realizadas]]</f>
        <v>0</v>
      </c>
      <c r="U535" s="18">
        <f>Tabela32[[#This Row],[Realizadas]]/Tabela32[[#This Row],[Entregas]]</f>
        <v>1</v>
      </c>
      <c r="V535" s="19" t="str">
        <f>IF(Tabela32[[#This Row],[% Entrega]]&gt;=96%,"Atendeu a Meta","Não Atendeu a Meta")</f>
        <v>Atendeu a Meta</v>
      </c>
      <c r="W535" s="4" t="s">
        <v>62</v>
      </c>
      <c r="X535" s="4">
        <v>0</v>
      </c>
      <c r="Y535" s="5">
        <v>0</v>
      </c>
    </row>
    <row r="536" spans="1:25" x14ac:dyDescent="0.25">
      <c r="A536" s="8">
        <v>46309</v>
      </c>
      <c r="B536" s="16">
        <f>YEAR(Tabela32[[#This Row],[Data]])</f>
        <v>2026</v>
      </c>
      <c r="C536" s="16">
        <f>MONTH(Tabela32[[#This Row],[Data]])</f>
        <v>10</v>
      </c>
      <c r="D536" s="4" t="s">
        <v>29</v>
      </c>
      <c r="E536" s="4">
        <v>1</v>
      </c>
      <c r="F536" s="4" t="str">
        <f>IFERROR(VLOOKUP(Tabela32[[#This Row],[Placa]],Planilha2!$A$1:$B$12,2,0),"")</f>
        <v>Sandro</v>
      </c>
      <c r="G536" s="10">
        <v>11128.1</v>
      </c>
      <c r="H536" s="10">
        <v>187786.85</v>
      </c>
      <c r="I536" s="4">
        <v>1893</v>
      </c>
      <c r="J536" s="17">
        <f>IFERROR(Tabela32[[#This Row],[Valor Frete]]/Tabela32[[#This Row],[Valor Mercadoria]],"")</f>
        <v>5.925920797968548E-2</v>
      </c>
      <c r="K536" s="11">
        <v>0.29166666666666669</v>
      </c>
      <c r="L536" s="15">
        <v>0.54166666666666663</v>
      </c>
      <c r="M536" s="15">
        <f>Tabela32[[#This Row],[Hr Chegada]]-Tabela32[[#This Row],[Hr Saida]]</f>
        <v>0.24999999999999994</v>
      </c>
      <c r="N536" s="4">
        <v>276963</v>
      </c>
      <c r="O536" s="4">
        <v>276973</v>
      </c>
      <c r="P536" s="4">
        <f>Tabela32[[#This Row],[Km Chegada]]-Tabela32[[#This Row],[Km Saída]]</f>
        <v>10</v>
      </c>
      <c r="Q536" s="4">
        <v>126</v>
      </c>
      <c r="R536" s="4">
        <v>15</v>
      </c>
      <c r="S536" s="4">
        <v>15</v>
      </c>
      <c r="T536" s="12">
        <f>Tabela32[[#This Row],[Entregas]]-Tabela32[[#This Row],[Realizadas]]</f>
        <v>0</v>
      </c>
      <c r="U536" s="18">
        <f>Tabela32[[#This Row],[Realizadas]]/Tabela32[[#This Row],[Entregas]]</f>
        <v>1</v>
      </c>
      <c r="V536" s="19" t="str">
        <f>IF(Tabela32[[#This Row],[% Entrega]]&gt;=96%,"Atendeu a Meta","Não Atendeu a Meta")</f>
        <v>Atendeu a Meta</v>
      </c>
      <c r="W536" s="4" t="s">
        <v>62</v>
      </c>
      <c r="X536" s="4">
        <v>0</v>
      </c>
      <c r="Y536" s="5">
        <v>0</v>
      </c>
    </row>
    <row r="537" spans="1:25" x14ac:dyDescent="0.25">
      <c r="A537" s="8">
        <v>46309</v>
      </c>
      <c r="B537" s="16">
        <f>YEAR(Tabela32[[#This Row],[Data]])</f>
        <v>2026</v>
      </c>
      <c r="C537" s="16">
        <f>MONTH(Tabela32[[#This Row],[Data]])</f>
        <v>10</v>
      </c>
      <c r="D537" s="4" t="s">
        <v>29</v>
      </c>
      <c r="E537" s="4">
        <v>1</v>
      </c>
      <c r="F537" s="4" t="str">
        <f>IFERROR(VLOOKUP(Tabela32[[#This Row],[Placa]],Planilha2!$A$1:$B$12,2,0),"")</f>
        <v>Sandro</v>
      </c>
      <c r="G537" s="10">
        <v>8095.23</v>
      </c>
      <c r="H537" s="10">
        <v>137132.24</v>
      </c>
      <c r="I537" s="4">
        <v>1131</v>
      </c>
      <c r="J537" s="17">
        <f>IFERROR(Tabela32[[#This Row],[Valor Frete]]/Tabela32[[#This Row],[Valor Mercadoria]],"")</f>
        <v>5.9032288833027156E-2</v>
      </c>
      <c r="K537" s="11">
        <v>0.54166666666666663</v>
      </c>
      <c r="L537" s="15">
        <v>0.80069444444444449</v>
      </c>
      <c r="M537" s="15">
        <f>Tabela32[[#This Row],[Hr Chegada]]-Tabela32[[#This Row],[Hr Saida]]</f>
        <v>0.25902777777777786</v>
      </c>
      <c r="N537" s="4">
        <v>276973</v>
      </c>
      <c r="O537" s="4">
        <v>277016</v>
      </c>
      <c r="P537" s="4">
        <f>Tabela32[[#This Row],[Km Chegada]]-Tabela32[[#This Row],[Km Saída]]</f>
        <v>43</v>
      </c>
      <c r="Q537" s="4">
        <v>22</v>
      </c>
      <c r="R537" s="4">
        <v>3</v>
      </c>
      <c r="S537" s="4">
        <v>3</v>
      </c>
      <c r="T537" s="12">
        <f>Tabela32[[#This Row],[Entregas]]-Tabela32[[#This Row],[Realizadas]]</f>
        <v>0</v>
      </c>
      <c r="U537" s="18">
        <f>Tabela32[[#This Row],[Realizadas]]/Tabela32[[#This Row],[Entregas]]</f>
        <v>1</v>
      </c>
      <c r="V537" s="19" t="str">
        <f>IF(Tabela32[[#This Row],[% Entrega]]&gt;=96%,"Atendeu a Meta","Não Atendeu a Meta")</f>
        <v>Atendeu a Meta</v>
      </c>
      <c r="W537" s="4" t="s">
        <v>40</v>
      </c>
      <c r="X537" s="4">
        <v>0</v>
      </c>
      <c r="Y537" s="5">
        <v>0</v>
      </c>
    </row>
    <row r="538" spans="1:25" x14ac:dyDescent="0.25">
      <c r="A538" s="8">
        <v>46309</v>
      </c>
      <c r="B538" s="16">
        <f>YEAR(Tabela32[[#This Row],[Data]])</f>
        <v>2026</v>
      </c>
      <c r="C538" s="16">
        <f>MONTH(Tabela32[[#This Row],[Data]])</f>
        <v>10</v>
      </c>
      <c r="D538" s="4" t="s">
        <v>96</v>
      </c>
      <c r="E538" s="4">
        <v>1</v>
      </c>
      <c r="F538" s="4" t="str">
        <f>IFERROR(VLOOKUP(Tabela32[[#This Row],[Placa]],Planilha2!$A$1:$B$12,2,0),"")</f>
        <v>Manoel</v>
      </c>
      <c r="G538" s="10">
        <v>150.69</v>
      </c>
      <c r="H538" s="10">
        <v>2452.3200000000002</v>
      </c>
      <c r="I538" s="4">
        <v>28</v>
      </c>
      <c r="J538" s="17">
        <f>IFERROR(Tabela32[[#This Row],[Valor Frete]]/Tabela32[[#This Row],[Valor Mercadoria]],"")</f>
        <v>6.1447935016637305E-2</v>
      </c>
      <c r="K538" s="11">
        <v>0.34027777777777779</v>
      </c>
      <c r="L538" s="15">
        <v>0.5</v>
      </c>
      <c r="M538" s="15">
        <f>Tabela32[[#This Row],[Hr Chegada]]-Tabela32[[#This Row],[Hr Saida]]</f>
        <v>0.15972222222222221</v>
      </c>
      <c r="N538" s="4">
        <v>64003</v>
      </c>
      <c r="O538" s="4">
        <v>64090</v>
      </c>
      <c r="P538" s="4">
        <f>Tabela32[[#This Row],[Km Chegada]]-Tabela32[[#This Row],[Km Saída]]</f>
        <v>87</v>
      </c>
      <c r="Q538" s="4">
        <v>4</v>
      </c>
      <c r="R538" s="4">
        <v>1</v>
      </c>
      <c r="S538" s="4">
        <v>1</v>
      </c>
      <c r="T538" s="12">
        <f>Tabela32[[#This Row],[Entregas]]-Tabela32[[#This Row],[Realizadas]]</f>
        <v>0</v>
      </c>
      <c r="U538" s="18">
        <f>Tabela32[[#This Row],[Realizadas]]/Tabela32[[#This Row],[Entregas]]</f>
        <v>1</v>
      </c>
      <c r="V538" s="19" t="str">
        <f>IF(Tabela32[[#This Row],[% Entrega]]&gt;=96%,"Atendeu a Meta","Não Atendeu a Meta")</f>
        <v>Atendeu a Meta</v>
      </c>
      <c r="W538" s="4" t="s">
        <v>90</v>
      </c>
      <c r="X538" s="4">
        <v>0</v>
      </c>
      <c r="Y538" s="5">
        <v>0</v>
      </c>
    </row>
    <row r="539" spans="1:25" x14ac:dyDescent="0.25">
      <c r="A539" s="8">
        <v>46309</v>
      </c>
      <c r="B539" s="16">
        <f>YEAR(Tabela32[[#This Row],[Data]])</f>
        <v>2026</v>
      </c>
      <c r="C539" s="16">
        <f>MONTH(Tabela32[[#This Row],[Data]])</f>
        <v>10</v>
      </c>
      <c r="D539" s="4" t="s">
        <v>35</v>
      </c>
      <c r="E539" s="4">
        <v>2</v>
      </c>
      <c r="F539" s="4" t="str">
        <f>IFERROR(VLOOKUP(Tabela32[[#This Row],[Placa]],Planilha2!$A$1:$B$12,2,0),"")</f>
        <v>Osvaldo</v>
      </c>
      <c r="G539" s="10">
        <v>14455.55</v>
      </c>
      <c r="H539" s="10">
        <v>238709.99</v>
      </c>
      <c r="I539" s="4">
        <v>309</v>
      </c>
      <c r="J539" s="17">
        <f>IFERROR(Tabela32[[#This Row],[Valor Frete]]/Tabela32[[#This Row],[Valor Mercadoria]],"")</f>
        <v>6.0556954486906893E-2</v>
      </c>
      <c r="K539" s="11">
        <v>0.27083333333333331</v>
      </c>
      <c r="L539" s="15">
        <v>0.72916666666666663</v>
      </c>
      <c r="M539" s="15">
        <f>Tabela32[[#This Row],[Hr Chegada]]-Tabela32[[#This Row],[Hr Saida]]</f>
        <v>0.45833333333333331</v>
      </c>
      <c r="N539" s="4">
        <v>144874</v>
      </c>
      <c r="O539" s="4">
        <v>144928</v>
      </c>
      <c r="P539" s="4">
        <f>Tabela32[[#This Row],[Km Chegada]]-Tabela32[[#This Row],[Km Saída]]</f>
        <v>54</v>
      </c>
      <c r="Q539" s="4">
        <v>309</v>
      </c>
      <c r="R539" s="4">
        <v>49</v>
      </c>
      <c r="S539" s="4">
        <v>32</v>
      </c>
      <c r="T539" s="12">
        <f>Tabela32[[#This Row],[Entregas]]-Tabela32[[#This Row],[Realizadas]]</f>
        <v>17</v>
      </c>
      <c r="U539" s="18">
        <f>Tabela32[[#This Row],[Realizadas]]/Tabela32[[#This Row],[Entregas]]</f>
        <v>0.65306122448979587</v>
      </c>
      <c r="V539" s="19" t="str">
        <f>IF(Tabela32[[#This Row],[% Entrega]]&gt;=96%,"Atendeu a Meta","Não Atendeu a Meta")</f>
        <v>Não Atendeu a Meta</v>
      </c>
      <c r="W539" s="4" t="s">
        <v>39</v>
      </c>
      <c r="X539" s="4">
        <v>17</v>
      </c>
      <c r="Y539" s="5" t="s">
        <v>100</v>
      </c>
    </row>
    <row r="540" spans="1:25" x14ac:dyDescent="0.25">
      <c r="A540" s="8">
        <v>46309</v>
      </c>
      <c r="B540" s="16">
        <f>YEAR(Tabela32[[#This Row],[Data]])</f>
        <v>2026</v>
      </c>
      <c r="C540" s="16">
        <f>MONTH(Tabela32[[#This Row],[Data]])</f>
        <v>10</v>
      </c>
      <c r="D540" s="4" t="s">
        <v>31</v>
      </c>
      <c r="E540" s="4">
        <v>3</v>
      </c>
      <c r="F540" s="4" t="str">
        <f>IFERROR(VLOOKUP(Tabela32[[#This Row],[Placa]],Planilha2!$A$1:$B$12,2,0),"")</f>
        <v>Jerson</v>
      </c>
      <c r="G540" s="10">
        <v>13122.86</v>
      </c>
      <c r="H540" s="10">
        <v>207843.31</v>
      </c>
      <c r="I540" s="4">
        <v>384</v>
      </c>
      <c r="J540" s="17">
        <f>IFERROR(Tabela32[[#This Row],[Valor Frete]]/Tabela32[[#This Row],[Valor Mercadoria]],"")</f>
        <v>6.3138236203031994E-2</v>
      </c>
      <c r="K540" s="11">
        <v>0.2951388888888889</v>
      </c>
      <c r="L540" s="15">
        <v>0.77083333333333337</v>
      </c>
      <c r="M540" s="15">
        <f>Tabela32[[#This Row],[Hr Chegada]]-Tabela32[[#This Row],[Hr Saida]]</f>
        <v>0.47569444444444448</v>
      </c>
      <c r="N540" s="4">
        <v>282092</v>
      </c>
      <c r="O540" s="4">
        <v>282155</v>
      </c>
      <c r="P540" s="4">
        <f>Tabela32[[#This Row],[Km Chegada]]-Tabela32[[#This Row],[Km Saída]]</f>
        <v>63</v>
      </c>
      <c r="Q540" s="4">
        <v>384</v>
      </c>
      <c r="R540" s="4">
        <v>23</v>
      </c>
      <c r="S540" s="4">
        <v>23</v>
      </c>
      <c r="T540" s="12">
        <f>Tabela32[[#This Row],[Entregas]]-Tabela32[[#This Row],[Realizadas]]</f>
        <v>0</v>
      </c>
      <c r="U540" s="18">
        <f>Tabela32[[#This Row],[Realizadas]]/Tabela32[[#This Row],[Entregas]]</f>
        <v>1</v>
      </c>
      <c r="V540" s="19" t="str">
        <f>IF(Tabela32[[#This Row],[% Entrega]]&gt;=96%,"Atendeu a Meta","Não Atendeu a Meta")</f>
        <v>Atendeu a Meta</v>
      </c>
      <c r="W540" s="4" t="s">
        <v>39</v>
      </c>
      <c r="X540" s="4">
        <v>0</v>
      </c>
      <c r="Y540" s="5">
        <v>38.380000000000003</v>
      </c>
    </row>
    <row r="541" spans="1:25" x14ac:dyDescent="0.25">
      <c r="A541" s="8">
        <v>46309</v>
      </c>
      <c r="B541" s="16">
        <f>YEAR(Tabela32[[#This Row],[Data]])</f>
        <v>2026</v>
      </c>
      <c r="C541" s="16">
        <f>MONTH(Tabela32[[#This Row],[Data]])</f>
        <v>10</v>
      </c>
      <c r="D541" s="4" t="s">
        <v>23</v>
      </c>
      <c r="E541" s="4">
        <v>5</v>
      </c>
      <c r="F541" s="4" t="str">
        <f>IFERROR(VLOOKUP(Tabela32[[#This Row],[Placa]],Planilha2!$A$1:$B$12,2,0),"")</f>
        <v>William</v>
      </c>
      <c r="G541" s="10">
        <v>7959.01</v>
      </c>
      <c r="H541" s="10">
        <v>154841.13</v>
      </c>
      <c r="I541" s="4">
        <v>1358</v>
      </c>
      <c r="J541" s="17">
        <f>IFERROR(Tabela32[[#This Row],[Valor Frete]]/Tabela32[[#This Row],[Valor Mercadoria]],"")</f>
        <v>5.140113611932437E-2</v>
      </c>
      <c r="K541" s="11">
        <v>0.29166666666666669</v>
      </c>
      <c r="L541" s="15">
        <v>0.82777777777777772</v>
      </c>
      <c r="M541" s="15">
        <f>Tabela32[[#This Row],[Hr Chegada]]-Tabela32[[#This Row],[Hr Saida]]</f>
        <v>0.53611111111111098</v>
      </c>
      <c r="N541" s="4">
        <v>127015</v>
      </c>
      <c r="O541" s="4">
        <v>127114</v>
      </c>
      <c r="P541" s="4">
        <f>Tabela32[[#This Row],[Km Chegada]]-Tabela32[[#This Row],[Km Saída]]</f>
        <v>99</v>
      </c>
      <c r="Q541" s="4">
        <v>206</v>
      </c>
      <c r="R541" s="4">
        <v>33</v>
      </c>
      <c r="S541" s="4">
        <v>33</v>
      </c>
      <c r="T541" s="12">
        <f>Tabela32[[#This Row],[Entregas]]-Tabela32[[#This Row],[Realizadas]]</f>
        <v>0</v>
      </c>
      <c r="U541" s="18">
        <f>Tabela32[[#This Row],[Realizadas]]/Tabela32[[#This Row],[Entregas]]</f>
        <v>1</v>
      </c>
      <c r="V541" s="19" t="str">
        <f>IF(Tabela32[[#This Row],[% Entrega]]&gt;=96%,"Atendeu a Meta","Não Atendeu a Meta")</f>
        <v>Atendeu a Meta</v>
      </c>
      <c r="W541" s="4" t="s">
        <v>39</v>
      </c>
      <c r="X541" s="4">
        <v>0</v>
      </c>
      <c r="Y541" s="5">
        <v>0</v>
      </c>
    </row>
    <row r="542" spans="1:25" x14ac:dyDescent="0.25">
      <c r="A542" s="8">
        <v>46309</v>
      </c>
      <c r="B542" s="16">
        <f>YEAR(Tabela32[[#This Row],[Data]])</f>
        <v>2026</v>
      </c>
      <c r="C542" s="16">
        <f>MONTH(Tabela32[[#This Row],[Data]])</f>
        <v>10</v>
      </c>
      <c r="D542" s="4" t="s">
        <v>28</v>
      </c>
      <c r="E542" s="4">
        <v>11</v>
      </c>
      <c r="F542" s="4" t="str">
        <f>IFERROR(VLOOKUP(Tabela32[[#This Row],[Placa]],Planilha2!$A$1:$B$12,2,0),"")</f>
        <v>Edilson</v>
      </c>
      <c r="G542" s="10">
        <v>14890.94</v>
      </c>
      <c r="H542" s="10">
        <v>233814.87</v>
      </c>
      <c r="I542" s="4">
        <v>1742</v>
      </c>
      <c r="J542" s="17">
        <f>IFERROR(Tabela32[[#This Row],[Valor Frete]]/Tabela32[[#This Row],[Valor Mercadoria]],"")</f>
        <v>6.3686881848019336E-2</v>
      </c>
      <c r="K542" s="11">
        <v>0.27083333333333331</v>
      </c>
      <c r="L542" s="15">
        <v>0.75416666666666665</v>
      </c>
      <c r="M542" s="15">
        <f>Tabela32[[#This Row],[Hr Chegada]]-Tabela32[[#This Row],[Hr Saida]]</f>
        <v>0.48333333333333334</v>
      </c>
      <c r="N542" s="4">
        <v>107222</v>
      </c>
      <c r="O542" s="4">
        <v>107359</v>
      </c>
      <c r="P542" s="4">
        <f>Tabela32[[#This Row],[Km Chegada]]-Tabela32[[#This Row],[Km Saída]]</f>
        <v>137</v>
      </c>
      <c r="Q542" s="4">
        <v>263</v>
      </c>
      <c r="R542" s="4">
        <v>55</v>
      </c>
      <c r="S542" s="4">
        <v>55</v>
      </c>
      <c r="T542" s="12">
        <f>Tabela32[[#This Row],[Entregas]]-Tabela32[[#This Row],[Realizadas]]</f>
        <v>0</v>
      </c>
      <c r="U542" s="18">
        <f>Tabela32[[#This Row],[Realizadas]]/Tabela32[[#This Row],[Entregas]]</f>
        <v>1</v>
      </c>
      <c r="V542" s="19" t="str">
        <f>IF(Tabela32[[#This Row],[% Entrega]]&gt;=96%,"Atendeu a Meta","Não Atendeu a Meta")</f>
        <v>Atendeu a Meta</v>
      </c>
      <c r="W542" s="4" t="s">
        <v>41</v>
      </c>
      <c r="X542" s="4">
        <v>0</v>
      </c>
      <c r="Y542" s="5">
        <v>0</v>
      </c>
    </row>
    <row r="543" spans="1:25" x14ac:dyDescent="0.25">
      <c r="A543" s="8">
        <v>46309</v>
      </c>
      <c r="B543" s="16">
        <f>YEAR(Tabela32[[#This Row],[Data]])</f>
        <v>2026</v>
      </c>
      <c r="C543" s="16">
        <f>MONTH(Tabela32[[#This Row],[Data]])</f>
        <v>10</v>
      </c>
      <c r="D543" s="4" t="s">
        <v>53</v>
      </c>
      <c r="E543" s="4">
        <v>1</v>
      </c>
      <c r="F543" s="4" t="str">
        <f>IFERROR(VLOOKUP(Tabela32[[#This Row],[Placa]],Planilha2!$A$1:$B$12,2,0),"")</f>
        <v>Arnaldo</v>
      </c>
      <c r="G543" s="10">
        <v>6968.18</v>
      </c>
      <c r="H543" s="10">
        <v>127048</v>
      </c>
      <c r="I543" s="4">
        <v>1036</v>
      </c>
      <c r="J543" s="17">
        <f>IFERROR(Tabela32[[#This Row],[Valor Frete]]/Tabela32[[#This Row],[Valor Mercadoria]],"")</f>
        <v>5.4846829544738997E-2</v>
      </c>
      <c r="K543" s="11">
        <v>0.31805555555555554</v>
      </c>
      <c r="L543" s="15">
        <v>0.77569444444444446</v>
      </c>
      <c r="M543" s="15">
        <f>Tabela32[[#This Row],[Hr Chegada]]-Tabela32[[#This Row],[Hr Saida]]</f>
        <v>0.45763888888888893</v>
      </c>
      <c r="N543" s="4">
        <v>14836</v>
      </c>
      <c r="O543" s="4">
        <v>14887</v>
      </c>
      <c r="P543" s="4">
        <f>Tabela32[[#This Row],[Km Chegada]]-Tabela32[[#This Row],[Km Saída]]</f>
        <v>51</v>
      </c>
      <c r="Q543" s="4">
        <v>128</v>
      </c>
      <c r="R543" s="4">
        <v>20</v>
      </c>
      <c r="S543" s="4">
        <v>20</v>
      </c>
      <c r="T543" s="12">
        <f>Tabela32[[#This Row],[Entregas]]-Tabela32[[#This Row],[Realizadas]]</f>
        <v>0</v>
      </c>
      <c r="U543" s="18">
        <f>Tabela32[[#This Row],[Realizadas]]/Tabela32[[#This Row],[Entregas]]</f>
        <v>1</v>
      </c>
      <c r="V543" s="19" t="str">
        <f>IF(Tabela32[[#This Row],[% Entrega]]&gt;=96%,"Atendeu a Meta","Não Atendeu a Meta")</f>
        <v>Atendeu a Meta</v>
      </c>
      <c r="W543" s="4" t="s">
        <v>43</v>
      </c>
      <c r="X543" s="4">
        <v>0</v>
      </c>
      <c r="Y543" s="5">
        <v>0</v>
      </c>
    </row>
    <row r="544" spans="1:25" x14ac:dyDescent="0.25">
      <c r="A544" s="8">
        <v>46309</v>
      </c>
      <c r="B544" s="16">
        <f>YEAR(Tabela32[[#This Row],[Data]])</f>
        <v>2026</v>
      </c>
      <c r="C544" s="16">
        <f>MONTH(Tabela32[[#This Row],[Data]])</f>
        <v>10</v>
      </c>
      <c r="D544" s="4" t="s">
        <v>25</v>
      </c>
      <c r="E544" s="4">
        <v>5</v>
      </c>
      <c r="F544" s="4" t="str">
        <f>IFERROR(VLOOKUP(Tabela32[[#This Row],[Placa]],Planilha2!$A$1:$B$12,2,0),"")</f>
        <v>Gilberto</v>
      </c>
      <c r="G544" s="10">
        <v>6502.31</v>
      </c>
      <c r="H544" s="10">
        <v>265619.03000000003</v>
      </c>
      <c r="I544" s="4">
        <v>1193</v>
      </c>
      <c r="J544" s="17">
        <f>IFERROR(Tabela32[[#This Row],[Valor Frete]]/Tabela32[[#This Row],[Valor Mercadoria]],"")</f>
        <v>2.447983489737162E-2</v>
      </c>
      <c r="K544" s="11">
        <v>0.33333333333333331</v>
      </c>
      <c r="L544" s="15">
        <v>0.74305555555555558</v>
      </c>
      <c r="M544" s="15">
        <f>Tabela32[[#This Row],[Hr Chegada]]-Tabela32[[#This Row],[Hr Saida]]</f>
        <v>0.40972222222222227</v>
      </c>
      <c r="N544" s="4">
        <v>120995</v>
      </c>
      <c r="O544" s="4">
        <v>121026</v>
      </c>
      <c r="P544" s="4">
        <f>Tabela32[[#This Row],[Km Chegada]]-Tabela32[[#This Row],[Km Saída]]</f>
        <v>31</v>
      </c>
      <c r="Q544" s="4">
        <v>90</v>
      </c>
      <c r="R544" s="4">
        <v>6</v>
      </c>
      <c r="S544" s="4">
        <v>6</v>
      </c>
      <c r="T544" s="12">
        <f>Tabela32[[#This Row],[Entregas]]-Tabela32[[#This Row],[Realizadas]]</f>
        <v>0</v>
      </c>
      <c r="U544" s="18">
        <f>Tabela32[[#This Row],[Realizadas]]/Tabela32[[#This Row],[Entregas]]</f>
        <v>1</v>
      </c>
      <c r="V544" s="19" t="str">
        <f>IF(Tabela32[[#This Row],[% Entrega]]&gt;=96%,"Atendeu a Meta","Não Atendeu a Meta")</f>
        <v>Atendeu a Meta</v>
      </c>
      <c r="W544" s="4" t="s">
        <v>39</v>
      </c>
      <c r="X544" s="4">
        <v>0</v>
      </c>
      <c r="Y544" s="5">
        <v>0</v>
      </c>
    </row>
    <row r="545" spans="1:25" x14ac:dyDescent="0.25">
      <c r="A545" s="8">
        <v>46309</v>
      </c>
      <c r="B545" s="16">
        <f>YEAR(Tabela32[[#This Row],[Data]])</f>
        <v>2026</v>
      </c>
      <c r="C545" s="16">
        <f>MONTH(Tabela32[[#This Row],[Data]])</f>
        <v>10</v>
      </c>
      <c r="D545" s="4" t="s">
        <v>22</v>
      </c>
      <c r="E545" s="4">
        <v>1</v>
      </c>
      <c r="F545" s="4" t="str">
        <f>IFERROR(VLOOKUP(Tabela32[[#This Row],[Placa]],Planilha2!$A$1:$B$12,2,0),"")</f>
        <v>Juscelino</v>
      </c>
      <c r="G545" s="10">
        <v>3867.98</v>
      </c>
      <c r="H545" s="10">
        <v>64157.66</v>
      </c>
      <c r="I545" s="4">
        <v>614</v>
      </c>
      <c r="J545" s="17">
        <f>IFERROR(Tabela32[[#This Row],[Valor Frete]]/Tabela32[[#This Row],[Valor Mercadoria]],"")</f>
        <v>6.0288670129178649E-2</v>
      </c>
      <c r="K545" s="11">
        <v>0.3125</v>
      </c>
      <c r="L545" s="15">
        <v>0.78263888888888888</v>
      </c>
      <c r="M545" s="15">
        <f>Tabela32[[#This Row],[Hr Chegada]]-Tabela32[[#This Row],[Hr Saida]]</f>
        <v>0.47013888888888888</v>
      </c>
      <c r="N545" s="4">
        <v>306371</v>
      </c>
      <c r="O545" s="4">
        <v>306473</v>
      </c>
      <c r="P545" s="4">
        <f>Tabela32[[#This Row],[Km Chegada]]-Tabela32[[#This Row],[Km Saída]]</f>
        <v>102</v>
      </c>
      <c r="Q545" s="4">
        <v>68</v>
      </c>
      <c r="R545" s="4">
        <v>11</v>
      </c>
      <c r="S545" s="4">
        <v>11</v>
      </c>
      <c r="T545" s="12">
        <f>Tabela32[[#This Row],[Entregas]]-Tabela32[[#This Row],[Realizadas]]</f>
        <v>0</v>
      </c>
      <c r="U545" s="18">
        <f>Tabela32[[#This Row],[Realizadas]]/Tabela32[[#This Row],[Entregas]]</f>
        <v>1</v>
      </c>
      <c r="V545" s="19" t="str">
        <f>IF(Tabela32[[#This Row],[% Entrega]]&gt;=96%,"Atendeu a Meta","Não Atendeu a Meta")</f>
        <v>Atendeu a Meta</v>
      </c>
      <c r="W545" s="4" t="s">
        <v>43</v>
      </c>
      <c r="X545" s="4">
        <v>0</v>
      </c>
      <c r="Y545" s="5">
        <v>0</v>
      </c>
    </row>
    <row r="546" spans="1:25" x14ac:dyDescent="0.25">
      <c r="A546" s="8">
        <v>46309</v>
      </c>
      <c r="B546" s="16">
        <f>YEAR(Tabela32[[#This Row],[Data]])</f>
        <v>2026</v>
      </c>
      <c r="C546" s="16">
        <f>MONTH(Tabela32[[#This Row],[Data]])</f>
        <v>10</v>
      </c>
      <c r="D546" s="4" t="s">
        <v>27</v>
      </c>
      <c r="E546" s="4">
        <v>1</v>
      </c>
      <c r="F546" s="4" t="str">
        <f>IFERROR(VLOOKUP(Tabela32[[#This Row],[Placa]],Planilha2!$A$1:$B$12,2,0),"")</f>
        <v>Rosinaldo</v>
      </c>
      <c r="G546" s="10">
        <v>4424.1499999999996</v>
      </c>
      <c r="H546" s="10">
        <v>63867.06</v>
      </c>
      <c r="I546" s="4">
        <v>1147</v>
      </c>
      <c r="J546" s="17">
        <f>IFERROR(Tabela32[[#This Row],[Valor Frete]]/Tabela32[[#This Row],[Valor Mercadoria]],"")</f>
        <v>6.9271233089483061E-2</v>
      </c>
      <c r="K546" s="11">
        <v>0.3125</v>
      </c>
      <c r="L546" s="15">
        <v>0.70138888888888884</v>
      </c>
      <c r="M546" s="15">
        <f>Tabela32[[#This Row],[Hr Chegada]]-Tabela32[[#This Row],[Hr Saida]]</f>
        <v>0.38888888888888884</v>
      </c>
      <c r="N546" s="4">
        <v>292552</v>
      </c>
      <c r="O546" s="4">
        <v>292587</v>
      </c>
      <c r="P546" s="4">
        <f>Tabela32[[#This Row],[Km Chegada]]-Tabela32[[#This Row],[Km Saída]]</f>
        <v>35</v>
      </c>
      <c r="Q546" s="4">
        <v>132</v>
      </c>
      <c r="R546" s="4">
        <v>13</v>
      </c>
      <c r="S546" s="4">
        <v>13</v>
      </c>
      <c r="T546" s="12">
        <f>Tabela32[[#This Row],[Entregas]]-Tabela32[[#This Row],[Realizadas]]</f>
        <v>0</v>
      </c>
      <c r="U546" s="18">
        <f>Tabela32[[#This Row],[Realizadas]]/Tabela32[[#This Row],[Entregas]]</f>
        <v>1</v>
      </c>
      <c r="V546" s="19" t="str">
        <f>IF(Tabela32[[#This Row],[% Entrega]]&gt;=96%,"Atendeu a Meta","Não Atendeu a Meta")</f>
        <v>Atendeu a Meta</v>
      </c>
      <c r="W546" s="4" t="s">
        <v>43</v>
      </c>
      <c r="X546" s="4">
        <v>0</v>
      </c>
      <c r="Y546" s="5">
        <v>0</v>
      </c>
    </row>
    <row r="547" spans="1:25" x14ac:dyDescent="0.25">
      <c r="A547" s="8">
        <v>46310</v>
      </c>
      <c r="B547" s="16">
        <f>YEAR(Tabela32[[#This Row],[Data]])</f>
        <v>2026</v>
      </c>
      <c r="C547" s="16">
        <f>MONTH(Tabela32[[#This Row],[Data]])</f>
        <v>10</v>
      </c>
      <c r="D547" s="4" t="s">
        <v>33</v>
      </c>
      <c r="E547" s="4">
        <v>1</v>
      </c>
      <c r="F547" s="4" t="str">
        <f>IFERROR(VLOOKUP(Tabela32[[#This Row],[Placa]],Planilha2!$A$1:$B$12,2,0),"")</f>
        <v>Paulo</v>
      </c>
      <c r="G547" s="10">
        <v>3401.16</v>
      </c>
      <c r="H547" s="10">
        <v>57085.32</v>
      </c>
      <c r="I547" s="4">
        <v>463</v>
      </c>
      <c r="J547" s="17">
        <f>IFERROR(Tabela32[[#This Row],[Valor Frete]]/Tabela32[[#This Row],[Valor Mercadoria]],"")</f>
        <v>5.9580291395406035E-2</v>
      </c>
      <c r="K547" s="11">
        <v>0.3125</v>
      </c>
      <c r="L547" s="15">
        <v>0.76666666666666672</v>
      </c>
      <c r="M547" s="15">
        <f>Tabela32[[#This Row],[Hr Chegada]]-Tabela32[[#This Row],[Hr Saida]]</f>
        <v>0.45416666666666672</v>
      </c>
      <c r="N547" s="4">
        <v>157271</v>
      </c>
      <c r="O547" s="4">
        <v>157454</v>
      </c>
      <c r="P547" s="4">
        <f>Tabela32[[#This Row],[Km Chegada]]-Tabela32[[#This Row],[Km Saída]]</f>
        <v>183</v>
      </c>
      <c r="Q547" s="4">
        <v>76</v>
      </c>
      <c r="R547" s="4">
        <v>13</v>
      </c>
      <c r="S547" s="4">
        <v>13</v>
      </c>
      <c r="T547" s="12">
        <f>Tabela32[[#This Row],[Entregas]]-Tabela32[[#This Row],[Realizadas]]</f>
        <v>0</v>
      </c>
      <c r="U547" s="18">
        <f>Tabela32[[#This Row],[Realizadas]]/Tabela32[[#This Row],[Entregas]]</f>
        <v>1</v>
      </c>
      <c r="V547" s="19" t="str">
        <f>IF(Tabela32[[#This Row],[% Entrega]]&gt;=96%,"Atendeu a Meta","Não Atendeu a Meta")</f>
        <v>Atendeu a Meta</v>
      </c>
      <c r="W547" s="4" t="s">
        <v>40</v>
      </c>
      <c r="X547" s="4">
        <v>0</v>
      </c>
      <c r="Y547" s="5">
        <v>0</v>
      </c>
    </row>
    <row r="548" spans="1:25" x14ac:dyDescent="0.25">
      <c r="A548" s="8">
        <v>46310</v>
      </c>
      <c r="B548" s="16">
        <f>YEAR(Tabela32[[#This Row],[Data]])</f>
        <v>2026</v>
      </c>
      <c r="C548" s="16">
        <f>MONTH(Tabela32[[#This Row],[Data]])</f>
        <v>10</v>
      </c>
      <c r="D548" s="4" t="s">
        <v>29</v>
      </c>
      <c r="E548" s="4">
        <v>1</v>
      </c>
      <c r="F548" s="4" t="str">
        <f>IFERROR(VLOOKUP(Tabela32[[#This Row],[Placa]],Planilha2!$A$1:$B$12,2,0),"")</f>
        <v>Sandro</v>
      </c>
      <c r="G548" s="10">
        <v>5719.08</v>
      </c>
      <c r="H548" s="10">
        <v>171535.65</v>
      </c>
      <c r="I548" s="4">
        <v>1197</v>
      </c>
      <c r="J548" s="17">
        <f>IFERROR(Tabela32[[#This Row],[Valor Frete]]/Tabela32[[#This Row],[Valor Mercadoria]],"")</f>
        <v>3.3340474705986771E-2</v>
      </c>
      <c r="K548" s="11">
        <v>0.29166666666666669</v>
      </c>
      <c r="L548" s="15">
        <v>0.69791666666666663</v>
      </c>
      <c r="M548" s="15">
        <f>Tabela32[[#This Row],[Hr Chegada]]-Tabela32[[#This Row],[Hr Saida]]</f>
        <v>0.40624999999999994</v>
      </c>
      <c r="N548" s="4">
        <v>277016</v>
      </c>
      <c r="O548" s="4">
        <v>277067</v>
      </c>
      <c r="P548" s="4">
        <f>Tabela32[[#This Row],[Km Chegada]]-Tabela32[[#This Row],[Km Saída]]</f>
        <v>51</v>
      </c>
      <c r="Q548" s="4">
        <v>2</v>
      </c>
      <c r="R548" s="4">
        <v>1</v>
      </c>
      <c r="S548" s="4">
        <v>1</v>
      </c>
      <c r="T548" s="12">
        <f>Tabela32[[#This Row],[Entregas]]-Tabela32[[#This Row],[Realizadas]]</f>
        <v>0</v>
      </c>
      <c r="U548" s="18">
        <f>Tabela32[[#This Row],[Realizadas]]/Tabela32[[#This Row],[Entregas]]</f>
        <v>1</v>
      </c>
      <c r="V548" s="19" t="str">
        <f>IF(Tabela32[[#This Row],[% Entrega]]&gt;=96%,"Atendeu a Meta","Não Atendeu a Meta")</f>
        <v>Atendeu a Meta</v>
      </c>
      <c r="W548" s="4" t="s">
        <v>40</v>
      </c>
      <c r="X548" s="4">
        <v>0</v>
      </c>
      <c r="Y548" s="5">
        <v>0</v>
      </c>
    </row>
    <row r="549" spans="1:25" x14ac:dyDescent="0.25">
      <c r="A549" s="8">
        <v>46310</v>
      </c>
      <c r="B549" s="16">
        <f>YEAR(Tabela32[[#This Row],[Data]])</f>
        <v>2026</v>
      </c>
      <c r="C549" s="16">
        <f>MONTH(Tabela32[[#This Row],[Data]])</f>
        <v>10</v>
      </c>
      <c r="D549" s="4" t="s">
        <v>33</v>
      </c>
      <c r="E549" s="4">
        <v>1</v>
      </c>
      <c r="F549" s="4" t="str">
        <f>IFERROR(VLOOKUP(Tabela32[[#This Row],[Placa]],Planilha2!$A$1:$B$12,2,0),"")</f>
        <v>Paulo</v>
      </c>
      <c r="G549" s="10">
        <v>544.91</v>
      </c>
      <c r="H549" s="10">
        <v>21965.86</v>
      </c>
      <c r="I549" s="4">
        <v>55</v>
      </c>
      <c r="J549" s="17">
        <f>IFERROR(Tabela32[[#This Row],[Valor Frete]]/Tabela32[[#This Row],[Valor Mercadoria]],"")</f>
        <v>2.480713252292421E-2</v>
      </c>
      <c r="K549" s="11">
        <v>0.66249999999999998</v>
      </c>
      <c r="L549" s="15">
        <v>0.76666666666666672</v>
      </c>
      <c r="M549" s="15">
        <f>Tabela32[[#This Row],[Hr Chegada]]-Tabela32[[#This Row],[Hr Saida]]</f>
        <v>0.10416666666666674</v>
      </c>
      <c r="N549" s="4">
        <v>157454</v>
      </c>
      <c r="O549" s="4">
        <v>157483</v>
      </c>
      <c r="P549" s="4">
        <f>Tabela32[[#This Row],[Km Chegada]]-Tabela32[[#This Row],[Km Saída]]</f>
        <v>29</v>
      </c>
      <c r="Q549" s="4">
        <v>16</v>
      </c>
      <c r="R549" s="4">
        <v>2</v>
      </c>
      <c r="S549" s="4">
        <v>2</v>
      </c>
      <c r="T549" s="12">
        <f>Tabela32[[#This Row],[Entregas]]-Tabela32[[#This Row],[Realizadas]]</f>
        <v>0</v>
      </c>
      <c r="U549" s="18">
        <f>Tabela32[[#This Row],[Realizadas]]/Tabela32[[#This Row],[Entregas]]</f>
        <v>1</v>
      </c>
      <c r="V549" s="19" t="str">
        <f>IF(Tabela32[[#This Row],[% Entrega]]&gt;=96%,"Atendeu a Meta","Não Atendeu a Meta")</f>
        <v>Atendeu a Meta</v>
      </c>
      <c r="W549" s="4" t="s">
        <v>43</v>
      </c>
      <c r="X549" s="4">
        <v>0</v>
      </c>
      <c r="Y549" s="5">
        <v>0</v>
      </c>
    </row>
    <row r="550" spans="1:25" x14ac:dyDescent="0.25">
      <c r="A550" s="8">
        <v>46310</v>
      </c>
      <c r="B550" s="16">
        <f>YEAR(Tabela32[[#This Row],[Data]])</f>
        <v>2026</v>
      </c>
      <c r="C550" s="16">
        <f>MONTH(Tabela32[[#This Row],[Data]])</f>
        <v>10</v>
      </c>
      <c r="D550" s="4" t="s">
        <v>96</v>
      </c>
      <c r="E550" s="4">
        <v>1</v>
      </c>
      <c r="F550" s="4" t="str">
        <f>IFERROR(VLOOKUP(Tabela32[[#This Row],[Placa]],Planilha2!$A$1:$B$12,2,0),"")</f>
        <v>Manoel</v>
      </c>
      <c r="G550" s="10">
        <v>312.38</v>
      </c>
      <c r="H550" s="10">
        <v>3803.2</v>
      </c>
      <c r="I550" s="4">
        <v>30</v>
      </c>
      <c r="J550" s="17">
        <f>IFERROR(Tabela32[[#This Row],[Valor Frete]]/Tabela32[[#This Row],[Valor Mercadoria]],"")</f>
        <v>8.2136095919225924E-2</v>
      </c>
      <c r="K550" s="11">
        <v>0.31944444444444442</v>
      </c>
      <c r="L550" s="15">
        <v>0.45833333333333331</v>
      </c>
      <c r="M550" s="15">
        <f>Tabela32[[#This Row],[Hr Chegada]]-Tabela32[[#This Row],[Hr Saida]]</f>
        <v>0.1388888888888889</v>
      </c>
      <c r="N550" s="4">
        <v>60148</v>
      </c>
      <c r="O550" s="4">
        <v>60192</v>
      </c>
      <c r="P550" s="4">
        <f>Tabela32[[#This Row],[Km Chegada]]-Tabela32[[#This Row],[Km Saída]]</f>
        <v>44</v>
      </c>
      <c r="Q550" s="4">
        <v>1</v>
      </c>
      <c r="R550" s="4">
        <v>1</v>
      </c>
      <c r="S550" s="4">
        <v>1</v>
      </c>
      <c r="T550" s="12">
        <f>Tabela32[[#This Row],[Entregas]]-Tabela32[[#This Row],[Realizadas]]</f>
        <v>0</v>
      </c>
      <c r="U550" s="18">
        <f>Tabela32[[#This Row],[Realizadas]]/Tabela32[[#This Row],[Entregas]]</f>
        <v>1</v>
      </c>
      <c r="V550" s="19" t="str">
        <f>IF(Tabela32[[#This Row],[% Entrega]]&gt;=96%,"Atendeu a Meta","Não Atendeu a Meta")</f>
        <v>Atendeu a Meta</v>
      </c>
      <c r="W550" s="4" t="s">
        <v>40</v>
      </c>
      <c r="X550" s="4">
        <v>0</v>
      </c>
      <c r="Y550" s="5">
        <v>0</v>
      </c>
    </row>
    <row r="551" spans="1:25" x14ac:dyDescent="0.25">
      <c r="A551" s="8">
        <v>46310</v>
      </c>
      <c r="B551" s="16">
        <f>YEAR(Tabela32[[#This Row],[Data]])</f>
        <v>2026</v>
      </c>
      <c r="C551" s="16">
        <f>MONTH(Tabela32[[#This Row],[Data]])</f>
        <v>10</v>
      </c>
      <c r="D551" s="4" t="s">
        <v>96</v>
      </c>
      <c r="E551" s="4">
        <v>3</v>
      </c>
      <c r="F551" s="4" t="str">
        <f>IFERROR(VLOOKUP(Tabela32[[#This Row],[Placa]],Planilha2!$A$1:$B$12,2,0),"")</f>
        <v>Manoel</v>
      </c>
      <c r="G551" s="10">
        <v>554.45000000000005</v>
      </c>
      <c r="H551" s="10">
        <v>11397.52</v>
      </c>
      <c r="I551" s="4">
        <v>103</v>
      </c>
      <c r="J551" s="17">
        <f>IFERROR(Tabela32[[#This Row],[Valor Frete]]/Tabela32[[#This Row],[Valor Mercadoria]],"")</f>
        <v>4.8646547670019448E-2</v>
      </c>
      <c r="K551" s="11">
        <v>0.5625</v>
      </c>
      <c r="L551" s="15">
        <v>0.72152777777777777</v>
      </c>
      <c r="M551" s="15">
        <f>Tabela32[[#This Row],[Hr Chegada]]-Tabela32[[#This Row],[Hr Saida]]</f>
        <v>0.15902777777777777</v>
      </c>
      <c r="N551" s="4">
        <v>60192</v>
      </c>
      <c r="O551" s="4">
        <v>60207</v>
      </c>
      <c r="P551" s="4">
        <f>Tabela32[[#This Row],[Km Chegada]]-Tabela32[[#This Row],[Km Saída]]</f>
        <v>15</v>
      </c>
      <c r="Q551" s="4">
        <v>22</v>
      </c>
      <c r="R551" s="4">
        <v>2</v>
      </c>
      <c r="S551" s="4">
        <v>2</v>
      </c>
      <c r="T551" s="12">
        <f>Tabela32[[#This Row],[Entregas]]-Tabela32[[#This Row],[Realizadas]]</f>
        <v>0</v>
      </c>
      <c r="U551" s="18">
        <f>Tabela32[[#This Row],[Realizadas]]/Tabela32[[#This Row],[Entregas]]</f>
        <v>1</v>
      </c>
      <c r="V551" s="19" t="str">
        <f>IF(Tabela32[[#This Row],[% Entrega]]&gt;=96%,"Atendeu a Meta","Não Atendeu a Meta")</f>
        <v>Atendeu a Meta</v>
      </c>
      <c r="W551" s="4" t="s">
        <v>39</v>
      </c>
      <c r="X551" s="4">
        <v>0</v>
      </c>
      <c r="Y551" s="5">
        <v>0</v>
      </c>
    </row>
    <row r="552" spans="1:25" x14ac:dyDescent="0.25">
      <c r="A552" s="8">
        <v>46310</v>
      </c>
      <c r="B552" s="16">
        <f>YEAR(Tabela32[[#This Row],[Data]])</f>
        <v>2026</v>
      </c>
      <c r="C552" s="16">
        <f>MONTH(Tabela32[[#This Row],[Data]])</f>
        <v>10</v>
      </c>
      <c r="D552" s="4" t="s">
        <v>35</v>
      </c>
      <c r="E552" s="4">
        <v>2</v>
      </c>
      <c r="F552" s="4" t="str">
        <f>IFERROR(VLOOKUP(Tabela32[[#This Row],[Placa]],Planilha2!$A$1:$B$12,2,0),"")</f>
        <v>Osvaldo</v>
      </c>
      <c r="G552" s="10">
        <v>12671.38</v>
      </c>
      <c r="H552" s="10">
        <v>232058.53</v>
      </c>
      <c r="I552" s="4">
        <v>1736</v>
      </c>
      <c r="J552" s="17">
        <f>IFERROR(Tabela32[[#This Row],[Valor Frete]]/Tabela32[[#This Row],[Valor Mercadoria]],"")</f>
        <v>5.4604241438571552E-2</v>
      </c>
      <c r="K552" s="11">
        <v>0.27083333333333331</v>
      </c>
      <c r="L552" s="15">
        <v>0.71597222222222223</v>
      </c>
      <c r="M552" s="15">
        <f>Tabela32[[#This Row],[Hr Chegada]]-Tabela32[[#This Row],[Hr Saida]]</f>
        <v>0.44513888888888892</v>
      </c>
      <c r="N552" s="4">
        <v>144928</v>
      </c>
      <c r="O552" s="4">
        <v>144998</v>
      </c>
      <c r="P552" s="4">
        <f>Tabela32[[#This Row],[Km Chegada]]-Tabela32[[#This Row],[Km Saída]]</f>
        <v>70</v>
      </c>
      <c r="Q552" s="4">
        <v>309</v>
      </c>
      <c r="R552" s="4">
        <v>47</v>
      </c>
      <c r="S552" s="4">
        <v>47</v>
      </c>
      <c r="T552" s="12">
        <f>Tabela32[[#This Row],[Entregas]]-Tabela32[[#This Row],[Realizadas]]</f>
        <v>0</v>
      </c>
      <c r="U552" s="18">
        <f>Tabela32[[#This Row],[Realizadas]]/Tabela32[[#This Row],[Entregas]]</f>
        <v>1</v>
      </c>
      <c r="V552" s="19" t="str">
        <f>IF(Tabela32[[#This Row],[% Entrega]]&gt;=96%,"Atendeu a Meta","Não Atendeu a Meta")</f>
        <v>Atendeu a Meta</v>
      </c>
      <c r="W552" s="4" t="s">
        <v>39</v>
      </c>
      <c r="X552" s="4">
        <v>0</v>
      </c>
      <c r="Y552" s="5">
        <v>0</v>
      </c>
    </row>
    <row r="553" spans="1:25" x14ac:dyDescent="0.25">
      <c r="A553" s="8">
        <v>46310</v>
      </c>
      <c r="B553" s="16">
        <f>YEAR(Tabela32[[#This Row],[Data]])</f>
        <v>2026</v>
      </c>
      <c r="C553" s="16">
        <f>MONTH(Tabela32[[#This Row],[Data]])</f>
        <v>10</v>
      </c>
      <c r="D553" s="4" t="s">
        <v>31</v>
      </c>
      <c r="E553" s="4">
        <v>3</v>
      </c>
      <c r="F553" s="4" t="str">
        <f>IFERROR(VLOOKUP(Tabela32[[#This Row],[Placa]],Planilha2!$A$1:$B$12,2,0),"")</f>
        <v>Jerson</v>
      </c>
      <c r="G553" s="10">
        <v>11255.22</v>
      </c>
      <c r="H553" s="10">
        <v>144639.26</v>
      </c>
      <c r="I553" s="4">
        <v>1186</v>
      </c>
      <c r="J553" s="17">
        <f>IFERROR(Tabela32[[#This Row],[Valor Frete]]/Tabela32[[#This Row],[Valor Mercadoria]],"")</f>
        <v>7.7815801878411153E-2</v>
      </c>
      <c r="K553" s="11">
        <v>0.3</v>
      </c>
      <c r="L553" s="15">
        <v>0.74236111111111114</v>
      </c>
      <c r="M553" s="15">
        <f>Tabela32[[#This Row],[Hr Chegada]]-Tabela32[[#This Row],[Hr Saida]]</f>
        <v>0.44236111111111115</v>
      </c>
      <c r="N553" s="4">
        <v>282155</v>
      </c>
      <c r="O553" s="4">
        <v>282196</v>
      </c>
      <c r="P553" s="4">
        <f>Tabela32[[#This Row],[Km Chegada]]-Tabela32[[#This Row],[Km Saída]]</f>
        <v>41</v>
      </c>
      <c r="Q553" s="4">
        <v>162</v>
      </c>
      <c r="R553" s="4">
        <v>42</v>
      </c>
      <c r="S553" s="4">
        <v>42</v>
      </c>
      <c r="T553" s="12">
        <f>Tabela32[[#This Row],[Entregas]]-Tabela32[[#This Row],[Realizadas]]</f>
        <v>0</v>
      </c>
      <c r="U553" s="18">
        <f>Tabela32[[#This Row],[Realizadas]]/Tabela32[[#This Row],[Entregas]]</f>
        <v>1</v>
      </c>
      <c r="V553" s="19" t="str">
        <f>IF(Tabela32[[#This Row],[% Entrega]]&gt;=96%,"Atendeu a Meta","Não Atendeu a Meta")</f>
        <v>Atendeu a Meta</v>
      </c>
      <c r="W553" s="4" t="s">
        <v>39</v>
      </c>
      <c r="X553" s="4">
        <v>0</v>
      </c>
      <c r="Y553" s="5" t="s">
        <v>101</v>
      </c>
    </row>
    <row r="554" spans="1:25" x14ac:dyDescent="0.25">
      <c r="A554" s="8">
        <v>46310</v>
      </c>
      <c r="B554" s="16">
        <f>YEAR(Tabela32[[#This Row],[Data]])</f>
        <v>2026</v>
      </c>
      <c r="C554" s="16">
        <f>MONTH(Tabela32[[#This Row],[Data]])</f>
        <v>10</v>
      </c>
      <c r="D554" s="4" t="s">
        <v>23</v>
      </c>
      <c r="E554" s="4">
        <v>5</v>
      </c>
      <c r="F554" s="4" t="str">
        <f>IFERROR(VLOOKUP(Tabela32[[#This Row],[Placa]],Planilha2!$A$1:$B$12,2,0),"")</f>
        <v>William</v>
      </c>
      <c r="G554" s="10">
        <v>13722.62</v>
      </c>
      <c r="H554" s="10">
        <v>195984.25</v>
      </c>
      <c r="I554" s="4">
        <v>2983</v>
      </c>
      <c r="J554" s="17">
        <f>IFERROR(Tabela32[[#This Row],[Valor Frete]]/Tabela32[[#This Row],[Valor Mercadoria]],"")</f>
        <v>7.0018993873232169E-2</v>
      </c>
      <c r="K554" s="11">
        <v>0.29166666666666669</v>
      </c>
      <c r="L554" s="15">
        <v>0.82291666666666663</v>
      </c>
      <c r="M554" s="15">
        <f>Tabela32[[#This Row],[Hr Chegada]]-Tabela32[[#This Row],[Hr Saida]]</f>
        <v>0.53125</v>
      </c>
      <c r="N554" s="4">
        <v>127114</v>
      </c>
      <c r="O554" s="4">
        <v>127217</v>
      </c>
      <c r="P554" s="4">
        <f>Tabela32[[#This Row],[Km Chegada]]-Tabela32[[#This Row],[Km Saída]]</f>
        <v>103</v>
      </c>
      <c r="Q554" s="4">
        <v>349</v>
      </c>
      <c r="R554" s="4">
        <v>29</v>
      </c>
      <c r="S554" s="4">
        <v>23</v>
      </c>
      <c r="T554" s="12">
        <f>Tabela32[[#This Row],[Entregas]]-Tabela32[[#This Row],[Realizadas]]</f>
        <v>6</v>
      </c>
      <c r="U554" s="18">
        <f>Tabela32[[#This Row],[Realizadas]]/Tabela32[[#This Row],[Entregas]]</f>
        <v>0.7931034482758621</v>
      </c>
      <c r="V554" s="19" t="str">
        <f>IF(Tabela32[[#This Row],[% Entrega]]&gt;=96%,"Atendeu a Meta","Não Atendeu a Meta")</f>
        <v>Não Atendeu a Meta</v>
      </c>
      <c r="W554" s="4" t="s">
        <v>39</v>
      </c>
      <c r="X554" s="4">
        <v>6</v>
      </c>
      <c r="Y554" s="5" t="s">
        <v>99</v>
      </c>
    </row>
    <row r="555" spans="1:25" x14ac:dyDescent="0.25">
      <c r="A555" s="8">
        <v>46310</v>
      </c>
      <c r="B555" s="16">
        <f>YEAR(Tabela32[[#This Row],[Data]])</f>
        <v>2026</v>
      </c>
      <c r="C555" s="16">
        <f>MONTH(Tabela32[[#This Row],[Data]])</f>
        <v>10</v>
      </c>
      <c r="D555" s="4" t="s">
        <v>28</v>
      </c>
      <c r="E555" s="4">
        <v>5</v>
      </c>
      <c r="F555" s="4" t="str">
        <f>IFERROR(VLOOKUP(Tabela32[[#This Row],[Placa]],Planilha2!$A$1:$B$12,2,0),"")</f>
        <v>Edilson</v>
      </c>
      <c r="G555" s="10">
        <v>23400.09</v>
      </c>
      <c r="H555" s="10">
        <v>555992.39</v>
      </c>
      <c r="I555" s="4">
        <v>5385</v>
      </c>
      <c r="J555" s="17">
        <f>IFERROR(Tabela32[[#This Row],[Valor Frete]]/Tabela32[[#This Row],[Valor Mercadoria]],"")</f>
        <v>4.2087068853586283E-2</v>
      </c>
      <c r="K555" s="11">
        <v>0.27083333333333331</v>
      </c>
      <c r="L555" s="15">
        <v>0.69791666666666663</v>
      </c>
      <c r="M555" s="15">
        <f>Tabela32[[#This Row],[Hr Chegada]]-Tabela32[[#This Row],[Hr Saida]]</f>
        <v>0.42708333333333331</v>
      </c>
      <c r="N555" s="4">
        <v>107359</v>
      </c>
      <c r="O555" s="4">
        <v>107388</v>
      </c>
      <c r="P555" s="4">
        <f>Tabela32[[#This Row],[Km Chegada]]-Tabela32[[#This Row],[Km Saída]]</f>
        <v>29</v>
      </c>
      <c r="Q555" s="4">
        <v>544</v>
      </c>
      <c r="R555" s="4">
        <v>31</v>
      </c>
      <c r="S555" s="4">
        <v>31</v>
      </c>
      <c r="T555" s="12">
        <f>Tabela32[[#This Row],[Entregas]]-Tabela32[[#This Row],[Realizadas]]</f>
        <v>0</v>
      </c>
      <c r="U555" s="18">
        <f>Tabela32[[#This Row],[Realizadas]]/Tabela32[[#This Row],[Entregas]]</f>
        <v>1</v>
      </c>
      <c r="V555" s="19" t="str">
        <f>IF(Tabela32[[#This Row],[% Entrega]]&gt;=96%,"Atendeu a Meta","Não Atendeu a Meta")</f>
        <v>Atendeu a Meta</v>
      </c>
      <c r="W555" s="4" t="s">
        <v>39</v>
      </c>
      <c r="X555" s="4">
        <v>0</v>
      </c>
      <c r="Y555" s="5">
        <v>0</v>
      </c>
    </row>
    <row r="556" spans="1:25" x14ac:dyDescent="0.25">
      <c r="A556" s="8">
        <v>46310</v>
      </c>
      <c r="B556" s="16">
        <f>YEAR(Tabela32[[#This Row],[Data]])</f>
        <v>2026</v>
      </c>
      <c r="C556" s="16">
        <f>MONTH(Tabela32[[#This Row],[Data]])</f>
        <v>10</v>
      </c>
      <c r="D556" s="4" t="s">
        <v>25</v>
      </c>
      <c r="E556" s="4">
        <v>11</v>
      </c>
      <c r="F556" s="4" t="str">
        <f>IFERROR(VLOOKUP(Tabela32[[#This Row],[Placa]],Planilha2!$A$1:$B$12,2,0),"")</f>
        <v>Gilberto</v>
      </c>
      <c r="G556" s="10">
        <v>15815.19</v>
      </c>
      <c r="H556" s="10">
        <v>247315.65</v>
      </c>
      <c r="I556" s="4">
        <v>2462</v>
      </c>
      <c r="J556" s="17">
        <f>IFERROR(Tabela32[[#This Row],[Valor Frete]]/Tabela32[[#This Row],[Valor Mercadoria]],"")</f>
        <v>6.3947388691334331E-2</v>
      </c>
      <c r="K556" s="11">
        <v>0.29166666666666669</v>
      </c>
      <c r="L556" s="15">
        <v>0.73611111111111116</v>
      </c>
      <c r="M556" s="15">
        <f>Tabela32[[#This Row],[Hr Chegada]]-Tabela32[[#This Row],[Hr Saida]]</f>
        <v>0.44444444444444448</v>
      </c>
      <c r="N556" s="4">
        <v>121036</v>
      </c>
      <c r="O556" s="4">
        <v>121162</v>
      </c>
      <c r="P556" s="4">
        <f>Tabela32[[#This Row],[Km Chegada]]-Tabela32[[#This Row],[Km Saída]]</f>
        <v>126</v>
      </c>
      <c r="Q556" s="4">
        <v>525</v>
      </c>
      <c r="R556" s="4">
        <v>32</v>
      </c>
      <c r="S556" s="4">
        <v>32</v>
      </c>
      <c r="T556" s="12">
        <f>Tabela32[[#This Row],[Entregas]]-Tabela32[[#This Row],[Realizadas]]</f>
        <v>0</v>
      </c>
      <c r="U556" s="18">
        <f>Tabela32[[#This Row],[Realizadas]]/Tabela32[[#This Row],[Entregas]]</f>
        <v>1</v>
      </c>
      <c r="V556" s="19" t="str">
        <f>IF(Tabela32[[#This Row],[% Entrega]]&gt;=96%,"Atendeu a Meta","Não Atendeu a Meta")</f>
        <v>Atendeu a Meta</v>
      </c>
      <c r="W556" s="4" t="s">
        <v>41</v>
      </c>
      <c r="X556" s="4">
        <v>0</v>
      </c>
      <c r="Y556" s="5">
        <v>38</v>
      </c>
    </row>
    <row r="557" spans="1:25" x14ac:dyDescent="0.25">
      <c r="A557" s="8">
        <v>46310</v>
      </c>
      <c r="B557" s="16">
        <f>YEAR(Tabela32[[#This Row],[Data]])</f>
        <v>2026</v>
      </c>
      <c r="C557" s="16">
        <f>MONTH(Tabela32[[#This Row],[Data]])</f>
        <v>10</v>
      </c>
      <c r="D557" s="4" t="s">
        <v>27</v>
      </c>
      <c r="E557" s="4">
        <v>1</v>
      </c>
      <c r="F557" s="4" t="str">
        <f>IFERROR(VLOOKUP(Tabela32[[#This Row],[Placa]],Planilha2!$A$1:$B$12,2,0),"")</f>
        <v>Rosinaldo</v>
      </c>
      <c r="G557" s="10">
        <v>5875.38</v>
      </c>
      <c r="H557" s="10">
        <v>107635.26</v>
      </c>
      <c r="I557" s="4">
        <v>1146</v>
      </c>
      <c r="J557" s="17">
        <f>IFERROR(Tabela32[[#This Row],[Valor Frete]]/Tabela32[[#This Row],[Valor Mercadoria]],"")</f>
        <v>5.4586015772154967E-2</v>
      </c>
      <c r="K557" s="11">
        <v>0.3125</v>
      </c>
      <c r="L557" s="15">
        <v>0.73124999999999996</v>
      </c>
      <c r="M557" s="15">
        <f>Tabela32[[#This Row],[Hr Chegada]]-Tabela32[[#This Row],[Hr Saida]]</f>
        <v>0.41874999999999996</v>
      </c>
      <c r="N557" s="4">
        <v>292587</v>
      </c>
      <c r="O557" s="4">
        <v>292657</v>
      </c>
      <c r="P557" s="4">
        <f>Tabela32[[#This Row],[Km Chegada]]-Tabela32[[#This Row],[Km Saída]]</f>
        <v>70</v>
      </c>
      <c r="Q557" s="4">
        <v>173</v>
      </c>
      <c r="R557" s="4">
        <v>21</v>
      </c>
      <c r="S557" s="4">
        <v>21</v>
      </c>
      <c r="T557" s="12">
        <f>Tabela32[[#This Row],[Entregas]]-Tabela32[[#This Row],[Realizadas]]</f>
        <v>0</v>
      </c>
      <c r="U557" s="18">
        <f>Tabela32[[#This Row],[Realizadas]]/Tabela32[[#This Row],[Entregas]]</f>
        <v>1</v>
      </c>
      <c r="V557" s="19" t="str">
        <f>IF(Tabela32[[#This Row],[% Entrega]]&gt;=96%,"Atendeu a Meta","Não Atendeu a Meta")</f>
        <v>Atendeu a Meta</v>
      </c>
      <c r="W557" s="4" t="s">
        <v>43</v>
      </c>
      <c r="X557" s="4">
        <v>0</v>
      </c>
      <c r="Y557" s="5">
        <v>0</v>
      </c>
    </row>
    <row r="558" spans="1:25" x14ac:dyDescent="0.25">
      <c r="A558" s="8">
        <v>46310</v>
      </c>
      <c r="B558" s="16">
        <f>YEAR(Tabela32[[#This Row],[Data]])</f>
        <v>2026</v>
      </c>
      <c r="C558" s="16">
        <f>MONTH(Tabela32[[#This Row],[Data]])</f>
        <v>10</v>
      </c>
      <c r="D558" s="4" t="s">
        <v>22</v>
      </c>
      <c r="E558" s="4">
        <v>1</v>
      </c>
      <c r="F558" s="4" t="str">
        <f>IFERROR(VLOOKUP(Tabela32[[#This Row],[Placa]],Planilha2!$A$1:$B$12,2,0),"")</f>
        <v>Juscelino</v>
      </c>
      <c r="G558" s="10">
        <v>11616.88</v>
      </c>
      <c r="H558" s="10">
        <v>178265.55</v>
      </c>
      <c r="I558" s="4">
        <v>1767</v>
      </c>
      <c r="J558" s="17">
        <f>IFERROR(Tabela32[[#This Row],[Valor Frete]]/Tabela32[[#This Row],[Valor Mercadoria]],"")</f>
        <v>6.5166152405778902E-2</v>
      </c>
      <c r="K558" s="11">
        <v>0.3125</v>
      </c>
      <c r="L558" s="15">
        <v>0.67013888888888884</v>
      </c>
      <c r="M558" s="15">
        <f>Tabela32[[#This Row],[Hr Chegada]]-Tabela32[[#This Row],[Hr Saida]]</f>
        <v>0.35763888888888884</v>
      </c>
      <c r="N558" s="4">
        <v>306473</v>
      </c>
      <c r="O558" s="4">
        <v>306487</v>
      </c>
      <c r="P558" s="4">
        <f>Tabela32[[#This Row],[Km Chegada]]-Tabela32[[#This Row],[Km Saída]]</f>
        <v>14</v>
      </c>
      <c r="Q558" s="4">
        <v>288</v>
      </c>
      <c r="R558" s="4">
        <v>36</v>
      </c>
      <c r="S558" s="4">
        <v>36</v>
      </c>
      <c r="T558" s="12">
        <f>Tabela32[[#This Row],[Entregas]]-Tabela32[[#This Row],[Realizadas]]</f>
        <v>0</v>
      </c>
      <c r="U558" s="18">
        <f>Tabela32[[#This Row],[Realizadas]]/Tabela32[[#This Row],[Entregas]]</f>
        <v>1</v>
      </c>
      <c r="V558" s="19" t="str">
        <f>IF(Tabela32[[#This Row],[% Entrega]]&gt;=96%,"Atendeu a Meta","Não Atendeu a Meta")</f>
        <v>Atendeu a Meta</v>
      </c>
      <c r="W558" s="4" t="s">
        <v>43</v>
      </c>
      <c r="X558" s="4">
        <v>0</v>
      </c>
      <c r="Y558" s="5">
        <v>0</v>
      </c>
    </row>
    <row r="559" spans="1:25" x14ac:dyDescent="0.25">
      <c r="A559" s="8">
        <v>46310</v>
      </c>
      <c r="B559" s="16">
        <f>YEAR(Tabela32[[#This Row],[Data]])</f>
        <v>2026</v>
      </c>
      <c r="C559" s="16">
        <f>MONTH(Tabela32[[#This Row],[Data]])</f>
        <v>10</v>
      </c>
      <c r="D559" s="4" t="s">
        <v>53</v>
      </c>
      <c r="E559" s="4">
        <v>5</v>
      </c>
      <c r="F559" s="4" t="str">
        <f>IFERROR(VLOOKUP(Tabela32[[#This Row],[Placa]],Planilha2!$A$1:$B$12,2,0),"")</f>
        <v>Arnaldo</v>
      </c>
      <c r="G559" s="10">
        <v>7760.6</v>
      </c>
      <c r="H559" s="10">
        <v>89353.73</v>
      </c>
      <c r="I559" s="4">
        <v>1241</v>
      </c>
      <c r="J559" s="17">
        <f>IFERROR(Tabela32[[#This Row],[Valor Frete]]/Tabela32[[#This Row],[Valor Mercadoria]],"")</f>
        <v>8.6852557805924838E-2</v>
      </c>
      <c r="K559" s="11">
        <v>0.30555555555555558</v>
      </c>
      <c r="L559" s="15">
        <v>0.77777777777777779</v>
      </c>
      <c r="M559" s="15">
        <f>Tabela32[[#This Row],[Hr Chegada]]-Tabela32[[#This Row],[Hr Saida]]</f>
        <v>0.47222222222222221</v>
      </c>
      <c r="N559" s="4">
        <v>14890</v>
      </c>
      <c r="O559" s="4">
        <v>14920</v>
      </c>
      <c r="P559" s="4">
        <f>Tabela32[[#This Row],[Km Chegada]]-Tabela32[[#This Row],[Km Saída]]</f>
        <v>30</v>
      </c>
      <c r="Q559" s="4">
        <v>190</v>
      </c>
      <c r="R559" s="4">
        <v>7</v>
      </c>
      <c r="S559" s="4">
        <v>7</v>
      </c>
      <c r="T559" s="12">
        <f>Tabela32[[#This Row],[Entregas]]-Tabela32[[#This Row],[Realizadas]]</f>
        <v>0</v>
      </c>
      <c r="U559" s="18">
        <f>Tabela32[[#This Row],[Realizadas]]/Tabela32[[#This Row],[Entregas]]</f>
        <v>1</v>
      </c>
      <c r="V559" s="19" t="str">
        <f>IF(Tabela32[[#This Row],[% Entrega]]&gt;=96%,"Atendeu a Meta","Não Atendeu a Meta")</f>
        <v>Atendeu a Meta</v>
      </c>
      <c r="W559" s="4" t="s">
        <v>39</v>
      </c>
      <c r="X559" s="4">
        <v>0</v>
      </c>
      <c r="Y559" s="5">
        <v>0</v>
      </c>
    </row>
    <row r="560" spans="1:25" x14ac:dyDescent="0.25">
      <c r="A560" s="8">
        <v>46311</v>
      </c>
      <c r="B560" s="16">
        <f>YEAR(Tabela32[[#This Row],[Data]])</f>
        <v>2026</v>
      </c>
      <c r="C560" s="16">
        <f>MONTH(Tabela32[[#This Row],[Data]])</f>
        <v>10</v>
      </c>
      <c r="D560" s="4" t="s">
        <v>27</v>
      </c>
      <c r="E560" s="4">
        <v>1</v>
      </c>
      <c r="F560" s="4" t="str">
        <f>IFERROR(VLOOKUP(Tabela32[[#This Row],[Placa]],Planilha2!$A$1:$B$12,2,0),"")</f>
        <v>Rosinaldo</v>
      </c>
      <c r="G560" s="10">
        <v>4321.76</v>
      </c>
      <c r="H560" s="10">
        <v>116117.12</v>
      </c>
      <c r="I560" s="4">
        <v>1096</v>
      </c>
      <c r="J560" s="17">
        <f>IFERROR(Tabela32[[#This Row],[Valor Frete]]/Tabela32[[#This Row],[Valor Mercadoria]],"")</f>
        <v>3.7218973395137606E-2</v>
      </c>
      <c r="K560" s="11">
        <v>0.29166666666666669</v>
      </c>
      <c r="L560" s="15">
        <v>0.73958333333333337</v>
      </c>
      <c r="M560" s="15">
        <f>Tabela32[[#This Row],[Hr Chegada]]-Tabela32[[#This Row],[Hr Saida]]</f>
        <v>0.44791666666666669</v>
      </c>
      <c r="N560" s="4">
        <v>292652</v>
      </c>
      <c r="O560" s="4">
        <v>292693</v>
      </c>
      <c r="P560" s="4">
        <f>Tabela32[[#This Row],[Km Chegada]]-Tabela32[[#This Row],[Km Saída]]</f>
        <v>41</v>
      </c>
      <c r="Q560" s="4">
        <v>189</v>
      </c>
      <c r="R560" s="4">
        <v>9</v>
      </c>
      <c r="S560" s="4">
        <v>9</v>
      </c>
      <c r="T560" s="12">
        <f>Tabela32[[#This Row],[Entregas]]-Tabela32[[#This Row],[Realizadas]]</f>
        <v>0</v>
      </c>
      <c r="U560" s="18">
        <f>Tabela32[[#This Row],[Realizadas]]/Tabela32[[#This Row],[Entregas]]</f>
        <v>1</v>
      </c>
      <c r="V560" s="19" t="str">
        <f>IF(Tabela32[[#This Row],[% Entrega]]&gt;=96%,"Atendeu a Meta","Não Atendeu a Meta")</f>
        <v>Atendeu a Meta</v>
      </c>
      <c r="W560" s="4" t="s">
        <v>43</v>
      </c>
      <c r="X560" s="4">
        <v>0</v>
      </c>
      <c r="Y560" s="5">
        <v>38</v>
      </c>
    </row>
    <row r="561" spans="1:25" x14ac:dyDescent="0.25">
      <c r="A561" s="8">
        <v>46311</v>
      </c>
      <c r="B561" s="16">
        <f>YEAR(Tabela32[[#This Row],[Data]])</f>
        <v>2026</v>
      </c>
      <c r="C561" s="16">
        <f>MONTH(Tabela32[[#This Row],[Data]])</f>
        <v>10</v>
      </c>
      <c r="D561" s="4" t="s">
        <v>28</v>
      </c>
      <c r="E561" s="4">
        <v>11</v>
      </c>
      <c r="F561" s="4" t="str">
        <f>IFERROR(VLOOKUP(Tabela32[[#This Row],[Placa]],Planilha2!$A$1:$B$12,2,0),"")</f>
        <v>Edilson</v>
      </c>
      <c r="G561" s="10">
        <v>20290.310000000001</v>
      </c>
      <c r="H561" s="10">
        <v>374606.54</v>
      </c>
      <c r="I561" s="4">
        <v>3804</v>
      </c>
      <c r="J561" s="17">
        <f>IFERROR(Tabela32[[#This Row],[Valor Frete]]/Tabela32[[#This Row],[Valor Mercadoria]],"")</f>
        <v>5.4164323986441887E-2</v>
      </c>
      <c r="K561" s="11">
        <v>0.27083333333333331</v>
      </c>
      <c r="L561" s="15">
        <v>0.80277777777777781</v>
      </c>
      <c r="M561" s="15">
        <f>Tabela32[[#This Row],[Hr Chegada]]-Tabela32[[#This Row],[Hr Saida]]</f>
        <v>0.53194444444444455</v>
      </c>
      <c r="N561" s="4">
        <v>107388</v>
      </c>
      <c r="O561" s="4">
        <v>107527</v>
      </c>
      <c r="P561" s="4">
        <f>Tabela32[[#This Row],[Km Chegada]]-Tabela32[[#This Row],[Km Saída]]</f>
        <v>139</v>
      </c>
      <c r="Q561" s="4">
        <v>347</v>
      </c>
      <c r="R561" s="4">
        <v>42</v>
      </c>
      <c r="S561" s="4">
        <v>42</v>
      </c>
      <c r="T561" s="12">
        <f>Tabela32[[#This Row],[Entregas]]-Tabela32[[#This Row],[Realizadas]]</f>
        <v>0</v>
      </c>
      <c r="U561" s="18">
        <f>Tabela32[[#This Row],[Realizadas]]/Tabela32[[#This Row],[Entregas]]</f>
        <v>1</v>
      </c>
      <c r="V561" s="19" t="str">
        <f>IF(Tabela32[[#This Row],[% Entrega]]&gt;=96%,"Atendeu a Meta","Não Atendeu a Meta")</f>
        <v>Atendeu a Meta</v>
      </c>
      <c r="W561" s="4" t="s">
        <v>41</v>
      </c>
      <c r="X561" s="4">
        <v>0</v>
      </c>
      <c r="Y561" s="5" t="s">
        <v>102</v>
      </c>
    </row>
    <row r="562" spans="1:25" x14ac:dyDescent="0.25">
      <c r="A562" s="8">
        <v>46311</v>
      </c>
      <c r="B562" s="16">
        <f>YEAR(Tabela32[[#This Row],[Data]])</f>
        <v>2026</v>
      </c>
      <c r="C562" s="16">
        <f>MONTH(Tabela32[[#This Row],[Data]])</f>
        <v>10</v>
      </c>
      <c r="D562" s="4" t="s">
        <v>96</v>
      </c>
      <c r="E562" s="4">
        <v>4</v>
      </c>
      <c r="F562" s="4" t="str">
        <f>IFERROR(VLOOKUP(Tabela32[[#This Row],[Placa]],Planilha2!$A$1:$B$12,2,0),"")</f>
        <v>Manoel</v>
      </c>
      <c r="G562" s="10">
        <v>526.25</v>
      </c>
      <c r="H562" s="10">
        <v>2322</v>
      </c>
      <c r="I562" s="4">
        <v>3.3</v>
      </c>
      <c r="J562" s="17">
        <f>IFERROR(Tabela32[[#This Row],[Valor Frete]]/Tabela32[[#This Row],[Valor Mercadoria]],"")</f>
        <v>0.2266365202411714</v>
      </c>
      <c r="K562" s="11">
        <v>0.66666666666666663</v>
      </c>
      <c r="L562" s="15">
        <v>0.79861111111111116</v>
      </c>
      <c r="M562" s="15">
        <f>Tabela32[[#This Row],[Hr Chegada]]-Tabela32[[#This Row],[Hr Saida]]</f>
        <v>0.13194444444444453</v>
      </c>
      <c r="N562" s="4">
        <v>64241</v>
      </c>
      <c r="O562" s="4">
        <v>64293</v>
      </c>
      <c r="P562" s="4">
        <f>Tabela32[[#This Row],[Km Chegada]]-Tabela32[[#This Row],[Km Saída]]</f>
        <v>52</v>
      </c>
      <c r="Q562" s="4">
        <v>4</v>
      </c>
      <c r="R562" s="4">
        <v>3</v>
      </c>
      <c r="S562" s="4">
        <v>3</v>
      </c>
      <c r="T562" s="12">
        <f>Tabela32[[#This Row],[Entregas]]-Tabela32[[#This Row],[Realizadas]]</f>
        <v>0</v>
      </c>
      <c r="U562" s="18">
        <f>Tabela32[[#This Row],[Realizadas]]/Tabela32[[#This Row],[Entregas]]</f>
        <v>1</v>
      </c>
      <c r="V562" s="19" t="str">
        <f>IF(Tabela32[[#This Row],[% Entrega]]&gt;=96%,"Atendeu a Meta","Não Atendeu a Meta")</f>
        <v>Atendeu a Meta</v>
      </c>
      <c r="W562" s="4" t="s">
        <v>39</v>
      </c>
      <c r="X562" s="4">
        <v>0</v>
      </c>
      <c r="Y562" s="5">
        <v>0</v>
      </c>
    </row>
    <row r="563" spans="1:25" x14ac:dyDescent="0.25">
      <c r="A563" s="8">
        <v>46311</v>
      </c>
      <c r="B563" s="16">
        <f>YEAR(Tabela32[[#This Row],[Data]])</f>
        <v>2026</v>
      </c>
      <c r="C563" s="16">
        <f>MONTH(Tabela32[[#This Row],[Data]])</f>
        <v>10</v>
      </c>
      <c r="D563" s="4" t="s">
        <v>36</v>
      </c>
      <c r="E563" s="4">
        <v>5</v>
      </c>
      <c r="F563" s="4" t="str">
        <f>IFERROR(VLOOKUP(Tabela32[[#This Row],[Placa]],Planilha2!$A$1:$B$12,2,0),"")</f>
        <v>Heremilton</v>
      </c>
      <c r="G563" s="10">
        <v>2406.34</v>
      </c>
      <c r="H563" s="10">
        <v>92852.1</v>
      </c>
      <c r="I563" s="4">
        <v>534</v>
      </c>
      <c r="J563" s="17">
        <f>IFERROR(Tabela32[[#This Row],[Valor Frete]]/Tabela32[[#This Row],[Valor Mercadoria]],"")</f>
        <v>2.5915838198597555E-2</v>
      </c>
      <c r="K563" s="11">
        <v>0.39583333333333331</v>
      </c>
      <c r="L563" s="15">
        <v>0.75694444444444442</v>
      </c>
      <c r="M563" s="15">
        <f>Tabela32[[#This Row],[Hr Chegada]]-Tabela32[[#This Row],[Hr Saida]]</f>
        <v>0.3611111111111111</v>
      </c>
      <c r="N563" s="4">
        <v>368827</v>
      </c>
      <c r="O563" s="4">
        <v>368863</v>
      </c>
      <c r="P563" s="4">
        <f>Tabela32[[#This Row],[Km Chegada]]-Tabela32[[#This Row],[Km Saída]]</f>
        <v>36</v>
      </c>
      <c r="Q563" s="4">
        <v>160</v>
      </c>
      <c r="R563" s="4">
        <v>2</v>
      </c>
      <c r="S563" s="4">
        <v>2</v>
      </c>
      <c r="T563" s="12">
        <f>Tabela32[[#This Row],[Entregas]]-Tabela32[[#This Row],[Realizadas]]</f>
        <v>0</v>
      </c>
      <c r="U563" s="18">
        <f>Tabela32[[#This Row],[Realizadas]]/Tabela32[[#This Row],[Entregas]]</f>
        <v>1</v>
      </c>
      <c r="V563" s="19" t="str">
        <f>IF(Tabela32[[#This Row],[% Entrega]]&gt;=96%,"Atendeu a Meta","Não Atendeu a Meta")</f>
        <v>Atendeu a Meta</v>
      </c>
      <c r="W563" s="4" t="s">
        <v>39</v>
      </c>
      <c r="X563" s="4">
        <v>0</v>
      </c>
      <c r="Y563" s="5">
        <v>0</v>
      </c>
    </row>
    <row r="564" spans="1:25" x14ac:dyDescent="0.25">
      <c r="A564" s="8">
        <v>46311</v>
      </c>
      <c r="B564" s="16">
        <f>YEAR(Tabela32[[#This Row],[Data]])</f>
        <v>2026</v>
      </c>
      <c r="C564" s="16">
        <f>MONTH(Tabela32[[#This Row],[Data]])</f>
        <v>10</v>
      </c>
      <c r="D564" s="4" t="s">
        <v>23</v>
      </c>
      <c r="E564" s="4">
        <v>5</v>
      </c>
      <c r="F564" s="4" t="str">
        <f>IFERROR(VLOOKUP(Tabela32[[#This Row],[Placa]],Planilha2!$A$1:$B$12,2,0),"")</f>
        <v>William</v>
      </c>
      <c r="G564" s="10">
        <v>17104.04</v>
      </c>
      <c r="H564" s="10">
        <v>202419.4</v>
      </c>
      <c r="I564" s="4">
        <v>2512</v>
      </c>
      <c r="J564" s="17">
        <f>IFERROR(Tabela32[[#This Row],[Valor Frete]]/Tabela32[[#This Row],[Valor Mercadoria]],"")</f>
        <v>8.4498027362989919E-2</v>
      </c>
      <c r="K564" s="11">
        <v>0.29166666666666669</v>
      </c>
      <c r="L564" s="15">
        <v>0.79097222222222219</v>
      </c>
      <c r="M564" s="15">
        <f>Tabela32[[#This Row],[Hr Chegada]]-Tabela32[[#This Row],[Hr Saida]]</f>
        <v>0.4993055555555555</v>
      </c>
      <c r="N564" s="4">
        <v>127217</v>
      </c>
      <c r="O564" s="4">
        <v>127272</v>
      </c>
      <c r="P564" s="4">
        <f>Tabela32[[#This Row],[Km Chegada]]-Tabela32[[#This Row],[Km Saída]]</f>
        <v>55</v>
      </c>
      <c r="Q564" s="4">
        <v>582</v>
      </c>
      <c r="R564" s="4">
        <v>24</v>
      </c>
      <c r="S564" s="4">
        <v>24</v>
      </c>
      <c r="T564" s="12">
        <f>Tabela32[[#This Row],[Entregas]]-Tabela32[[#This Row],[Realizadas]]</f>
        <v>0</v>
      </c>
      <c r="U564" s="18">
        <f>Tabela32[[#This Row],[Realizadas]]/Tabela32[[#This Row],[Entregas]]</f>
        <v>1</v>
      </c>
      <c r="V564" s="19" t="str">
        <f>IF(Tabela32[[#This Row],[% Entrega]]&gt;=96%,"Atendeu a Meta","Não Atendeu a Meta")</f>
        <v>Atendeu a Meta</v>
      </c>
      <c r="W564" s="4" t="s">
        <v>39</v>
      </c>
      <c r="X564" s="4">
        <v>8</v>
      </c>
      <c r="Y564" s="5" t="s">
        <v>73</v>
      </c>
    </row>
    <row r="565" spans="1:25" x14ac:dyDescent="0.25">
      <c r="A565" s="8">
        <v>46311</v>
      </c>
      <c r="B565" s="16">
        <f>YEAR(Tabela32[[#This Row],[Data]])</f>
        <v>2026</v>
      </c>
      <c r="C565" s="16">
        <f>MONTH(Tabela32[[#This Row],[Data]])</f>
        <v>10</v>
      </c>
      <c r="D565" s="4" t="s">
        <v>22</v>
      </c>
      <c r="E565" s="4">
        <v>1</v>
      </c>
      <c r="F565" s="4" t="str">
        <f>IFERROR(VLOOKUP(Tabela32[[#This Row],[Placa]],Planilha2!$A$1:$B$12,2,0),"")</f>
        <v>Juscelino</v>
      </c>
      <c r="G565" s="10">
        <v>10648.92</v>
      </c>
      <c r="H565" s="10">
        <v>182671.14</v>
      </c>
      <c r="I565" s="4">
        <v>2349</v>
      </c>
      <c r="J565" s="17">
        <f>IFERROR(Tabela32[[#This Row],[Valor Frete]]/Tabela32[[#This Row],[Valor Mercadoria]],"")</f>
        <v>5.8295579695840288E-2</v>
      </c>
      <c r="K565" s="11">
        <v>0.29166666666666669</v>
      </c>
      <c r="L565" s="15">
        <v>0.83333333333333337</v>
      </c>
      <c r="M565" s="15">
        <f>Tabela32[[#This Row],[Hr Chegada]]-Tabela32[[#This Row],[Hr Saida]]</f>
        <v>0.54166666666666674</v>
      </c>
      <c r="N565" s="4">
        <v>306487</v>
      </c>
      <c r="O565" s="4">
        <v>306655</v>
      </c>
      <c r="P565" s="4">
        <f>Tabela32[[#This Row],[Km Chegada]]-Tabela32[[#This Row],[Km Saída]]</f>
        <v>168</v>
      </c>
      <c r="Q565" s="4">
        <v>232</v>
      </c>
      <c r="R565" s="4">
        <v>27</v>
      </c>
      <c r="S565" s="4">
        <v>27</v>
      </c>
      <c r="T565" s="12">
        <f>Tabela32[[#This Row],[Entregas]]-Tabela32[[#This Row],[Realizadas]]</f>
        <v>0</v>
      </c>
      <c r="U565" s="18">
        <f>Tabela32[[#This Row],[Realizadas]]/Tabela32[[#This Row],[Entregas]]</f>
        <v>1</v>
      </c>
      <c r="V565" s="19" t="str">
        <f>IF(Tabela32[[#This Row],[% Entrega]]&gt;=96%,"Atendeu a Meta","Não Atendeu a Meta")</f>
        <v>Atendeu a Meta</v>
      </c>
      <c r="W565" s="4" t="s">
        <v>40</v>
      </c>
      <c r="X565" s="4">
        <v>3</v>
      </c>
      <c r="Y565" s="5" t="s">
        <v>103</v>
      </c>
    </row>
    <row r="566" spans="1:25" x14ac:dyDescent="0.25">
      <c r="A566" s="8">
        <v>46311</v>
      </c>
      <c r="B566" s="16">
        <f>YEAR(Tabela32[[#This Row],[Data]])</f>
        <v>2026</v>
      </c>
      <c r="C566" s="16">
        <f>MONTH(Tabela32[[#This Row],[Data]])</f>
        <v>10</v>
      </c>
      <c r="D566" s="4" t="s">
        <v>29</v>
      </c>
      <c r="E566" s="4">
        <v>1</v>
      </c>
      <c r="F566" s="4" t="str">
        <f>IFERROR(VLOOKUP(Tabela32[[#This Row],[Placa]],Planilha2!$A$1:$B$12,2,0),"")</f>
        <v>Sandro</v>
      </c>
      <c r="G566" s="10">
        <v>4788.5</v>
      </c>
      <c r="H566" s="10">
        <v>259988.06</v>
      </c>
      <c r="I566" s="4">
        <v>453</v>
      </c>
      <c r="J566" s="17">
        <f>IFERROR(Tabela32[[#This Row],[Valor Frete]]/Tabela32[[#This Row],[Valor Mercadoria]],"")</f>
        <v>1.8418153510588141E-2</v>
      </c>
      <c r="K566" s="11">
        <v>0.29166666666666669</v>
      </c>
      <c r="L566" s="15">
        <v>0.78680555555555554</v>
      </c>
      <c r="M566" s="15">
        <f>Tabela32[[#This Row],[Hr Chegada]]-Tabela32[[#This Row],[Hr Saida]]</f>
        <v>0.49513888888888885</v>
      </c>
      <c r="N566" s="4">
        <v>277067</v>
      </c>
      <c r="O566" s="4">
        <v>277111</v>
      </c>
      <c r="P566" s="4">
        <f>Tabela32[[#This Row],[Km Chegada]]-Tabela32[[#This Row],[Km Saída]]</f>
        <v>44</v>
      </c>
      <c r="Q566" s="4">
        <v>263</v>
      </c>
      <c r="R566" s="4">
        <v>5</v>
      </c>
      <c r="S566" s="4">
        <v>5</v>
      </c>
      <c r="T566" s="12">
        <f>Tabela32[[#This Row],[Entregas]]-Tabela32[[#This Row],[Realizadas]]</f>
        <v>0</v>
      </c>
      <c r="U566" s="18">
        <f>Tabela32[[#This Row],[Realizadas]]/Tabela32[[#This Row],[Entregas]]</f>
        <v>1</v>
      </c>
      <c r="V566" s="19" t="str">
        <f>IF(Tabela32[[#This Row],[% Entrega]]&gt;=96%,"Atendeu a Meta","Não Atendeu a Meta")</f>
        <v>Atendeu a Meta</v>
      </c>
      <c r="W566" s="4" t="s">
        <v>40</v>
      </c>
      <c r="X566" s="4">
        <v>0</v>
      </c>
      <c r="Y566" s="5">
        <v>0</v>
      </c>
    </row>
    <row r="567" spans="1:25" x14ac:dyDescent="0.25">
      <c r="A567" s="8">
        <v>46311</v>
      </c>
      <c r="B567" s="16">
        <f>YEAR(Tabela32[[#This Row],[Data]])</f>
        <v>2026</v>
      </c>
      <c r="C567" s="16">
        <f>MONTH(Tabela32[[#This Row],[Data]])</f>
        <v>10</v>
      </c>
      <c r="D567" s="4" t="s">
        <v>33</v>
      </c>
      <c r="E567" s="4">
        <v>5</v>
      </c>
      <c r="F567" s="4" t="str">
        <f>IFERROR(VLOOKUP(Tabela32[[#This Row],[Placa]],Planilha2!$A$1:$B$12,2,0),"")</f>
        <v>Paulo</v>
      </c>
      <c r="G567" s="10">
        <v>2629.81</v>
      </c>
      <c r="H567" s="10">
        <v>28173.65</v>
      </c>
      <c r="I567" s="4">
        <v>473</v>
      </c>
      <c r="J567" s="17">
        <f>IFERROR(Tabela32[[#This Row],[Valor Frete]]/Tabela32[[#This Row],[Valor Mercadoria]],"")</f>
        <v>9.3342893093369156E-2</v>
      </c>
      <c r="K567" s="11">
        <v>0.3125</v>
      </c>
      <c r="L567" s="15">
        <v>0.76041666666666663</v>
      </c>
      <c r="M567" s="15">
        <f>Tabela32[[#This Row],[Hr Chegada]]-Tabela32[[#This Row],[Hr Saida]]</f>
        <v>0.44791666666666663</v>
      </c>
      <c r="N567" s="4">
        <v>157454</v>
      </c>
      <c r="O567" s="4">
        <v>157496</v>
      </c>
      <c r="P567" s="4">
        <f>Tabela32[[#This Row],[Km Chegada]]-Tabela32[[#This Row],[Km Saída]]</f>
        <v>42</v>
      </c>
      <c r="Q567" s="4">
        <v>229</v>
      </c>
      <c r="R567" s="4">
        <v>4</v>
      </c>
      <c r="S567" s="4">
        <v>4</v>
      </c>
      <c r="T567" s="12">
        <f>Tabela32[[#This Row],[Entregas]]-Tabela32[[#This Row],[Realizadas]]</f>
        <v>0</v>
      </c>
      <c r="U567" s="18">
        <f>Tabela32[[#This Row],[Realizadas]]/Tabela32[[#This Row],[Entregas]]</f>
        <v>1</v>
      </c>
      <c r="V567" s="19" t="str">
        <f>IF(Tabela32[[#This Row],[% Entrega]]&gt;=96%,"Atendeu a Meta","Não Atendeu a Meta")</f>
        <v>Atendeu a Meta</v>
      </c>
      <c r="W567" s="4" t="s">
        <v>39</v>
      </c>
      <c r="X567" s="4">
        <v>0</v>
      </c>
      <c r="Y567" s="5">
        <v>0</v>
      </c>
    </row>
    <row r="568" spans="1:25" x14ac:dyDescent="0.25">
      <c r="A568" s="8">
        <v>46311</v>
      </c>
      <c r="B568" s="16">
        <f>YEAR(Tabela32[[#This Row],[Data]])</f>
        <v>2026</v>
      </c>
      <c r="C568" s="16">
        <f>MONTH(Tabela32[[#This Row],[Data]])</f>
        <v>10</v>
      </c>
      <c r="D568" s="4" t="s">
        <v>53</v>
      </c>
      <c r="E568" s="4">
        <v>3</v>
      </c>
      <c r="F568" s="4" t="str">
        <f>IFERROR(VLOOKUP(Tabela32[[#This Row],[Placa]],Planilha2!$A$1:$B$12,2,0),"")</f>
        <v>Arnaldo</v>
      </c>
      <c r="G568" s="10">
        <v>6168.57</v>
      </c>
      <c r="H568" s="10">
        <v>144733.09</v>
      </c>
      <c r="I568" s="4">
        <v>1027</v>
      </c>
      <c r="J568" s="17">
        <f>IFERROR(Tabela32[[#This Row],[Valor Frete]]/Tabela32[[#This Row],[Valor Mercadoria]],"")</f>
        <v>4.2620315782658964E-2</v>
      </c>
      <c r="K568" s="11">
        <v>0.29652777777777778</v>
      </c>
      <c r="L568" s="15">
        <v>0.75416666666666665</v>
      </c>
      <c r="M568" s="15">
        <f>Tabela32[[#This Row],[Hr Chegada]]-Tabela32[[#This Row],[Hr Saida]]</f>
        <v>0.45763888888888887</v>
      </c>
      <c r="N568" s="4">
        <v>14920</v>
      </c>
      <c r="O568" s="4">
        <v>14972</v>
      </c>
      <c r="P568" s="4">
        <f>Tabela32[[#This Row],[Km Chegada]]-Tabela32[[#This Row],[Km Saída]]</f>
        <v>52</v>
      </c>
      <c r="Q568" s="4">
        <v>182</v>
      </c>
      <c r="R568" s="4">
        <v>14</v>
      </c>
      <c r="S568" s="4">
        <v>14</v>
      </c>
      <c r="T568" s="12">
        <f>Tabela32[[#This Row],[Entregas]]-Tabela32[[#This Row],[Realizadas]]</f>
        <v>0</v>
      </c>
      <c r="U568" s="18">
        <f>Tabela32[[#This Row],[Realizadas]]/Tabela32[[#This Row],[Entregas]]</f>
        <v>1</v>
      </c>
      <c r="V568" s="19" t="str">
        <f>IF(Tabela32[[#This Row],[% Entrega]]&gt;=96%,"Atendeu a Meta","Não Atendeu a Meta")</f>
        <v>Atendeu a Meta</v>
      </c>
      <c r="W568" s="4" t="s">
        <v>39</v>
      </c>
      <c r="X568" s="4">
        <v>0</v>
      </c>
      <c r="Y568" s="5" t="s">
        <v>81</v>
      </c>
    </row>
    <row r="569" spans="1:25" x14ac:dyDescent="0.25">
      <c r="A569" s="8">
        <v>46311</v>
      </c>
      <c r="B569" s="16">
        <f>YEAR(Tabela32[[#This Row],[Data]])</f>
        <v>2026</v>
      </c>
      <c r="C569" s="16">
        <f>MONTH(Tabela32[[#This Row],[Data]])</f>
        <v>10</v>
      </c>
      <c r="D569" s="4" t="s">
        <v>25</v>
      </c>
      <c r="E569" s="4">
        <v>1</v>
      </c>
      <c r="F569" s="4" t="str">
        <f>IFERROR(VLOOKUP(Tabela32[[#This Row],[Placa]],Planilha2!$A$1:$B$12,2,0),"")</f>
        <v>Gilberto</v>
      </c>
      <c r="G569" s="10">
        <v>13054.51</v>
      </c>
      <c r="H569" s="10">
        <v>46649.95</v>
      </c>
      <c r="I569" s="4">
        <v>723</v>
      </c>
      <c r="J569" s="17">
        <f>IFERROR(Tabela32[[#This Row],[Valor Frete]]/Tabela32[[#This Row],[Valor Mercadoria]],"")</f>
        <v>0.27983974259350763</v>
      </c>
      <c r="K569" s="11">
        <v>0.29166666666666669</v>
      </c>
      <c r="L569" s="15">
        <v>0.75</v>
      </c>
      <c r="M569" s="15">
        <f>Tabela32[[#This Row],[Hr Chegada]]-Tabela32[[#This Row],[Hr Saida]]</f>
        <v>0.45833333333333331</v>
      </c>
      <c r="N569" s="4">
        <v>121162</v>
      </c>
      <c r="O569" s="4">
        <v>121193</v>
      </c>
      <c r="P569" s="4">
        <f>Tabela32[[#This Row],[Km Chegada]]-Tabela32[[#This Row],[Km Saída]]</f>
        <v>31</v>
      </c>
      <c r="Q569" s="4">
        <v>723</v>
      </c>
      <c r="R569" s="4">
        <v>2</v>
      </c>
      <c r="S569" s="4">
        <v>2</v>
      </c>
      <c r="T569" s="12">
        <f>Tabela32[[#This Row],[Entregas]]-Tabela32[[#This Row],[Realizadas]]</f>
        <v>0</v>
      </c>
      <c r="U569" s="18">
        <f>Tabela32[[#This Row],[Realizadas]]/Tabela32[[#This Row],[Entregas]]</f>
        <v>1</v>
      </c>
      <c r="V569" s="19" t="str">
        <f>IF(Tabela32[[#This Row],[% Entrega]]&gt;=96%,"Atendeu a Meta","Não Atendeu a Meta")</f>
        <v>Atendeu a Meta</v>
      </c>
      <c r="W569" s="4" t="s">
        <v>40</v>
      </c>
      <c r="X569" s="4">
        <v>0</v>
      </c>
      <c r="Y569" s="5">
        <v>0</v>
      </c>
    </row>
    <row r="570" spans="1:25" x14ac:dyDescent="0.25">
      <c r="A570" s="8">
        <v>46311</v>
      </c>
      <c r="B570" s="16">
        <f>YEAR(Tabela32[[#This Row],[Data]])</f>
        <v>2026</v>
      </c>
      <c r="C570" s="16">
        <f>MONTH(Tabela32[[#This Row],[Data]])</f>
        <v>10</v>
      </c>
      <c r="D570" s="4" t="s">
        <v>35</v>
      </c>
      <c r="E570" s="4">
        <v>2</v>
      </c>
      <c r="F570" s="4" t="str">
        <f>IFERROR(VLOOKUP(Tabela32[[#This Row],[Placa]],Planilha2!$A$1:$B$12,2,0),"")</f>
        <v>Osvaldo</v>
      </c>
      <c r="G570" s="10">
        <v>11529.31</v>
      </c>
      <c r="H570" s="10">
        <v>271037.05</v>
      </c>
      <c r="I570" s="4">
        <v>293</v>
      </c>
      <c r="J570" s="17">
        <f>IFERROR(Tabela32[[#This Row],[Valor Frete]]/Tabela32[[#This Row],[Valor Mercadoria]],"")</f>
        <v>4.2537763748535483E-2</v>
      </c>
      <c r="K570" s="11">
        <v>0.29166666666666669</v>
      </c>
      <c r="L570" s="15">
        <v>0.75069444444444444</v>
      </c>
      <c r="M570" s="15">
        <f>Tabela32[[#This Row],[Hr Chegada]]-Tabela32[[#This Row],[Hr Saida]]</f>
        <v>0.45902777777777776</v>
      </c>
      <c r="N570" s="4">
        <v>144998</v>
      </c>
      <c r="O570" s="4">
        <v>145063</v>
      </c>
      <c r="P570" s="4">
        <f>Tabela32[[#This Row],[Km Chegada]]-Tabela32[[#This Row],[Km Saída]]</f>
        <v>65</v>
      </c>
      <c r="Q570" s="4">
        <v>293</v>
      </c>
      <c r="R570" s="4">
        <v>31</v>
      </c>
      <c r="S570" s="4">
        <v>31</v>
      </c>
      <c r="T570" s="12">
        <f>Tabela32[[#This Row],[Entregas]]-Tabela32[[#This Row],[Realizadas]]</f>
        <v>0</v>
      </c>
      <c r="U570" s="18">
        <f>Tabela32[[#This Row],[Realizadas]]/Tabela32[[#This Row],[Entregas]]</f>
        <v>1</v>
      </c>
      <c r="V570" s="19" t="str">
        <f>IF(Tabela32[[#This Row],[% Entrega]]&gt;=96%,"Atendeu a Meta","Não Atendeu a Meta")</f>
        <v>Atendeu a Meta</v>
      </c>
      <c r="W570" s="4" t="s">
        <v>39</v>
      </c>
      <c r="X570" s="4">
        <v>0</v>
      </c>
      <c r="Y570" s="5">
        <v>0</v>
      </c>
    </row>
    <row r="571" spans="1:25" x14ac:dyDescent="0.25">
      <c r="A571" s="8">
        <v>46311</v>
      </c>
      <c r="B571" s="16">
        <f>YEAR(Tabela32[[#This Row],[Data]])</f>
        <v>2026</v>
      </c>
      <c r="C571" s="16">
        <f>MONTH(Tabela32[[#This Row],[Data]])</f>
        <v>10</v>
      </c>
      <c r="D571" s="4" t="s">
        <v>31</v>
      </c>
      <c r="E571" s="4">
        <v>3</v>
      </c>
      <c r="F571" s="4" t="str">
        <f>IFERROR(VLOOKUP(Tabela32[[#This Row],[Placa]],Planilha2!$A$1:$B$12,2,0),"")</f>
        <v>Jerson</v>
      </c>
      <c r="G571" s="10">
        <v>12697.95</v>
      </c>
      <c r="H571" s="10">
        <v>378975.83</v>
      </c>
      <c r="I571" s="4">
        <v>2688</v>
      </c>
      <c r="J571" s="17">
        <f>IFERROR(Tabela32[[#This Row],[Valor Frete]]/Tabela32[[#This Row],[Valor Mercadoria]],"")</f>
        <v>3.3505962636192391E-2</v>
      </c>
      <c r="K571" s="11">
        <v>0.29722222222222222</v>
      </c>
      <c r="L571" s="15">
        <v>0.74097222222222225</v>
      </c>
      <c r="M571" s="15">
        <f>Tabela32[[#This Row],[Hr Chegada]]-Tabela32[[#This Row],[Hr Saida]]</f>
        <v>0.44375000000000003</v>
      </c>
      <c r="N571" s="4">
        <v>282196</v>
      </c>
      <c r="O571" s="4">
        <v>282242</v>
      </c>
      <c r="P571" s="4">
        <f>Tabela32[[#This Row],[Km Chegada]]-Tabela32[[#This Row],[Km Saída]]</f>
        <v>46</v>
      </c>
      <c r="Q571" s="4">
        <v>479</v>
      </c>
      <c r="R571" s="4">
        <v>17</v>
      </c>
      <c r="S571" s="4">
        <v>17</v>
      </c>
      <c r="T571" s="12">
        <f>Tabela32[[#This Row],[Entregas]]-Tabela32[[#This Row],[Realizadas]]</f>
        <v>0</v>
      </c>
      <c r="U571" s="18">
        <f>Tabela32[[#This Row],[Realizadas]]/Tabela32[[#This Row],[Entregas]]</f>
        <v>1</v>
      </c>
      <c r="V571" s="19" t="str">
        <f>IF(Tabela32[[#This Row],[% Entrega]]&gt;=96%,"Atendeu a Meta","Não Atendeu a Meta")</f>
        <v>Atendeu a Meta</v>
      </c>
      <c r="W571" s="4" t="s">
        <v>39</v>
      </c>
      <c r="X571" s="4">
        <v>0</v>
      </c>
      <c r="Y571" s="5">
        <v>38</v>
      </c>
    </row>
    <row r="572" spans="1:25" x14ac:dyDescent="0.25">
      <c r="A572" s="8">
        <v>46312</v>
      </c>
      <c r="B572" s="16">
        <f>YEAR(Tabela32[[#This Row],[Data]])</f>
        <v>2026</v>
      </c>
      <c r="C572" s="16">
        <f>MONTH(Tabela32[[#This Row],[Data]])</f>
        <v>10</v>
      </c>
      <c r="D572" s="4" t="s">
        <v>29</v>
      </c>
      <c r="E572" s="4">
        <v>1</v>
      </c>
      <c r="F572" s="4" t="str">
        <f>IFERROR(VLOOKUP(Tabela32[[#This Row],[Placa]],Planilha2!$A$1:$B$12,2,0),"")</f>
        <v>Sandro</v>
      </c>
      <c r="G572" s="10">
        <v>867.03</v>
      </c>
      <c r="H572" s="10">
        <v>753.26</v>
      </c>
      <c r="I572" s="4">
        <v>6.8</v>
      </c>
      <c r="J572" s="17">
        <f>IFERROR(Tabela32[[#This Row],[Valor Frete]]/Tabela32[[#This Row],[Valor Mercadoria]],"")</f>
        <v>1.1510368265937392</v>
      </c>
      <c r="K572" s="11">
        <v>0.29166666666666669</v>
      </c>
      <c r="L572" s="15">
        <v>0.43402777777777779</v>
      </c>
      <c r="M572" s="15">
        <f>Tabela32[[#This Row],[Hr Chegada]]-Tabela32[[#This Row],[Hr Saida]]</f>
        <v>0.1423611111111111</v>
      </c>
      <c r="N572" s="4">
        <v>277111</v>
      </c>
      <c r="O572" s="4">
        <v>277151</v>
      </c>
      <c r="P572" s="4">
        <f>Tabela32[[#This Row],[Km Chegada]]-Tabela32[[#This Row],[Km Saída]]</f>
        <v>40</v>
      </c>
      <c r="Q572" s="4">
        <v>1</v>
      </c>
      <c r="R572" s="4">
        <v>1</v>
      </c>
      <c r="S572" s="4">
        <v>1</v>
      </c>
      <c r="T572" s="12">
        <f>Tabela32[[#This Row],[Entregas]]-Tabela32[[#This Row],[Realizadas]]</f>
        <v>0</v>
      </c>
      <c r="U572" s="18">
        <f>Tabela32[[#This Row],[Realizadas]]/Tabela32[[#This Row],[Entregas]]</f>
        <v>1</v>
      </c>
      <c r="V572" s="19" t="str">
        <f>IF(Tabela32[[#This Row],[% Entrega]]&gt;=96%,"Atendeu a Meta","Não Atendeu a Meta")</f>
        <v>Atendeu a Meta</v>
      </c>
      <c r="W572" s="4" t="s">
        <v>40</v>
      </c>
      <c r="X572" s="4">
        <v>0</v>
      </c>
      <c r="Y572" s="5">
        <v>0</v>
      </c>
    </row>
    <row r="573" spans="1:25" x14ac:dyDescent="0.25">
      <c r="A573" s="8">
        <v>46312</v>
      </c>
      <c r="B573" s="16">
        <f>YEAR(Tabela32[[#This Row],[Data]])</f>
        <v>2026</v>
      </c>
      <c r="C573" s="16">
        <f>MONTH(Tabela32[[#This Row],[Data]])</f>
        <v>10</v>
      </c>
      <c r="D573" s="4" t="s">
        <v>28</v>
      </c>
      <c r="E573" s="4">
        <v>5</v>
      </c>
      <c r="F573" s="4" t="str">
        <f>IFERROR(VLOOKUP(Tabela32[[#This Row],[Placa]],Planilha2!$A$1:$B$12,2,0),"")</f>
        <v>Edilson</v>
      </c>
      <c r="G573" s="10">
        <v>6149.17</v>
      </c>
      <c r="H573" s="10">
        <v>141433.56</v>
      </c>
      <c r="I573" s="4">
        <v>2878</v>
      </c>
      <c r="J573" s="17">
        <f>IFERROR(Tabela32[[#This Row],[Valor Frete]]/Tabela32[[#This Row],[Valor Mercadoria]],"")</f>
        <v>4.3477446229876419E-2</v>
      </c>
      <c r="K573" s="11">
        <v>0.3125</v>
      </c>
      <c r="L573" s="15">
        <v>0.44791666666666669</v>
      </c>
      <c r="M573" s="15">
        <f>Tabela32[[#This Row],[Hr Chegada]]-Tabela32[[#This Row],[Hr Saida]]</f>
        <v>0.13541666666666669</v>
      </c>
      <c r="N573" s="4">
        <v>107527</v>
      </c>
      <c r="O573" s="4">
        <v>107561</v>
      </c>
      <c r="P573" s="4">
        <f>Tabela32[[#This Row],[Km Chegada]]-Tabela32[[#This Row],[Km Saída]]</f>
        <v>34</v>
      </c>
      <c r="Q573" s="4">
        <v>572</v>
      </c>
      <c r="R573" s="4">
        <v>8</v>
      </c>
      <c r="S573" s="4">
        <v>8</v>
      </c>
      <c r="T573" s="12">
        <f>Tabela32[[#This Row],[Entregas]]-Tabela32[[#This Row],[Realizadas]]</f>
        <v>0</v>
      </c>
      <c r="U573" s="18">
        <f>Tabela32[[#This Row],[Realizadas]]/Tabela32[[#This Row],[Entregas]]</f>
        <v>1</v>
      </c>
      <c r="V573" s="19" t="str">
        <f>IF(Tabela32[[#This Row],[% Entrega]]&gt;=96%,"Atendeu a Meta","Não Atendeu a Meta")</f>
        <v>Atendeu a Meta</v>
      </c>
      <c r="W573" s="4" t="s">
        <v>39</v>
      </c>
      <c r="X573" s="4">
        <v>0</v>
      </c>
      <c r="Y573" s="5">
        <v>0</v>
      </c>
    </row>
    <row r="574" spans="1:25" x14ac:dyDescent="0.25">
      <c r="A574" s="8">
        <v>46312</v>
      </c>
      <c r="B574" s="16">
        <f>YEAR(Tabela32[[#This Row],[Data]])</f>
        <v>2026</v>
      </c>
      <c r="C574" s="16">
        <f>MONTH(Tabela32[[#This Row],[Data]])</f>
        <v>10</v>
      </c>
      <c r="D574" s="4" t="s">
        <v>33</v>
      </c>
      <c r="E574" s="4">
        <v>1</v>
      </c>
      <c r="F574" s="4" t="str">
        <f>IFERROR(VLOOKUP(Tabela32[[#This Row],[Placa]],Planilha2!$A$1:$B$12,2,0),"")</f>
        <v>Paulo</v>
      </c>
      <c r="G574" s="10">
        <v>3522.15</v>
      </c>
      <c r="H574" s="10">
        <v>46897.99</v>
      </c>
      <c r="I574" s="4">
        <v>425</v>
      </c>
      <c r="J574" s="17">
        <f>IFERROR(Tabela32[[#This Row],[Valor Frete]]/Tabela32[[#This Row],[Valor Mercadoria]],"")</f>
        <v>7.5102365794354947E-2</v>
      </c>
      <c r="K574" s="11">
        <v>0.29166666666666669</v>
      </c>
      <c r="L574" s="15">
        <v>0.47430555555555554</v>
      </c>
      <c r="M574" s="15">
        <f>Tabela32[[#This Row],[Hr Chegada]]-Tabela32[[#This Row],[Hr Saida]]</f>
        <v>0.18263888888888885</v>
      </c>
      <c r="N574" s="4">
        <v>157496</v>
      </c>
      <c r="O574" s="4">
        <v>157517</v>
      </c>
      <c r="P574" s="4">
        <f>Tabela32[[#This Row],[Km Chegada]]-Tabela32[[#This Row],[Km Saída]]</f>
        <v>21</v>
      </c>
      <c r="Q574" s="4">
        <v>56</v>
      </c>
      <c r="R574" s="4">
        <v>17</v>
      </c>
      <c r="S574" s="4">
        <v>17</v>
      </c>
      <c r="T574" s="12">
        <f>Tabela32[[#This Row],[Entregas]]-Tabela32[[#This Row],[Realizadas]]</f>
        <v>0</v>
      </c>
      <c r="U574" s="18">
        <f>Tabela32[[#This Row],[Realizadas]]/Tabela32[[#This Row],[Entregas]]</f>
        <v>1</v>
      </c>
      <c r="V574" s="19" t="str">
        <f>IF(Tabela32[[#This Row],[% Entrega]]&gt;=96%,"Atendeu a Meta","Não Atendeu a Meta")</f>
        <v>Atendeu a Meta</v>
      </c>
      <c r="W574" s="4" t="s">
        <v>43</v>
      </c>
      <c r="X574" s="4">
        <v>0</v>
      </c>
      <c r="Y574" s="5">
        <v>0</v>
      </c>
    </row>
    <row r="575" spans="1:25" x14ac:dyDescent="0.25">
      <c r="A575" s="8">
        <v>46312</v>
      </c>
      <c r="B575" s="16">
        <f>YEAR(Tabela32[[#This Row],[Data]])</f>
        <v>2026</v>
      </c>
      <c r="C575" s="16">
        <f>MONTH(Tabela32[[#This Row],[Data]])</f>
        <v>10</v>
      </c>
      <c r="D575" s="4" t="s">
        <v>35</v>
      </c>
      <c r="E575" s="4">
        <v>11</v>
      </c>
      <c r="F575" s="4" t="str">
        <f>IFERROR(VLOOKUP(Tabela32[[#This Row],[Placa]],Planilha2!$A$1:$B$12,2,0),"")</f>
        <v>Osvaldo</v>
      </c>
      <c r="G575" s="10">
        <v>7057.02</v>
      </c>
      <c r="H575" s="10">
        <v>111266.01</v>
      </c>
      <c r="I575" s="4">
        <v>964</v>
      </c>
      <c r="J575" s="17">
        <f>IFERROR(Tabela32[[#This Row],[Valor Frete]]/Tabela32[[#This Row],[Valor Mercadoria]],"")</f>
        <v>6.3424760176086128E-2</v>
      </c>
      <c r="K575" s="11">
        <v>0.29166666666666669</v>
      </c>
      <c r="L575" s="15">
        <v>0.50347222222222221</v>
      </c>
      <c r="M575" s="15">
        <f>Tabela32[[#This Row],[Hr Chegada]]-Tabela32[[#This Row],[Hr Saida]]</f>
        <v>0.21180555555555552</v>
      </c>
      <c r="N575" s="4">
        <v>145063</v>
      </c>
      <c r="O575" s="4">
        <v>145183</v>
      </c>
      <c r="P575" s="4">
        <f>Tabela32[[#This Row],[Km Chegada]]-Tabela32[[#This Row],[Km Saída]]</f>
        <v>120</v>
      </c>
      <c r="Q575" s="4">
        <v>115</v>
      </c>
      <c r="R575" s="4">
        <v>19</v>
      </c>
      <c r="S575" s="4">
        <v>19</v>
      </c>
      <c r="T575" s="12">
        <f>Tabela32[[#This Row],[Entregas]]-Tabela32[[#This Row],[Realizadas]]</f>
        <v>0</v>
      </c>
      <c r="U575" s="18">
        <f>Tabela32[[#This Row],[Realizadas]]/Tabela32[[#This Row],[Entregas]]</f>
        <v>1</v>
      </c>
      <c r="V575" s="19" t="str">
        <f>IF(Tabela32[[#This Row],[% Entrega]]&gt;=96%,"Atendeu a Meta","Não Atendeu a Meta")</f>
        <v>Atendeu a Meta</v>
      </c>
      <c r="W575" s="4" t="s">
        <v>41</v>
      </c>
      <c r="X575" s="4">
        <v>0</v>
      </c>
      <c r="Y575" s="5">
        <v>0</v>
      </c>
    </row>
    <row r="576" spans="1:25" x14ac:dyDescent="0.25">
      <c r="A576" s="8">
        <v>46314</v>
      </c>
      <c r="B576" s="16">
        <f>YEAR(Tabela32[[#This Row],[Data]])</f>
        <v>2026</v>
      </c>
      <c r="C576" s="16">
        <f>MONTH(Tabela32[[#This Row],[Data]])</f>
        <v>10</v>
      </c>
      <c r="D576" s="4" t="s">
        <v>96</v>
      </c>
      <c r="E576" s="4">
        <v>3</v>
      </c>
      <c r="F576" s="4" t="str">
        <f>IFERROR(VLOOKUP(Tabela32[[#This Row],[Placa]],Planilha2!$A$1:$B$12,2,0),"")</f>
        <v>Manoel</v>
      </c>
      <c r="G576" s="10">
        <v>350.56</v>
      </c>
      <c r="H576" s="10">
        <v>13187.31</v>
      </c>
      <c r="I576" s="4">
        <v>74</v>
      </c>
      <c r="J576" s="17">
        <f>IFERROR(Tabela32[[#This Row],[Valor Frete]]/Tabela32[[#This Row],[Valor Mercadoria]],"")</f>
        <v>2.6583131813842246E-2</v>
      </c>
      <c r="K576" s="11">
        <v>0.625</v>
      </c>
      <c r="L576" s="15">
        <v>0.72222222222222221</v>
      </c>
      <c r="M576" s="15">
        <f>Tabela32[[#This Row],[Hr Chegada]]-Tabela32[[#This Row],[Hr Saida]]</f>
        <v>9.722222222222221E-2</v>
      </c>
      <c r="N576" s="4">
        <v>64345</v>
      </c>
      <c r="O576" s="4">
        <v>64401</v>
      </c>
      <c r="P576" s="4">
        <f>Tabela32[[#This Row],[Km Chegada]]-Tabela32[[#This Row],[Km Saída]]</f>
        <v>56</v>
      </c>
      <c r="Q576" s="4">
        <v>12</v>
      </c>
      <c r="R576" s="4">
        <v>1</v>
      </c>
      <c r="S576" s="4">
        <v>1</v>
      </c>
      <c r="T576" s="12">
        <f>Tabela32[[#This Row],[Entregas]]-Tabela32[[#This Row],[Realizadas]]</f>
        <v>0</v>
      </c>
      <c r="U576" s="18">
        <f>Tabela32[[#This Row],[Realizadas]]/Tabela32[[#This Row],[Entregas]]</f>
        <v>1</v>
      </c>
      <c r="V576" s="19" t="str">
        <f>IF(Tabela32[[#This Row],[% Entrega]]&gt;=96%,"Atendeu a Meta","Não Atendeu a Meta")</f>
        <v>Atendeu a Meta</v>
      </c>
      <c r="W576" s="4" t="s">
        <v>39</v>
      </c>
      <c r="X576" s="4">
        <v>0</v>
      </c>
      <c r="Y576" s="5">
        <v>0</v>
      </c>
    </row>
    <row r="577" spans="1:25" x14ac:dyDescent="0.25">
      <c r="A577" s="8">
        <v>46314</v>
      </c>
      <c r="B577" s="16">
        <f>YEAR(Tabela32[[#This Row],[Data]])</f>
        <v>2026</v>
      </c>
      <c r="C577" s="16">
        <f>MONTH(Tabela32[[#This Row],[Data]])</f>
        <v>10</v>
      </c>
      <c r="D577" s="4" t="s">
        <v>23</v>
      </c>
      <c r="E577" s="4">
        <v>1</v>
      </c>
      <c r="F577" s="4" t="str">
        <f>IFERROR(VLOOKUP(Tabela32[[#This Row],[Placa]],Planilha2!$A$1:$B$12,2,0),"")</f>
        <v>William</v>
      </c>
      <c r="G577" s="10">
        <v>10650.83</v>
      </c>
      <c r="H577" s="10">
        <v>96416.72</v>
      </c>
      <c r="I577" s="4">
        <v>2218</v>
      </c>
      <c r="J577" s="17">
        <f>IFERROR(Tabela32[[#This Row],[Valor Frete]]/Tabela32[[#This Row],[Valor Mercadoria]],"")</f>
        <v>0.11046662860964364</v>
      </c>
      <c r="K577" s="11">
        <v>0.3125</v>
      </c>
      <c r="L577" s="15">
        <v>0.78819444444444442</v>
      </c>
      <c r="M577" s="15">
        <f>Tabela32[[#This Row],[Hr Chegada]]-Tabela32[[#This Row],[Hr Saida]]</f>
        <v>0.47569444444444442</v>
      </c>
      <c r="N577" s="4">
        <v>127272</v>
      </c>
      <c r="O577" s="4">
        <v>127326</v>
      </c>
      <c r="P577" s="4">
        <f>Tabela32[[#This Row],[Km Chegada]]-Tabela32[[#This Row],[Km Saída]]</f>
        <v>54</v>
      </c>
      <c r="Q577" s="4">
        <v>349</v>
      </c>
      <c r="R577" s="4">
        <v>21</v>
      </c>
      <c r="S577" s="4">
        <v>21</v>
      </c>
      <c r="T577" s="12">
        <f>Tabela32[[#This Row],[Entregas]]-Tabela32[[#This Row],[Realizadas]]</f>
        <v>0</v>
      </c>
      <c r="U577" s="18">
        <f>Tabela32[[#This Row],[Realizadas]]/Tabela32[[#This Row],[Entregas]]</f>
        <v>1</v>
      </c>
      <c r="V577" s="19" t="str">
        <f>IF(Tabela32[[#This Row],[% Entrega]]&gt;=96%,"Atendeu a Meta","Não Atendeu a Meta")</f>
        <v>Atendeu a Meta</v>
      </c>
      <c r="W577" s="4" t="s">
        <v>43</v>
      </c>
      <c r="X577" s="4">
        <v>3</v>
      </c>
      <c r="Y577" s="5" t="s">
        <v>104</v>
      </c>
    </row>
    <row r="578" spans="1:25" x14ac:dyDescent="0.25">
      <c r="A578" s="8">
        <v>46314</v>
      </c>
      <c r="B578" s="16">
        <f>YEAR(Tabela32[[#This Row],[Data]])</f>
        <v>2026</v>
      </c>
      <c r="C578" s="16">
        <f>MONTH(Tabela32[[#This Row],[Data]])</f>
        <v>10</v>
      </c>
      <c r="D578" s="4" t="s">
        <v>31</v>
      </c>
      <c r="E578" s="4">
        <v>5</v>
      </c>
      <c r="F578" s="4" t="str">
        <f>IFERROR(VLOOKUP(Tabela32[[#This Row],[Placa]],Planilha2!$A$1:$B$12,2,0),"")</f>
        <v>Jerson</v>
      </c>
      <c r="G578" s="10">
        <v>9934.5300000000007</v>
      </c>
      <c r="H578" s="10">
        <v>147864.54</v>
      </c>
      <c r="I578" s="4">
        <v>2293</v>
      </c>
      <c r="J578" s="17">
        <f>IFERROR(Tabela32[[#This Row],[Valor Frete]]/Tabela32[[#This Row],[Valor Mercadoria]],"")</f>
        <v>6.7186696688739569E-2</v>
      </c>
      <c r="K578" s="11">
        <v>0.31805555555555554</v>
      </c>
      <c r="L578" s="15">
        <v>0.82291666666666663</v>
      </c>
      <c r="M578" s="15">
        <f>Tabela32[[#This Row],[Hr Chegada]]-Tabela32[[#This Row],[Hr Saida]]</f>
        <v>0.50486111111111109</v>
      </c>
      <c r="N578" s="4">
        <v>282254</v>
      </c>
      <c r="O578" s="4">
        <v>282336</v>
      </c>
      <c r="P578" s="4">
        <f>Tabela32[[#This Row],[Km Chegada]]-Tabela32[[#This Row],[Km Saída]]</f>
        <v>82</v>
      </c>
      <c r="Q578" s="4">
        <v>250</v>
      </c>
      <c r="R578" s="4">
        <v>33</v>
      </c>
      <c r="S578" s="4">
        <v>33</v>
      </c>
      <c r="T578" s="12">
        <f>Tabela32[[#This Row],[Entregas]]-Tabela32[[#This Row],[Realizadas]]</f>
        <v>0</v>
      </c>
      <c r="U578" s="18">
        <f>Tabela32[[#This Row],[Realizadas]]/Tabela32[[#This Row],[Entregas]]</f>
        <v>1</v>
      </c>
      <c r="V578" s="19" t="str">
        <f>IF(Tabela32[[#This Row],[% Entrega]]&gt;=96%,"Atendeu a Meta","Não Atendeu a Meta")</f>
        <v>Atendeu a Meta</v>
      </c>
      <c r="W578" s="4" t="s">
        <v>39</v>
      </c>
      <c r="X578" s="4">
        <v>0</v>
      </c>
      <c r="Y578" s="5">
        <v>0</v>
      </c>
    </row>
    <row r="579" spans="1:25" x14ac:dyDescent="0.25">
      <c r="A579" s="8">
        <v>46314</v>
      </c>
      <c r="B579" s="16">
        <f>YEAR(Tabela32[[#This Row],[Data]])</f>
        <v>2026</v>
      </c>
      <c r="C579" s="16">
        <f>MONTH(Tabela32[[#This Row],[Data]])</f>
        <v>10</v>
      </c>
      <c r="D579" s="4" t="s">
        <v>28</v>
      </c>
      <c r="E579" s="4">
        <v>11</v>
      </c>
      <c r="F579" s="4" t="str">
        <f>IFERROR(VLOOKUP(Tabela32[[#This Row],[Placa]],Planilha2!$A$1:$B$12,2,0),"")</f>
        <v>Edilson</v>
      </c>
      <c r="G579" s="10">
        <v>13799.75</v>
      </c>
      <c r="H579" s="10">
        <v>261701.28</v>
      </c>
      <c r="I579" s="4">
        <v>2250</v>
      </c>
      <c r="J579" s="17">
        <f>IFERROR(Tabela32[[#This Row],[Valor Frete]]/Tabela32[[#This Row],[Valor Mercadoria]],"")</f>
        <v>5.2730922829265489E-2</v>
      </c>
      <c r="K579" s="11">
        <v>0.27083333333333331</v>
      </c>
      <c r="L579" s="15">
        <v>0.79305555555555551</v>
      </c>
      <c r="M579" s="15">
        <f>Tabela32[[#This Row],[Hr Chegada]]-Tabela32[[#This Row],[Hr Saida]]</f>
        <v>0.52222222222222214</v>
      </c>
      <c r="N579" s="4">
        <v>107561</v>
      </c>
      <c r="O579" s="4">
        <v>107711</v>
      </c>
      <c r="P579" s="4">
        <f>Tabela32[[#This Row],[Km Chegada]]-Tabela32[[#This Row],[Km Saída]]</f>
        <v>150</v>
      </c>
      <c r="Q579" s="4">
        <v>384</v>
      </c>
      <c r="R579" s="4">
        <v>33</v>
      </c>
      <c r="S579" s="4">
        <v>33</v>
      </c>
      <c r="T579" s="12">
        <f>Tabela32[[#This Row],[Entregas]]-Tabela32[[#This Row],[Realizadas]]</f>
        <v>0</v>
      </c>
      <c r="U579" s="18">
        <f>Tabela32[[#This Row],[Realizadas]]/Tabela32[[#This Row],[Entregas]]</f>
        <v>1</v>
      </c>
      <c r="V579" s="19" t="str">
        <f>IF(Tabela32[[#This Row],[% Entrega]]&gt;=96%,"Atendeu a Meta","Não Atendeu a Meta")</f>
        <v>Atendeu a Meta</v>
      </c>
      <c r="W579" s="4" t="s">
        <v>41</v>
      </c>
      <c r="X579" s="4">
        <v>0</v>
      </c>
      <c r="Y579" s="5">
        <v>38.380000000000003</v>
      </c>
    </row>
    <row r="580" spans="1:25" x14ac:dyDescent="0.25">
      <c r="A580" s="8">
        <v>46314</v>
      </c>
      <c r="B580" s="16">
        <f>YEAR(Tabela32[[#This Row],[Data]])</f>
        <v>2026</v>
      </c>
      <c r="C580" s="16">
        <f>MONTH(Tabela32[[#This Row],[Data]])</f>
        <v>10</v>
      </c>
      <c r="D580" s="4" t="s">
        <v>36</v>
      </c>
      <c r="E580" s="4">
        <v>5</v>
      </c>
      <c r="F580" s="4" t="str">
        <f>IFERROR(VLOOKUP(Tabela32[[#This Row],[Placa]],Planilha2!$A$1:$B$12,2,0),"")</f>
        <v>Heremilton</v>
      </c>
      <c r="G580" s="10">
        <v>17819.759999999998</v>
      </c>
      <c r="H580" s="10">
        <v>343768.23</v>
      </c>
      <c r="I580" s="4">
        <v>4415</v>
      </c>
      <c r="J580" s="17">
        <f>IFERROR(Tabela32[[#This Row],[Valor Frete]]/Tabela32[[#This Row],[Valor Mercadoria]],"")</f>
        <v>5.1836552784415242E-2</v>
      </c>
      <c r="K580" s="11">
        <v>0.27638888888888891</v>
      </c>
      <c r="L580" s="15">
        <v>0.72916666666666663</v>
      </c>
      <c r="M580" s="15">
        <f>Tabela32[[#This Row],[Hr Chegada]]-Tabela32[[#This Row],[Hr Saida]]</f>
        <v>0.45277777777777772</v>
      </c>
      <c r="N580" s="4">
        <v>369199</v>
      </c>
      <c r="O580" s="4">
        <v>369235</v>
      </c>
      <c r="P580" s="4">
        <f>Tabela32[[#This Row],[Km Chegada]]-Tabela32[[#This Row],[Km Saída]]</f>
        <v>36</v>
      </c>
      <c r="Q580" s="4">
        <v>670</v>
      </c>
      <c r="R580" s="4">
        <v>16</v>
      </c>
      <c r="S580" s="4">
        <v>16</v>
      </c>
      <c r="T580" s="12">
        <f>Tabela32[[#This Row],[Entregas]]-Tabela32[[#This Row],[Realizadas]]</f>
        <v>0</v>
      </c>
      <c r="U580" s="18">
        <f>Tabela32[[#This Row],[Realizadas]]/Tabela32[[#This Row],[Entregas]]</f>
        <v>1</v>
      </c>
      <c r="V580" s="19" t="str">
        <f>IF(Tabela32[[#This Row],[% Entrega]]&gt;=96%,"Atendeu a Meta","Não Atendeu a Meta")</f>
        <v>Atendeu a Meta</v>
      </c>
      <c r="W580" s="4" t="s">
        <v>39</v>
      </c>
      <c r="X580" s="4">
        <v>0</v>
      </c>
      <c r="Y580" s="5">
        <v>0</v>
      </c>
    </row>
    <row r="581" spans="1:25" x14ac:dyDescent="0.25">
      <c r="A581" s="8">
        <v>46314</v>
      </c>
      <c r="B581" s="16">
        <f>YEAR(Tabela32[[#This Row],[Data]])</f>
        <v>2026</v>
      </c>
      <c r="C581" s="16">
        <f>MONTH(Tabela32[[#This Row],[Data]])</f>
        <v>10</v>
      </c>
      <c r="D581" s="4" t="s">
        <v>29</v>
      </c>
      <c r="E581" s="4">
        <v>5</v>
      </c>
      <c r="F581" s="4" t="str">
        <f>IFERROR(VLOOKUP(Tabela32[[#This Row],[Placa]],Planilha2!$A$1:$B$12,2,0),"")</f>
        <v>Sandro</v>
      </c>
      <c r="G581" s="10">
        <v>4789.96</v>
      </c>
      <c r="H581" s="10">
        <v>79727.63</v>
      </c>
      <c r="I581" s="4">
        <v>870</v>
      </c>
      <c r="J581" s="17">
        <f>IFERROR(Tabela32[[#This Row],[Valor Frete]]/Tabela32[[#This Row],[Valor Mercadoria]],"")</f>
        <v>6.007904662411262E-2</v>
      </c>
      <c r="K581" s="11">
        <v>0.3125</v>
      </c>
      <c r="L581" s="15">
        <v>0.71527777777777779</v>
      </c>
      <c r="M581" s="15">
        <f>Tabela32[[#This Row],[Hr Chegada]]-Tabela32[[#This Row],[Hr Saida]]</f>
        <v>0.40277777777777779</v>
      </c>
      <c r="N581" s="4">
        <v>277151</v>
      </c>
      <c r="O581" s="4">
        <v>277217</v>
      </c>
      <c r="P581" s="4">
        <f>Tabela32[[#This Row],[Km Chegada]]-Tabela32[[#This Row],[Km Saída]]</f>
        <v>66</v>
      </c>
      <c r="Q581" s="4">
        <v>152</v>
      </c>
      <c r="R581" s="4">
        <v>14</v>
      </c>
      <c r="S581" s="4">
        <v>14</v>
      </c>
      <c r="T581" s="12">
        <f>Tabela32[[#This Row],[Entregas]]-Tabela32[[#This Row],[Realizadas]]</f>
        <v>0</v>
      </c>
      <c r="U581" s="18">
        <f>Tabela32[[#This Row],[Realizadas]]/Tabela32[[#This Row],[Entregas]]</f>
        <v>1</v>
      </c>
      <c r="V581" s="19" t="str">
        <f>IF(Tabela32[[#This Row],[% Entrega]]&gt;=96%,"Atendeu a Meta","Não Atendeu a Meta")</f>
        <v>Atendeu a Meta</v>
      </c>
      <c r="W581" s="4" t="s">
        <v>39</v>
      </c>
      <c r="X581" s="4">
        <v>0</v>
      </c>
      <c r="Y581" s="5">
        <v>0</v>
      </c>
    </row>
    <row r="582" spans="1:25" x14ac:dyDescent="0.25">
      <c r="A582" s="8">
        <v>46314</v>
      </c>
      <c r="B582" s="16">
        <f>YEAR(Tabela32[[#This Row],[Data]])</f>
        <v>2026</v>
      </c>
      <c r="C582" s="16">
        <f>MONTH(Tabela32[[#This Row],[Data]])</f>
        <v>10</v>
      </c>
      <c r="D582" s="4" t="s">
        <v>33</v>
      </c>
      <c r="E582" s="4">
        <v>1</v>
      </c>
      <c r="F582" s="4" t="str">
        <f>IFERROR(VLOOKUP(Tabela32[[#This Row],[Placa]],Planilha2!$A$1:$B$12,2,0),"")</f>
        <v>Paulo</v>
      </c>
      <c r="G582" s="10">
        <v>2364.9299999999998</v>
      </c>
      <c r="H582" s="10">
        <v>63772.87</v>
      </c>
      <c r="I582" s="4">
        <v>629</v>
      </c>
      <c r="J582" s="17">
        <f>IFERROR(Tabela32[[#This Row],[Valor Frete]]/Tabela32[[#This Row],[Valor Mercadoria]],"")</f>
        <v>3.7083637603262949E-2</v>
      </c>
      <c r="K582" s="11">
        <v>0.3125</v>
      </c>
      <c r="L582" s="15">
        <v>0.57847222222222228</v>
      </c>
      <c r="M582" s="15">
        <f>Tabela32[[#This Row],[Hr Chegada]]-Tabela32[[#This Row],[Hr Saida]]</f>
        <v>0.26597222222222228</v>
      </c>
      <c r="N582" s="4">
        <v>157561</v>
      </c>
      <c r="O582" s="4">
        <v>157659</v>
      </c>
      <c r="P582" s="4">
        <f>Tabela32[[#This Row],[Km Chegada]]-Tabela32[[#This Row],[Km Saída]]</f>
        <v>98</v>
      </c>
      <c r="Q582" s="4">
        <v>67</v>
      </c>
      <c r="R582" s="4">
        <v>5</v>
      </c>
      <c r="S582" s="4">
        <v>5</v>
      </c>
      <c r="T582" s="12">
        <f>Tabela32[[#This Row],[Entregas]]-Tabela32[[#This Row],[Realizadas]]</f>
        <v>0</v>
      </c>
      <c r="U582" s="18">
        <f>Tabela32[[#This Row],[Realizadas]]/Tabela32[[#This Row],[Entregas]]</f>
        <v>1</v>
      </c>
      <c r="V582" s="19" t="str">
        <f>IF(Tabela32[[#This Row],[% Entrega]]&gt;=96%,"Atendeu a Meta","Não Atendeu a Meta")</f>
        <v>Atendeu a Meta</v>
      </c>
      <c r="W582" s="4" t="s">
        <v>43</v>
      </c>
      <c r="X582" s="4">
        <v>0</v>
      </c>
      <c r="Y582" s="5">
        <v>0</v>
      </c>
    </row>
    <row r="583" spans="1:25" x14ac:dyDescent="0.25">
      <c r="A583" s="8">
        <v>46314</v>
      </c>
      <c r="B583" s="16">
        <f>YEAR(Tabela32[[#This Row],[Data]])</f>
        <v>2026</v>
      </c>
      <c r="C583" s="16">
        <f>MONTH(Tabela32[[#This Row],[Data]])</f>
        <v>10</v>
      </c>
      <c r="D583" s="4" t="s">
        <v>33</v>
      </c>
      <c r="E583" s="4">
        <v>1</v>
      </c>
      <c r="F583" s="4" t="str">
        <f>IFERROR(VLOOKUP(Tabela32[[#This Row],[Placa]],Planilha2!$A$1:$B$12,2,0),"")</f>
        <v>Paulo</v>
      </c>
      <c r="G583" s="10">
        <v>1558.36</v>
      </c>
      <c r="H583" s="10">
        <v>24322.73</v>
      </c>
      <c r="I583" s="4">
        <v>56</v>
      </c>
      <c r="J583" s="17">
        <f>IFERROR(Tabela32[[#This Row],[Valor Frete]]/Tabela32[[#This Row],[Valor Mercadoria]],"")</f>
        <v>6.4070110550912662E-2</v>
      </c>
      <c r="K583" s="11">
        <v>0.58819444444444446</v>
      </c>
      <c r="L583" s="15">
        <v>0.69791666666666663</v>
      </c>
      <c r="M583" s="15">
        <f>Tabela32[[#This Row],[Hr Chegada]]-Tabela32[[#This Row],[Hr Saida]]</f>
        <v>0.10972222222222217</v>
      </c>
      <c r="N583" s="4">
        <v>157659</v>
      </c>
      <c r="O583" s="4">
        <v>157700</v>
      </c>
      <c r="P583" s="4">
        <f>Tabela32[[#This Row],[Km Chegada]]-Tabela32[[#This Row],[Km Saída]]</f>
        <v>41</v>
      </c>
      <c r="Q583" s="4">
        <v>52</v>
      </c>
      <c r="R583" s="4">
        <v>3</v>
      </c>
      <c r="S583" s="4">
        <v>3</v>
      </c>
      <c r="T583" s="12">
        <f>Tabela32[[#This Row],[Entregas]]-Tabela32[[#This Row],[Realizadas]]</f>
        <v>0</v>
      </c>
      <c r="U583" s="18">
        <f>Tabela32[[#This Row],[Realizadas]]/Tabela32[[#This Row],[Entregas]]</f>
        <v>1</v>
      </c>
      <c r="V583" s="19" t="str">
        <f>IF(Tabela32[[#This Row],[% Entrega]]&gt;=96%,"Atendeu a Meta","Não Atendeu a Meta")</f>
        <v>Atendeu a Meta</v>
      </c>
      <c r="W583" s="4" t="s">
        <v>43</v>
      </c>
      <c r="X583" s="4">
        <v>0</v>
      </c>
      <c r="Y583" s="5">
        <v>0</v>
      </c>
    </row>
    <row r="584" spans="1:25" x14ac:dyDescent="0.25">
      <c r="A584" s="8">
        <v>46314</v>
      </c>
      <c r="B584" s="16">
        <f>YEAR(Tabela32[[#This Row],[Data]])</f>
        <v>2026</v>
      </c>
      <c r="C584" s="16">
        <f>MONTH(Tabela32[[#This Row],[Data]])</f>
        <v>10</v>
      </c>
      <c r="D584" s="4" t="s">
        <v>25</v>
      </c>
      <c r="E584" s="4">
        <v>2</v>
      </c>
      <c r="F584" s="4" t="str">
        <f>IFERROR(VLOOKUP(Tabela32[[#This Row],[Placa]],Planilha2!$A$1:$B$12,2,0),"")</f>
        <v>Gilberto</v>
      </c>
      <c r="G584" s="10">
        <v>9440.3799999999992</v>
      </c>
      <c r="H584" s="10">
        <v>171185.29</v>
      </c>
      <c r="I584" s="4">
        <v>3022</v>
      </c>
      <c r="J584" s="17">
        <f>IFERROR(Tabela32[[#This Row],[Valor Frete]]/Tabela32[[#This Row],[Valor Mercadoria]],"")</f>
        <v>5.5147144944521803E-2</v>
      </c>
      <c r="K584" s="11">
        <v>0.29166666666666669</v>
      </c>
      <c r="L584" s="15">
        <v>0.72222222222222221</v>
      </c>
      <c r="M584" s="15">
        <f>Tabela32[[#This Row],[Hr Chegada]]-Tabela32[[#This Row],[Hr Saida]]</f>
        <v>0.43055555555555552</v>
      </c>
      <c r="N584" s="4">
        <v>121193</v>
      </c>
      <c r="O584" s="4">
        <v>121242</v>
      </c>
      <c r="P584" s="4">
        <f>Tabela32[[#This Row],[Km Chegada]]-Tabela32[[#This Row],[Km Saída]]</f>
        <v>49</v>
      </c>
      <c r="Q584" s="4">
        <v>606</v>
      </c>
      <c r="R584" s="4">
        <v>19</v>
      </c>
      <c r="S584" s="4">
        <v>19</v>
      </c>
      <c r="T584" s="12">
        <f>Tabela32[[#This Row],[Entregas]]-Tabela32[[#This Row],[Realizadas]]</f>
        <v>0</v>
      </c>
      <c r="U584" s="18">
        <f>Tabela32[[#This Row],[Realizadas]]/Tabela32[[#This Row],[Entregas]]</f>
        <v>1</v>
      </c>
      <c r="V584" s="19" t="str">
        <f>IF(Tabela32[[#This Row],[% Entrega]]&gt;=96%,"Atendeu a Meta","Não Atendeu a Meta")</f>
        <v>Atendeu a Meta</v>
      </c>
      <c r="W584" s="4" t="s">
        <v>39</v>
      </c>
      <c r="X584" s="4">
        <v>0</v>
      </c>
      <c r="Y584" s="5">
        <v>0</v>
      </c>
    </row>
    <row r="585" spans="1:25" x14ac:dyDescent="0.25">
      <c r="A585" s="8">
        <v>46314</v>
      </c>
      <c r="B585" s="16">
        <f>YEAR(Tabela32[[#This Row],[Data]])</f>
        <v>2026</v>
      </c>
      <c r="C585" s="16">
        <f>MONTH(Tabela32[[#This Row],[Data]])</f>
        <v>10</v>
      </c>
      <c r="D585" s="4" t="s">
        <v>53</v>
      </c>
      <c r="E585" s="4">
        <v>1</v>
      </c>
      <c r="F585" s="4" t="str">
        <f>IFERROR(VLOOKUP(Tabela32[[#This Row],[Placa]],Planilha2!$A$1:$B$12,2,0),"")</f>
        <v>Arnaldo</v>
      </c>
      <c r="G585" s="10">
        <v>10512.32</v>
      </c>
      <c r="H585" s="10">
        <v>225921.51</v>
      </c>
      <c r="I585" s="4">
        <v>4140</v>
      </c>
      <c r="J585" s="17">
        <f>IFERROR(Tabela32[[#This Row],[Valor Frete]]/Tabela32[[#This Row],[Valor Mercadoria]],"")</f>
        <v>4.6530850471033058E-2</v>
      </c>
      <c r="K585" s="11">
        <v>0.3263888888888889</v>
      </c>
      <c r="L585" s="15">
        <v>0.75</v>
      </c>
      <c r="M585" s="15">
        <f>Tabela32[[#This Row],[Hr Chegada]]-Tabela32[[#This Row],[Hr Saida]]</f>
        <v>0.4236111111111111</v>
      </c>
      <c r="N585" s="4">
        <v>14889</v>
      </c>
      <c r="O585" s="4">
        <v>14998</v>
      </c>
      <c r="P585" s="4">
        <f>Tabela32[[#This Row],[Km Chegada]]-Tabela32[[#This Row],[Km Saída]]</f>
        <v>109</v>
      </c>
      <c r="Q585" s="4">
        <v>445</v>
      </c>
      <c r="R585" s="4">
        <v>7</v>
      </c>
      <c r="S585" s="4">
        <v>7</v>
      </c>
      <c r="T585" s="12">
        <f>Tabela32[[#This Row],[Entregas]]-Tabela32[[#This Row],[Realizadas]]</f>
        <v>0</v>
      </c>
      <c r="U585" s="18">
        <f>Tabela32[[#This Row],[Realizadas]]/Tabela32[[#This Row],[Entregas]]</f>
        <v>1</v>
      </c>
      <c r="V585" s="19" t="str">
        <f>IF(Tabela32[[#This Row],[% Entrega]]&gt;=96%,"Atendeu a Meta","Não Atendeu a Meta")</f>
        <v>Atendeu a Meta</v>
      </c>
      <c r="W585" s="4" t="s">
        <v>40</v>
      </c>
      <c r="X585" s="4">
        <v>0</v>
      </c>
      <c r="Y585" s="5">
        <v>0</v>
      </c>
    </row>
    <row r="586" spans="1:25" x14ac:dyDescent="0.25">
      <c r="A586" s="8">
        <v>46314</v>
      </c>
      <c r="B586" s="16">
        <f>YEAR(Tabela32[[#This Row],[Data]])</f>
        <v>2026</v>
      </c>
      <c r="C586" s="16">
        <f>MONTH(Tabela32[[#This Row],[Data]])</f>
        <v>10</v>
      </c>
      <c r="D586" s="4" t="s">
        <v>22</v>
      </c>
      <c r="E586" s="4">
        <v>4</v>
      </c>
      <c r="F586" s="4" t="str">
        <f>IFERROR(VLOOKUP(Tabela32[[#This Row],[Placa]],Planilha2!$A$1:$B$12,2,0),"")</f>
        <v>Juscelino</v>
      </c>
      <c r="G586" s="10">
        <v>7808.9</v>
      </c>
      <c r="H586" s="10">
        <v>161554.95000000001</v>
      </c>
      <c r="I586" s="4">
        <v>3215</v>
      </c>
      <c r="J586" s="17">
        <f>IFERROR(Tabela32[[#This Row],[Valor Frete]]/Tabela32[[#This Row],[Valor Mercadoria]],"")</f>
        <v>4.8335875811914147E-2</v>
      </c>
      <c r="K586" s="11">
        <v>0.3125</v>
      </c>
      <c r="L586" s="15">
        <v>0.73611111111111116</v>
      </c>
      <c r="M586" s="15">
        <f>Tabela32[[#This Row],[Hr Chegada]]-Tabela32[[#This Row],[Hr Saida]]</f>
        <v>0.42361111111111116</v>
      </c>
      <c r="N586" s="4">
        <v>306655</v>
      </c>
      <c r="O586" s="4">
        <v>306713</v>
      </c>
      <c r="P586" s="4">
        <f>Tabela32[[#This Row],[Km Chegada]]-Tabela32[[#This Row],[Km Saída]]</f>
        <v>58</v>
      </c>
      <c r="Q586" s="4">
        <v>480</v>
      </c>
      <c r="R586" s="4">
        <v>11</v>
      </c>
      <c r="S586" s="4">
        <v>11</v>
      </c>
      <c r="T586" s="12">
        <f>Tabela32[[#This Row],[Entregas]]-Tabela32[[#This Row],[Realizadas]]</f>
        <v>0</v>
      </c>
      <c r="U586" s="18">
        <f>Tabela32[[#This Row],[Realizadas]]/Tabela32[[#This Row],[Entregas]]</f>
        <v>1</v>
      </c>
      <c r="V586" s="19" t="str">
        <f>IF(Tabela32[[#This Row],[% Entrega]]&gt;=96%,"Atendeu a Meta","Não Atendeu a Meta")</f>
        <v>Atendeu a Meta</v>
      </c>
      <c r="W586" s="4" t="s">
        <v>39</v>
      </c>
      <c r="X586" s="4">
        <v>0</v>
      </c>
      <c r="Y586" s="5">
        <v>0</v>
      </c>
    </row>
    <row r="587" spans="1:25" x14ac:dyDescent="0.25">
      <c r="A587" s="8">
        <v>46314</v>
      </c>
      <c r="B587" s="16">
        <f>YEAR(Tabela32[[#This Row],[Data]])</f>
        <v>2026</v>
      </c>
      <c r="C587" s="16">
        <f>MONTH(Tabela32[[#This Row],[Data]])</f>
        <v>10</v>
      </c>
      <c r="D587" s="4" t="s">
        <v>35</v>
      </c>
      <c r="E587" s="4">
        <v>3</v>
      </c>
      <c r="F587" s="4" t="str">
        <f>IFERROR(VLOOKUP(Tabela32[[#This Row],[Placa]],Planilha2!$A$1:$B$12,2,0),"")</f>
        <v>Osvaldo</v>
      </c>
      <c r="G587" s="10">
        <v>5825.17</v>
      </c>
      <c r="H587" s="10">
        <v>111862.03</v>
      </c>
      <c r="I587" s="4">
        <v>869</v>
      </c>
      <c r="J587" s="17">
        <f>IFERROR(Tabela32[[#This Row],[Valor Frete]]/Tabela32[[#This Row],[Valor Mercadoria]],"")</f>
        <v>5.2074595821298794E-2</v>
      </c>
      <c r="K587" s="11">
        <v>0.3125</v>
      </c>
      <c r="L587" s="15">
        <v>0.75</v>
      </c>
      <c r="M587" s="15">
        <f>Tabela32[[#This Row],[Hr Chegada]]-Tabela32[[#This Row],[Hr Saida]]</f>
        <v>0.4375</v>
      </c>
      <c r="N587" s="4">
        <v>145183</v>
      </c>
      <c r="O587" s="4">
        <v>145236</v>
      </c>
      <c r="P587" s="4">
        <f>Tabela32[[#This Row],[Km Chegada]]-Tabela32[[#This Row],[Km Saída]]</f>
        <v>53</v>
      </c>
      <c r="Q587" s="4">
        <v>146</v>
      </c>
      <c r="R587" s="4">
        <v>19</v>
      </c>
      <c r="S587" s="4">
        <v>19</v>
      </c>
      <c r="T587" s="12">
        <f>Tabela32[[#This Row],[Entregas]]-Tabela32[[#This Row],[Realizadas]]</f>
        <v>0</v>
      </c>
      <c r="U587" s="18">
        <f>Tabela32[[#This Row],[Realizadas]]/Tabela32[[#This Row],[Entregas]]</f>
        <v>1</v>
      </c>
      <c r="V587" s="19" t="str">
        <f>IF(Tabela32[[#This Row],[% Entrega]]&gt;=96%,"Atendeu a Meta","Não Atendeu a Meta")</f>
        <v>Atendeu a Meta</v>
      </c>
      <c r="W587" s="4" t="s">
        <v>39</v>
      </c>
      <c r="X587" s="4">
        <v>0</v>
      </c>
      <c r="Y587" s="5">
        <v>0</v>
      </c>
    </row>
    <row r="588" spans="1:25" x14ac:dyDescent="0.25">
      <c r="A588" s="8">
        <v>46314</v>
      </c>
      <c r="B588" s="16">
        <f>YEAR(Tabela32[[#This Row],[Data]])</f>
        <v>2026</v>
      </c>
      <c r="C588" s="16">
        <f>MONTH(Tabela32[[#This Row],[Data]])</f>
        <v>10</v>
      </c>
      <c r="D588" s="4" t="s">
        <v>27</v>
      </c>
      <c r="E588" s="4">
        <v>3</v>
      </c>
      <c r="F588" s="4" t="str">
        <f>IFERROR(VLOOKUP(Tabela32[[#This Row],[Placa]],Planilha2!$A$1:$B$12,2,0),"")</f>
        <v>Rosinaldo</v>
      </c>
      <c r="G588" s="10">
        <v>8578.77</v>
      </c>
      <c r="H588" s="10">
        <v>161474.5</v>
      </c>
      <c r="I588" s="4">
        <v>1516</v>
      </c>
      <c r="J588" s="17">
        <f>IFERROR(Tabela32[[#This Row],[Valor Frete]]/Tabela32[[#This Row],[Valor Mercadoria]],"")</f>
        <v>5.3127707470839051E-2</v>
      </c>
      <c r="K588" s="11">
        <v>0.3125</v>
      </c>
      <c r="L588" s="15">
        <v>0.7416666666666667</v>
      </c>
      <c r="M588" s="15">
        <f>Tabela32[[#This Row],[Hr Chegada]]-Tabela32[[#This Row],[Hr Saida]]</f>
        <v>0.4291666666666667</v>
      </c>
      <c r="N588" s="4">
        <v>292707</v>
      </c>
      <c r="O588" s="4">
        <v>292762</v>
      </c>
      <c r="P588" s="4">
        <f>Tabela32[[#This Row],[Km Chegada]]-Tabela32[[#This Row],[Km Saída]]</f>
        <v>55</v>
      </c>
      <c r="Q588" s="4">
        <v>275</v>
      </c>
      <c r="R588" s="4">
        <v>29</v>
      </c>
      <c r="S588" s="4">
        <v>29</v>
      </c>
      <c r="T588" s="12">
        <f>Tabela32[[#This Row],[Entregas]]-Tabela32[[#This Row],[Realizadas]]</f>
        <v>0</v>
      </c>
      <c r="U588" s="18">
        <f>Tabela32[[#This Row],[Realizadas]]/Tabela32[[#This Row],[Entregas]]</f>
        <v>1</v>
      </c>
      <c r="V588" s="19" t="str">
        <f>IF(Tabela32[[#This Row],[% Entrega]]&gt;=96%,"Atendeu a Meta","Não Atendeu a Meta")</f>
        <v>Atendeu a Meta</v>
      </c>
      <c r="W588" s="4" t="s">
        <v>39</v>
      </c>
      <c r="X588" s="4">
        <v>2</v>
      </c>
      <c r="Y588" s="5">
        <v>9.9</v>
      </c>
    </row>
    <row r="589" spans="1:25" x14ac:dyDescent="0.25">
      <c r="A589" s="8">
        <v>46315</v>
      </c>
      <c r="B589" s="26">
        <f>YEAR(Tabela32[[#This Row],[Data]])</f>
        <v>2026</v>
      </c>
      <c r="C589" s="26">
        <f>MONTH(Tabela32[[#This Row],[Data]])</f>
        <v>10</v>
      </c>
      <c r="D589" s="4" t="s">
        <v>22</v>
      </c>
      <c r="E589" s="4">
        <v>5</v>
      </c>
      <c r="F589" s="4" t="str">
        <f>IFERROR(VLOOKUP(Tabela32[[#This Row],[Placa]],Planilha2!$A$1:$B$12,2,0),"")</f>
        <v>Juscelino</v>
      </c>
      <c r="G589" s="10">
        <v>8910.6200000000008</v>
      </c>
      <c r="H589" s="10">
        <v>154705.03</v>
      </c>
      <c r="I589" s="4">
        <v>1791</v>
      </c>
      <c r="J589" s="17">
        <f>IFERROR(Tabela32[[#This Row],[Valor Frete]]/Tabela32[[#This Row],[Valor Mercadoria]],"")</f>
        <v>5.759748083174801E-2</v>
      </c>
      <c r="K589" s="11">
        <v>0.3125</v>
      </c>
      <c r="L589" s="15">
        <v>0.69166666666666665</v>
      </c>
      <c r="M589" s="15">
        <f>Tabela32[[#This Row],[Hr Chegada]]-Tabela32[[#This Row],[Hr Saida]]</f>
        <v>0.37916666666666665</v>
      </c>
      <c r="N589" s="4">
        <v>306713</v>
      </c>
      <c r="O589" s="4">
        <v>306802</v>
      </c>
      <c r="P589" s="4">
        <f>Tabela32[[#This Row],[Km Chegada]]-Tabela32[[#This Row],[Km Saída]]</f>
        <v>89</v>
      </c>
      <c r="Q589" s="4">
        <v>308</v>
      </c>
      <c r="R589" s="4">
        <v>14</v>
      </c>
      <c r="S589" s="4">
        <v>14</v>
      </c>
      <c r="T589" s="12">
        <f>Tabela32[[#This Row],[Entregas]]-Tabela32[[#This Row],[Realizadas]]</f>
        <v>0</v>
      </c>
      <c r="U589" s="18">
        <f>Tabela32[[#This Row],[Realizadas]]/Tabela32[[#This Row],[Entregas]]</f>
        <v>1</v>
      </c>
      <c r="V589" s="19" t="str">
        <f>IF(Tabela32[[#This Row],[% Entrega]]&gt;=96%,"Atendeu a Meta","Não Atendeu a Meta")</f>
        <v>Atendeu a Meta</v>
      </c>
      <c r="W589" s="4" t="s">
        <v>39</v>
      </c>
      <c r="X589" s="4">
        <v>0</v>
      </c>
      <c r="Y589" s="5">
        <v>0</v>
      </c>
    </row>
    <row r="590" spans="1:25" x14ac:dyDescent="0.25">
      <c r="A590" s="8">
        <v>46315</v>
      </c>
      <c r="B590" s="26">
        <f>YEAR(Tabela32[[#This Row],[Data]])</f>
        <v>2026</v>
      </c>
      <c r="C590" s="26">
        <f>MONTH(Tabela32[[#This Row],[Data]])</f>
        <v>10</v>
      </c>
      <c r="D590" s="4" t="s">
        <v>28</v>
      </c>
      <c r="E590" s="4">
        <v>11</v>
      </c>
      <c r="F590" s="4" t="str">
        <f>IFERROR(VLOOKUP(Tabela32[[#This Row],[Placa]],Planilha2!$A$1:$B$12,2,0),"")</f>
        <v>Edilson</v>
      </c>
      <c r="G590" s="10">
        <v>31294.400000000001</v>
      </c>
      <c r="H590" s="10">
        <v>774001.49</v>
      </c>
      <c r="I590" s="4">
        <v>6346</v>
      </c>
      <c r="J590" s="17">
        <f>IFERROR(Tabela32[[#This Row],[Valor Frete]]/Tabela32[[#This Row],[Valor Mercadoria]],"")</f>
        <v>4.0431963509527616E-2</v>
      </c>
      <c r="K590" s="11">
        <v>0.27083333333333331</v>
      </c>
      <c r="L590" s="15">
        <v>0.70833333333333337</v>
      </c>
      <c r="M590" s="15">
        <f>Tabela32[[#This Row],[Hr Chegada]]-Tabela32[[#This Row],[Hr Saida]]</f>
        <v>0.43750000000000006</v>
      </c>
      <c r="N590" s="4">
        <v>107711</v>
      </c>
      <c r="O590" s="4">
        <v>107835</v>
      </c>
      <c r="P590" s="4">
        <f>Tabela32[[#This Row],[Km Chegada]]-Tabela32[[#This Row],[Km Saída]]</f>
        <v>124</v>
      </c>
      <c r="Q590" s="4">
        <v>17</v>
      </c>
      <c r="R590" s="4">
        <v>1</v>
      </c>
      <c r="S590" s="4">
        <v>1</v>
      </c>
      <c r="T590" s="12">
        <f>Tabela32[[#This Row],[Entregas]]-Tabela32[[#This Row],[Realizadas]]</f>
        <v>0</v>
      </c>
      <c r="U590" s="18">
        <f>Tabela32[[#This Row],[Realizadas]]/Tabela32[[#This Row],[Entregas]]</f>
        <v>1</v>
      </c>
      <c r="V590" s="19" t="str">
        <f>IF(Tabela32[[#This Row],[% Entrega]]&gt;=96%,"Atendeu a Meta","Não Atendeu a Meta")</f>
        <v>Atendeu a Meta</v>
      </c>
      <c r="W590" s="4" t="s">
        <v>41</v>
      </c>
      <c r="X590" s="4">
        <v>0</v>
      </c>
      <c r="Y590" s="5">
        <v>0</v>
      </c>
    </row>
    <row r="591" spans="1:25" x14ac:dyDescent="0.25">
      <c r="A591" s="8">
        <v>46315</v>
      </c>
      <c r="B591" s="26">
        <f>YEAR(Tabela32[[#This Row],[Data]])</f>
        <v>2026</v>
      </c>
      <c r="C591" s="26">
        <f>MONTH(Tabela32[[#This Row],[Data]])</f>
        <v>10</v>
      </c>
      <c r="D591" s="4" t="s">
        <v>27</v>
      </c>
      <c r="E591" s="4">
        <v>3</v>
      </c>
      <c r="F591" s="4" t="str">
        <f>IFERROR(VLOOKUP(Tabela32[[#This Row],[Placa]],Planilha2!$A$1:$B$12,2,0),"")</f>
        <v>Rosinaldo</v>
      </c>
      <c r="G591" s="10">
        <v>10343.709999999999</v>
      </c>
      <c r="H591" s="10">
        <v>357847.19</v>
      </c>
      <c r="I591" s="4">
        <v>2447</v>
      </c>
      <c r="J591" s="17">
        <f>IFERROR(Tabela32[[#This Row],[Valor Frete]]/Tabela32[[#This Row],[Valor Mercadoria]],"")</f>
        <v>2.8905382769667688E-2</v>
      </c>
      <c r="K591" s="11">
        <v>0.29166666666666669</v>
      </c>
      <c r="L591" s="15">
        <v>0.73055555555555551</v>
      </c>
      <c r="M591" s="15">
        <f>Tabela32[[#This Row],[Hr Chegada]]-Tabela32[[#This Row],[Hr Saida]]</f>
        <v>0.43888888888888883</v>
      </c>
      <c r="N591" s="4">
        <v>292762</v>
      </c>
      <c r="O591" s="4">
        <v>292852</v>
      </c>
      <c r="P591" s="4">
        <f>Tabela32[[#This Row],[Km Chegada]]-Tabela32[[#This Row],[Km Saída]]</f>
        <v>90</v>
      </c>
      <c r="Q591" s="4">
        <v>271</v>
      </c>
      <c r="R591" s="4">
        <v>16</v>
      </c>
      <c r="S591" s="4">
        <v>16</v>
      </c>
      <c r="T591" s="12">
        <f>Tabela32[[#This Row],[Entregas]]-Tabela32[[#This Row],[Realizadas]]</f>
        <v>0</v>
      </c>
      <c r="U591" s="18">
        <f>Tabela32[[#This Row],[Realizadas]]/Tabela32[[#This Row],[Entregas]]</f>
        <v>1</v>
      </c>
      <c r="V591" s="19" t="str">
        <f>IF(Tabela32[[#This Row],[% Entrega]]&gt;=96%,"Atendeu a Meta","Não Atendeu a Meta")</f>
        <v>Atendeu a Meta</v>
      </c>
      <c r="W591" s="4" t="s">
        <v>39</v>
      </c>
      <c r="X591" s="4">
        <v>0</v>
      </c>
      <c r="Y591" s="5">
        <v>38</v>
      </c>
    </row>
    <row r="592" spans="1:25" x14ac:dyDescent="0.25">
      <c r="A592" s="8">
        <v>46315</v>
      </c>
      <c r="B592" s="26">
        <f>YEAR(Tabela32[[#This Row],[Data]])</f>
        <v>2026</v>
      </c>
      <c r="C592" s="26">
        <f>MONTH(Tabela32[[#This Row],[Data]])</f>
        <v>10</v>
      </c>
      <c r="D592" s="4" t="s">
        <v>33</v>
      </c>
      <c r="E592" s="4">
        <v>1</v>
      </c>
      <c r="F592" s="4" t="str">
        <f>IFERROR(VLOOKUP(Tabela32[[#This Row],[Placa]],Planilha2!$A$1:$B$12,2,0),"")</f>
        <v>Paulo</v>
      </c>
      <c r="G592" s="10">
        <v>4937.08</v>
      </c>
      <c r="H592" s="10">
        <v>53124.21</v>
      </c>
      <c r="I592" s="4">
        <v>671</v>
      </c>
      <c r="J592" s="17">
        <f>IFERROR(Tabela32[[#This Row],[Valor Frete]]/Tabela32[[#This Row],[Valor Mercadoria]],"")</f>
        <v>9.2934652581186619E-2</v>
      </c>
      <c r="K592" s="11">
        <v>0.29166666666666669</v>
      </c>
      <c r="L592" s="15">
        <v>0.69722222222222219</v>
      </c>
      <c r="M592" s="15">
        <f>Tabela32[[#This Row],[Hr Chegada]]-Tabela32[[#This Row],[Hr Saida]]</f>
        <v>0.4055555555555555</v>
      </c>
      <c r="N592" s="4">
        <v>157700</v>
      </c>
      <c r="O592" s="4">
        <v>157777</v>
      </c>
      <c r="P592" s="4">
        <f>Tabela32[[#This Row],[Km Chegada]]-Tabela32[[#This Row],[Km Saída]]</f>
        <v>77</v>
      </c>
      <c r="Q592" s="4">
        <v>87</v>
      </c>
      <c r="R592" s="4">
        <v>6</v>
      </c>
      <c r="S592" s="4">
        <v>6</v>
      </c>
      <c r="T592" s="12">
        <f>Tabela32[[#This Row],[Entregas]]-Tabela32[[#This Row],[Realizadas]]</f>
        <v>0</v>
      </c>
      <c r="U592" s="18">
        <f>Tabela32[[#This Row],[Realizadas]]/Tabela32[[#This Row],[Entregas]]</f>
        <v>1</v>
      </c>
      <c r="V592" s="19" t="str">
        <f>IF(Tabela32[[#This Row],[% Entrega]]&gt;=96%,"Atendeu a Meta","Não Atendeu a Meta")</f>
        <v>Atendeu a Meta</v>
      </c>
      <c r="W592" s="4" t="s">
        <v>40</v>
      </c>
      <c r="X592" s="4">
        <v>0</v>
      </c>
      <c r="Y592" s="5">
        <v>0</v>
      </c>
    </row>
    <row r="593" spans="1:25" x14ac:dyDescent="0.25">
      <c r="A593" s="8">
        <v>46315</v>
      </c>
      <c r="B593" s="26">
        <f>YEAR(Tabela32[[#This Row],[Data]])</f>
        <v>2026</v>
      </c>
      <c r="C593" s="26">
        <f>MONTH(Tabela32[[#This Row],[Data]])</f>
        <v>10</v>
      </c>
      <c r="D593" s="4" t="s">
        <v>35</v>
      </c>
      <c r="E593" s="4">
        <v>3</v>
      </c>
      <c r="F593" s="4" t="str">
        <f>IFERROR(VLOOKUP(Tabela32[[#This Row],[Placa]],Planilha2!$A$1:$B$12,2,0),"")</f>
        <v>Osvaldo</v>
      </c>
      <c r="G593" s="10">
        <v>11018.08</v>
      </c>
      <c r="H593" s="10">
        <v>296007.76</v>
      </c>
      <c r="I593" s="4">
        <v>1833</v>
      </c>
      <c r="J593" s="17">
        <f>IFERROR(Tabela32[[#This Row],[Valor Frete]]/Tabela32[[#This Row],[Valor Mercadoria]],"")</f>
        <v>3.72222674162326E-2</v>
      </c>
      <c r="K593" s="11">
        <v>0.30355324074074075</v>
      </c>
      <c r="L593" s="15">
        <v>0.71319444444444446</v>
      </c>
      <c r="M593" s="15">
        <f>Tabela32[[#This Row],[Hr Chegada]]-Tabela32[[#This Row],[Hr Saida]]</f>
        <v>0.40964120370370372</v>
      </c>
      <c r="N593" s="4">
        <v>145236</v>
      </c>
      <c r="O593" s="4">
        <v>145287</v>
      </c>
      <c r="P593" s="4">
        <f>Tabela32[[#This Row],[Km Chegada]]-Tabela32[[#This Row],[Km Saída]]</f>
        <v>51</v>
      </c>
      <c r="Q593" s="4">
        <v>380</v>
      </c>
      <c r="R593" s="4">
        <v>27</v>
      </c>
      <c r="S593" s="4">
        <v>27</v>
      </c>
      <c r="T593" s="12">
        <f>Tabela32[[#This Row],[Entregas]]-Tabela32[[#This Row],[Realizadas]]</f>
        <v>0</v>
      </c>
      <c r="U593" s="18">
        <f>Tabela32[[#This Row],[Realizadas]]/Tabela32[[#This Row],[Entregas]]</f>
        <v>1</v>
      </c>
      <c r="V593" s="19" t="str">
        <f>IF(Tabela32[[#This Row],[% Entrega]]&gt;=96%,"Atendeu a Meta","Não Atendeu a Meta")</f>
        <v>Atendeu a Meta</v>
      </c>
      <c r="W593" s="4" t="s">
        <v>39</v>
      </c>
      <c r="X593" s="4">
        <v>0</v>
      </c>
      <c r="Y593" s="5">
        <v>0</v>
      </c>
    </row>
    <row r="594" spans="1:25" x14ac:dyDescent="0.25">
      <c r="A594" s="8">
        <v>46315</v>
      </c>
      <c r="B594" s="26">
        <f>YEAR(Tabela32[[#This Row],[Data]])</f>
        <v>2026</v>
      </c>
      <c r="C594" s="26">
        <f>MONTH(Tabela32[[#This Row],[Data]])</f>
        <v>10</v>
      </c>
      <c r="D594" s="4" t="s">
        <v>29</v>
      </c>
      <c r="E594" s="4">
        <v>1</v>
      </c>
      <c r="F594" s="4" t="str">
        <f>IFERROR(VLOOKUP(Tabela32[[#This Row],[Placa]],Planilha2!$A$1:$B$12,2,0),"")</f>
        <v>Sandro</v>
      </c>
      <c r="G594" s="10">
        <v>8422.27</v>
      </c>
      <c r="H594" s="10">
        <v>108755.44</v>
      </c>
      <c r="I594" s="4">
        <v>1434</v>
      </c>
      <c r="J594" s="17">
        <f>IFERROR(Tabela32[[#This Row],[Valor Frete]]/Tabela32[[#This Row],[Valor Mercadoria]],"")</f>
        <v>7.744228702490652E-2</v>
      </c>
      <c r="K594" s="11">
        <v>0.3125</v>
      </c>
      <c r="L594" s="15">
        <v>0.76041666666666663</v>
      </c>
      <c r="M594" s="15">
        <f>Tabela32[[#This Row],[Hr Chegada]]-Tabela32[[#This Row],[Hr Saida]]</f>
        <v>0.44791666666666663</v>
      </c>
      <c r="N594" s="4">
        <v>277217</v>
      </c>
      <c r="O594" s="4">
        <v>277388</v>
      </c>
      <c r="P594" s="4">
        <f>Tabela32[[#This Row],[Km Chegada]]-Tabela32[[#This Row],[Km Saída]]</f>
        <v>171</v>
      </c>
      <c r="Q594" s="4">
        <v>161</v>
      </c>
      <c r="R594" s="4">
        <v>31</v>
      </c>
      <c r="S594" s="4">
        <v>31</v>
      </c>
      <c r="T594" s="12">
        <f>Tabela32[[#This Row],[Entregas]]-Tabela32[[#This Row],[Realizadas]]</f>
        <v>0</v>
      </c>
      <c r="U594" s="18">
        <f>Tabela32[[#This Row],[Realizadas]]/Tabela32[[#This Row],[Entregas]]</f>
        <v>1</v>
      </c>
      <c r="V594" s="19" t="str">
        <f>IF(Tabela32[[#This Row],[% Entrega]]&gt;=96%,"Atendeu a Meta","Não Atendeu a Meta")</f>
        <v>Atendeu a Meta</v>
      </c>
      <c r="W594" s="4" t="s">
        <v>40</v>
      </c>
      <c r="X594" s="4">
        <v>0</v>
      </c>
      <c r="Y594" s="5">
        <v>10</v>
      </c>
    </row>
    <row r="595" spans="1:25" x14ac:dyDescent="0.25">
      <c r="A595" s="8">
        <v>46315</v>
      </c>
      <c r="B595" s="26">
        <f>YEAR(Tabela32[[#This Row],[Data]])</f>
        <v>2026</v>
      </c>
      <c r="C595" s="26">
        <f>MONTH(Tabela32[[#This Row],[Data]])</f>
        <v>10</v>
      </c>
      <c r="D595" s="4" t="s">
        <v>31</v>
      </c>
      <c r="E595" s="4">
        <v>5</v>
      </c>
      <c r="F595" s="4" t="str">
        <f>IFERROR(VLOOKUP(Tabela32[[#This Row],[Placa]],Planilha2!$A$1:$B$12,2,0),"")</f>
        <v>Jerson</v>
      </c>
      <c r="G595" s="10">
        <v>10335.64</v>
      </c>
      <c r="H595" s="10">
        <v>126768.55</v>
      </c>
      <c r="I595" s="4">
        <v>1443</v>
      </c>
      <c r="J595" s="17">
        <f>IFERROR(Tabela32[[#This Row],[Valor Frete]]/Tabela32[[#This Row],[Valor Mercadoria]],"")</f>
        <v>8.1531578613149705E-2</v>
      </c>
      <c r="K595" s="11">
        <v>0.3125</v>
      </c>
      <c r="L595" s="15">
        <v>0.78125</v>
      </c>
      <c r="M595" s="15">
        <f>Tabela32[[#This Row],[Hr Chegada]]-Tabela32[[#This Row],[Hr Saida]]</f>
        <v>0.46875</v>
      </c>
      <c r="N595" s="4">
        <v>282336</v>
      </c>
      <c r="O595" s="4">
        <v>282391</v>
      </c>
      <c r="P595" s="4">
        <f>Tabela32[[#This Row],[Km Chegada]]-Tabela32[[#This Row],[Km Saída]]</f>
        <v>55</v>
      </c>
      <c r="Q595" s="4">
        <v>185</v>
      </c>
      <c r="R595" s="4">
        <v>30</v>
      </c>
      <c r="S595" s="4">
        <v>30</v>
      </c>
      <c r="T595" s="12">
        <f>Tabela32[[#This Row],[Entregas]]-Tabela32[[#This Row],[Realizadas]]</f>
        <v>0</v>
      </c>
      <c r="U595" s="18">
        <f>Tabela32[[#This Row],[Realizadas]]/Tabela32[[#This Row],[Entregas]]</f>
        <v>1</v>
      </c>
      <c r="V595" s="19" t="str">
        <f>IF(Tabela32[[#This Row],[% Entrega]]&gt;=96%,"Atendeu a Meta","Não Atendeu a Meta")</f>
        <v>Atendeu a Meta</v>
      </c>
      <c r="W595" s="4" t="s">
        <v>39</v>
      </c>
      <c r="X595" s="4">
        <v>0</v>
      </c>
      <c r="Y595" s="5">
        <v>0</v>
      </c>
    </row>
    <row r="596" spans="1:25" x14ac:dyDescent="0.25">
      <c r="A596" s="8">
        <v>46315</v>
      </c>
      <c r="B596" s="26">
        <f>YEAR(Tabela32[[#This Row],[Data]])</f>
        <v>2026</v>
      </c>
      <c r="C596" s="26">
        <f>MONTH(Tabela32[[#This Row],[Data]])</f>
        <v>10</v>
      </c>
      <c r="D596" s="4" t="s">
        <v>23</v>
      </c>
      <c r="E596" s="4">
        <v>1</v>
      </c>
      <c r="F596" s="4" t="str">
        <f>IFERROR(VLOOKUP(Tabela32[[#This Row],[Placa]],Planilha2!$A$1:$B$12,2,0),"")</f>
        <v>William</v>
      </c>
      <c r="G596" s="10">
        <v>11945.55</v>
      </c>
      <c r="H596" s="10">
        <v>159995.82</v>
      </c>
      <c r="I596" s="4">
        <v>2035</v>
      </c>
      <c r="J596" s="17">
        <f>IFERROR(Tabela32[[#This Row],[Valor Frete]]/Tabela32[[#This Row],[Valor Mercadoria]],"")</f>
        <v>7.4661638035293659E-2</v>
      </c>
      <c r="K596" s="11">
        <v>0.3125</v>
      </c>
      <c r="L596" s="15">
        <v>0.78472222222222221</v>
      </c>
      <c r="M596" s="15">
        <f>Tabela32[[#This Row],[Hr Chegada]]-Tabela32[[#This Row],[Hr Saida]]</f>
        <v>0.47222222222222221</v>
      </c>
      <c r="N596" s="4">
        <v>127326</v>
      </c>
      <c r="O596" s="4">
        <v>127397</v>
      </c>
      <c r="P596" s="4">
        <f>Tabela32[[#This Row],[Km Chegada]]-Tabela32[[#This Row],[Km Saída]]</f>
        <v>71</v>
      </c>
      <c r="Q596" s="4">
        <v>277</v>
      </c>
      <c r="R596" s="4">
        <v>28</v>
      </c>
      <c r="S596" s="4">
        <v>28</v>
      </c>
      <c r="T596" s="12">
        <f>Tabela32[[#This Row],[Entregas]]-Tabela32[[#This Row],[Realizadas]]</f>
        <v>0</v>
      </c>
      <c r="U596" s="18">
        <f>Tabela32[[#This Row],[Realizadas]]/Tabela32[[#This Row],[Entregas]]</f>
        <v>1</v>
      </c>
      <c r="V596" s="19" t="str">
        <f>IF(Tabela32[[#This Row],[% Entrega]]&gt;=96%,"Atendeu a Meta","Não Atendeu a Meta")</f>
        <v>Atendeu a Meta</v>
      </c>
      <c r="W596" s="4" t="s">
        <v>43</v>
      </c>
      <c r="X596" s="4">
        <v>1</v>
      </c>
      <c r="Y596" s="5">
        <v>27</v>
      </c>
    </row>
    <row r="597" spans="1:25" x14ac:dyDescent="0.25">
      <c r="A597" s="8">
        <v>46315</v>
      </c>
      <c r="B597" s="26">
        <f>YEAR(Tabela32[[#This Row],[Data]])</f>
        <v>2026</v>
      </c>
      <c r="C597" s="26">
        <f>MONTH(Tabela32[[#This Row],[Data]])</f>
        <v>10</v>
      </c>
      <c r="D597" s="4" t="s">
        <v>53</v>
      </c>
      <c r="E597" s="4">
        <v>11</v>
      </c>
      <c r="F597" s="4" t="str">
        <f>IFERROR(VLOOKUP(Tabela32[[#This Row],[Placa]],Planilha2!$A$1:$B$12,2,0),"")</f>
        <v>Arnaldo</v>
      </c>
      <c r="G597" s="10">
        <v>12821.04</v>
      </c>
      <c r="H597" s="10">
        <v>228080.39</v>
      </c>
      <c r="I597" s="4">
        <v>2382</v>
      </c>
      <c r="J597" s="17">
        <f>IFERROR(Tabela32[[#This Row],[Valor Frete]]/Tabela32[[#This Row],[Valor Mercadoria]],"")</f>
        <v>5.6212811631898736E-2</v>
      </c>
      <c r="K597" s="11">
        <v>0.27430555555555558</v>
      </c>
      <c r="L597" s="15">
        <v>0.78125</v>
      </c>
      <c r="M597" s="15">
        <f>Tabela32[[#This Row],[Hr Chegada]]-Tabela32[[#This Row],[Hr Saida]]</f>
        <v>0.50694444444444442</v>
      </c>
      <c r="N597" s="4">
        <v>15040</v>
      </c>
      <c r="O597" s="4">
        <v>15182</v>
      </c>
      <c r="P597" s="4">
        <f>Tabela32[[#This Row],[Km Chegada]]-Tabela32[[#This Row],[Km Saída]]</f>
        <v>142</v>
      </c>
      <c r="Q597" s="4">
        <v>510</v>
      </c>
      <c r="R597" s="4">
        <v>35</v>
      </c>
      <c r="S597" s="4">
        <v>35</v>
      </c>
      <c r="T597" s="12">
        <f>Tabela32[[#This Row],[Entregas]]-Tabela32[[#This Row],[Realizadas]]</f>
        <v>0</v>
      </c>
      <c r="U597" s="18">
        <f>Tabela32[[#This Row],[Realizadas]]/Tabela32[[#This Row],[Entregas]]</f>
        <v>1</v>
      </c>
      <c r="V597" s="19" t="str">
        <f>IF(Tabela32[[#This Row],[% Entrega]]&gt;=96%,"Atendeu a Meta","Não Atendeu a Meta")</f>
        <v>Atendeu a Meta</v>
      </c>
      <c r="W597" s="4" t="s">
        <v>41</v>
      </c>
      <c r="X597" s="4">
        <v>0</v>
      </c>
      <c r="Y597" s="5">
        <v>38</v>
      </c>
    </row>
  </sheetData>
  <conditionalFormatting sqref="J2:J597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U2:U597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V2:V597">
    <cfRule type="expression" dxfId="12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11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D2:D597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2026-10-21T19:46:14Z</dcterms:modified>
</cp:coreProperties>
</file>