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FF4D7DF9-6FE1-42DA-A6AD-8958D4059BB0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3" i="4" l="1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<sst xmlns="http://schemas.openxmlformats.org/spreadsheetml/2006/main" count="548" uniqueCount="76">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</sst>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3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0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33" dataDxfId="131" headerRowBorderDxfId="132" tableBorderDxfId="130" totalsRowBorderDxfId="129" headerRowCellStyle="Normal 2 2 2">
  <autoFilter ref="A1:V9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23" totalsRowShown="0" headerRowDxfId="40" dataDxfId="39" headerRowBorderDxfId="37" tableBorderDxfId="38" totalsRowBorderDxfId="36">
  <tableColumns count="25">
    <tableColumn id="1" xr3:uid="{B118DAB0-A500-46F5-A61D-A15BA1838F69}" name="Data" dataDxfId="35"/>
    <tableColumn id="25" xr3:uid="{DAA903FE-736A-4CBF-95D8-B9E859203B97}" name="Ano" dataDxfId="34">
      <calculatedColumnFormula>YEAR(Tabela32[[#This Row],[Data]])</calculatedColumnFormula>
    </tableColumn>
    <tableColumn id="5" xr3:uid="{90D6CF8C-ACE3-46EA-828E-BB258996DD8F}" name="Mês" dataDxfId="33">
      <calculatedColumnFormula>MONTH(Tabela32[[#This Row],[Data]])</calculatedColumnFormula>
    </tableColumn>
    <tableColumn id="2" xr3:uid="{9E2D603E-103D-4F88-A5C8-5E9A03E2A3EE}" name="Placa" dataDxfId="32"/>
    <tableColumn id="3" xr3:uid="{7935B67B-4456-42E7-8B2D-EAF1D5C1B4F9}" name="Rota" dataDxfId="31"/>
    <tableColumn id="4" xr3:uid="{74C94A9C-B298-4701-847E-59C66BC8BBC2}" name="Motorista" dataDxfId="30">
      <calculatedColumnFormula>IFERROR(VLOOKUP(Tabela32[[#This Row],[Placa]],Planilha2!$A$1:$B$12,2,0),"")</calculatedColumnFormula>
    </tableColumn>
    <tableColumn id="6" xr3:uid="{694C94D7-8F01-480E-AA0C-B9B0FA8D2345}" name="Valor Frete" dataDxfId="29"/>
    <tableColumn id="7" xr3:uid="{7D623530-7EED-4526-B289-B392FA2EF883}" name="Valor Mercadoria" dataDxfId="28"/>
    <tableColumn id="8" xr3:uid="{3D927A69-B557-47A5-A269-05DEBEF85C73}" name="Peso" dataDxfId="27"/>
    <tableColumn id="9" xr3:uid="{69BC588C-6D01-4257-B2D9-CF2D843D1C40}" name="% Frete" dataDxfId="26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25"/>
    <tableColumn id="11" xr3:uid="{3B907CC4-B262-4107-87FF-1E75280AC1BF}" name="Hr Chegada" dataDxfId="24"/>
    <tableColumn id="12" xr3:uid="{ED725939-179A-4D21-873C-15774DD68F53}" name="Tempo" dataDxfId="23">
      <calculatedColumnFormula>Tabela32[[#This Row],[Hr Chegada]]-Tabela32[[#This Row],[Hr Saida]]</calculatedColumnFormula>
    </tableColumn>
    <tableColumn id="13" xr3:uid="{74EA350D-6976-4E2D-A058-0785043C5735}" name="Km Saída" dataDxfId="22"/>
    <tableColumn id="14" xr3:uid="{496AFEAD-5BFE-466C-B0AF-20375AAEECFC}" name="Km Chegada" dataDxfId="21"/>
    <tableColumn id="15" xr3:uid="{AB2841F1-639E-4525-98D9-0FAED04E102B}" name="Km/Dia" dataDxfId="20">
      <calculatedColumnFormula>Tabela32[[#This Row],[Km Chegada]]-Tabela32[[#This Row],[Km Saída]]</calculatedColumnFormula>
    </tableColumn>
    <tableColumn id="16" xr3:uid="{D83FBC01-4652-43E1-B278-CE34A958D106}" name="Vols" dataDxfId="19"/>
    <tableColumn id="17" xr3:uid="{CA7BF05C-1770-40EE-89A9-C80AA88EFC06}" name="Entregas" dataDxfId="18"/>
    <tableColumn id="18" xr3:uid="{037F6348-AFD4-431D-99B0-8147EA9E213B}" name="Realizadas" dataDxfId="17"/>
    <tableColumn id="19" xr3:uid="{196A1910-314C-450C-B67A-E51295FA6A18}" name=" Retornadas" dataDxfId="16">
      <calculatedColumnFormula>Tabela32[[#This Row],[Entregas]]-Tabela32[[#This Row],[Realizadas]]</calculatedColumnFormula>
    </tableColumn>
    <tableColumn id="20" xr3:uid="{F0BBC004-BAAB-43E2-A50E-1DD3FAEFD5F0}" name="% Entrega" dataDxfId="15" dataCellStyle="Moeda">
      <calculatedColumnFormula>Tabela32[[#This Row],[Realizadas]]/Tabela32[[#This Row],[Entregas]]</calculatedColumnFormula>
    </tableColumn>
    <tableColumn id="21" xr3:uid="{BB53A276-7721-4934-9C42-DB7E1D2740B3}" name="Meta" dataDxfId="14">
      <calculatedColumnFormula>IF(Tabela32[[#This Row],[% Entrega]]&gt;=96%,"Atendeu a Meta","Não Atendeu a Meta")</calculatedColumnFormula>
    </tableColumn>
    <tableColumn id="22" xr3:uid="{CE1DD687-26CA-4D2F-BCFC-661EB14CAD0F}" name="Cidade Destino" dataDxfId="13"/>
    <tableColumn id="23" xr3:uid="{F8FFD74E-1FF0-45CC-9EA9-8E8EA807957C}" name="Nfs Voltaram" dataDxfId="12"/>
    <tableColumn id="24" xr3:uid="{2EC98F08-AFB3-40A3-B3CE-1C9A788E39CD}" name="Ocorrênci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O9" sqref="O9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46259</v>
      </c>
      <c r="B9" s="8" t="s">
        <v>59</v>
      </c>
      <c r="C9" s="4"/>
      <c r="D9" s="4" t="s">
        <v>60</v>
      </c>
      <c r="E9" s="10">
        <v>12786.37</v>
      </c>
      <c r="F9" s="10">
        <v>104458.62</v>
      </c>
      <c r="G9" s="4">
        <v>633</v>
      </c>
      <c r="H9" s="9">
        <f>Tabela35[[#This Row],[Valor Frete]]/Tabela35[[#This Row],[Valor Mercadoria]]</f>
        <v>0.12240607811973776</v>
      </c>
      <c r="I9" s="4"/>
      <c r="J9" s="4"/>
      <c r="K9" s="4">
        <f>Tabela35[[#This Row],[Hr Chegada]]-Tabela35[[#This Row],[Hr Saida]]</f>
        <v>0</v>
      </c>
      <c r="L9" s="10"/>
      <c r="M9" s="9">
        <f>Tabela35[[#This Row],[Frete]]/Tabela35[[#This Row],[Valor Frete]]</f>
        <v>0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106" priority="1" operator="lessThan">
      <formula>0.05</formula>
    </cfRule>
    <cfRule type="cellIs" dxfId="105" priority="2" operator="greaterThanOrEqual">
      <formula>0.05</formula>
    </cfRule>
  </conditionalFormatting>
  <conditionalFormatting sqref="R2:R9">
    <cfRule type="cellIs" dxfId="104" priority="7" stopIfTrue="1" operator="lessThanOrEqual">
      <formula>0.949</formula>
    </cfRule>
    <cfRule type="cellIs" dxfId="103" priority="8" stopIfTrue="1" operator="greaterThanOrEqual">
      <formula>0.9</formula>
    </cfRule>
    <cfRule type="cellIs" dxfId="102" priority="9" stopIfTrue="1" operator="greaterThanOrEqual">
      <formula>90</formula>
    </cfRule>
    <cfRule type="cellIs" dxfId="101" priority="10" stopIfTrue="1" operator="lessThan">
      <formula>0</formula>
    </cfRule>
    <cfRule type="cellIs" dxfId="100" priority="11" stopIfTrue="1" operator="lessThan">
      <formula>1</formula>
    </cfRule>
    <cfRule type="cellIs" dxfId="99" priority="12" stopIfTrue="1" operator="greaterThan">
      <formula>100</formula>
    </cfRule>
    <cfRule type="cellIs" dxfId="98" priority="13" stopIfTrue="1" operator="greaterThan">
      <formula>1</formula>
    </cfRule>
  </conditionalFormatting>
  <conditionalFormatting sqref="S2:S9">
    <cfRule type="expression" dxfId="9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9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23"/>
  <sheetViews>
    <sheetView showGridLines="0" tabSelected="1" workbookViewId="0">
      <pane xSplit="10" ySplit="1" topLeftCell="W210" activePane="bottomRight" state="frozen"/>
      <selection pane="topRight" activeCell="I1" sqref="I1"/>
      <selection pane="bottomLeft" activeCell="A2" sqref="A2"/>
      <selection pane="bottomRight" activeCell="X223" sqref="X223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75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>
        <v>3</v>
      </c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>
        <v>3</v>
      </c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>
        <v>3</v>
      </c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>
        <v>3</v>
      </c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>
        <v>1</v>
      </c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>
        <v>4</v>
      </c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>
        <v>1</v>
      </c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>
        <v>1</v>
      </c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>
        <v>11</v>
      </c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>
        <v>11</v>
      </c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>
        <v>4</v>
      </c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>
        <v>1</v>
      </c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>
        <v>2</v>
      </c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>
        <v>11</v>
      </c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>
        <v>5</v>
      </c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>
        <v>1</v>
      </c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>
        <v>1</v>
      </c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>
        <v>1</v>
      </c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>
        <v>5</v>
      </c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>
        <v>1</v>
      </c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>
        <v>1</v>
      </c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>
        <v>1</v>
      </c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>
        <v>4</v>
      </c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>
        <v>2</v>
      </c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>
        <v>0</v>
      </c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29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30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34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28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24</v>
      </c>
      <c r="E195" s="4">
        <v>4</v>
      </c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32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55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26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45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36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45</v>
      </c>
      <c r="X199" s="4">
        <v>14</v>
      </c>
      <c r="Y199" s="5" t="s">
        <v>74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30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40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34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40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26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42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26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40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36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40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29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42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45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30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41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30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40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32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40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28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41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24</v>
      </c>
      <c r="E211" s="4">
        <v>1</v>
      </c>
      <c r="F211" s="4" t="str">
        <f>IFERROR(VLOOKUP(Tabela32[[#This Row],[Placa]],Planilha2!$A$1:$B$12,2,0),"")</f>
        <v>Wesley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45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34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41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55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41</v>
      </c>
      <c r="X213" s="4">
        <v>0</v>
      </c>
      <c r="Y213" s="5">
        <v>0</v>
      </c>
    </row>
    <row r="214" spans="1:25" x14ac:dyDescent="0.25">
      <c r="A214" s="8">
        <v>46266</v>
      </c>
      <c r="B214" s="22">
        <f>YEAR(Tabela32[[#This Row],[Data]])</f>
        <v>2026</v>
      </c>
      <c r="C214" s="22">
        <f>MONTH(Tabela32[[#This Row],[Data]])</f>
        <v>9</v>
      </c>
      <c r="D214" s="4" t="s">
        <v>36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42</v>
      </c>
      <c r="X214" s="4">
        <v>0</v>
      </c>
      <c r="Y214" s="5">
        <v>0</v>
      </c>
    </row>
    <row r="215" spans="1:25" x14ac:dyDescent="0.25">
      <c r="A215" s="8">
        <v>46266</v>
      </c>
      <c r="B215" s="22">
        <f>YEAR(Tabela32[[#This Row],[Data]])</f>
        <v>2026</v>
      </c>
      <c r="C215" s="22">
        <f>MONTH(Tabela32[[#This Row],[Data]])</f>
        <v>9</v>
      </c>
      <c r="D215" s="4" t="s">
        <v>34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41</v>
      </c>
      <c r="X215" s="4">
        <v>0</v>
      </c>
      <c r="Y215" s="5">
        <v>0</v>
      </c>
    </row>
    <row r="216" spans="1:25" x14ac:dyDescent="0.25">
      <c r="A216" s="8">
        <v>46266</v>
      </c>
      <c r="B216" s="22">
        <f>YEAR(Tabela32[[#This Row],[Data]])</f>
        <v>2026</v>
      </c>
      <c r="C216" s="22">
        <f>MONTH(Tabela32[[#This Row],[Data]])</f>
        <v>9</v>
      </c>
      <c r="D216" s="4" t="s">
        <v>55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40</v>
      </c>
      <c r="X216" s="4">
        <v>0</v>
      </c>
      <c r="Y216" s="5">
        <v>0</v>
      </c>
    </row>
    <row r="217" spans="1:25" x14ac:dyDescent="0.25">
      <c r="A217" s="8">
        <v>46266</v>
      </c>
      <c r="B217" s="22">
        <f>YEAR(Tabela32[[#This Row],[Data]])</f>
        <v>2026</v>
      </c>
      <c r="C217" s="22">
        <f>MONTH(Tabela32[[#This Row],[Data]])</f>
        <v>9</v>
      </c>
      <c r="D217" s="4" t="s">
        <v>29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40</v>
      </c>
      <c r="X217" s="4">
        <v>0</v>
      </c>
      <c r="Y217" s="5">
        <v>0</v>
      </c>
    </row>
    <row r="218" spans="1:25" x14ac:dyDescent="0.25">
      <c r="A218" s="8">
        <v>46266</v>
      </c>
      <c r="B218" s="22">
        <f>YEAR(Tabela32[[#This Row],[Data]])</f>
        <v>2026</v>
      </c>
      <c r="C218" s="22">
        <f>MONTH(Tabela32[[#This Row],[Data]])</f>
        <v>9</v>
      </c>
      <c r="D218" s="4" t="s">
        <v>38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45</v>
      </c>
      <c r="X218" s="4">
        <v>0</v>
      </c>
      <c r="Y218" s="5">
        <v>0</v>
      </c>
    </row>
    <row r="219" spans="1:25" x14ac:dyDescent="0.25">
      <c r="A219" s="8">
        <v>46266</v>
      </c>
      <c r="B219" s="22">
        <f>YEAR(Tabela32[[#This Row],[Data]])</f>
        <v>2026</v>
      </c>
      <c r="C219" s="22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65</v>
      </c>
      <c r="X219" s="4">
        <v>0</v>
      </c>
      <c r="Y219" s="5">
        <v>0</v>
      </c>
    </row>
    <row r="220" spans="1:25" x14ac:dyDescent="0.25">
      <c r="A220" s="8">
        <v>46266</v>
      </c>
      <c r="B220" s="22">
        <f>YEAR(Tabela32[[#This Row],[Data]])</f>
        <v>2026</v>
      </c>
      <c r="C220" s="22">
        <f>MONTH(Tabela32[[#This Row],[Data]])</f>
        <v>9</v>
      </c>
      <c r="D220" s="4" t="s">
        <v>28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41</v>
      </c>
      <c r="X220" s="4">
        <v>0</v>
      </c>
      <c r="Y220" s="5">
        <v>0</v>
      </c>
    </row>
    <row r="221" spans="1:25" x14ac:dyDescent="0.25">
      <c r="A221" s="8">
        <v>46266</v>
      </c>
      <c r="B221" s="22">
        <f>YEAR(Tabela32[[#This Row],[Data]])</f>
        <v>2026</v>
      </c>
      <c r="C221" s="22">
        <f>MONTH(Tabela32[[#This Row],[Data]])</f>
        <v>9</v>
      </c>
      <c r="D221" s="4" t="s">
        <v>32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40</v>
      </c>
      <c r="X221" s="4">
        <v>1</v>
      </c>
      <c r="Y221" s="5">
        <v>38</v>
      </c>
    </row>
    <row r="222" spans="1:25" x14ac:dyDescent="0.25">
      <c r="A222" s="8">
        <v>46266</v>
      </c>
      <c r="B222" s="22">
        <f>YEAR(Tabela32[[#This Row],[Data]])</f>
        <v>2026</v>
      </c>
      <c r="C222" s="22">
        <f>MONTH(Tabela32[[#This Row],[Data]])</f>
        <v>9</v>
      </c>
      <c r="D222" s="4" t="s">
        <v>30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41</v>
      </c>
      <c r="X222" s="4">
        <v>0</v>
      </c>
      <c r="Y222" s="5">
        <v>0</v>
      </c>
    </row>
    <row r="223" spans="1:25" x14ac:dyDescent="0.25">
      <c r="A223" s="8">
        <v>46266</v>
      </c>
      <c r="B223" s="22">
        <f>YEAR(Tabela32[[#This Row],[Data]])</f>
        <v>2026</v>
      </c>
      <c r="C223" s="22">
        <f>MONTH(Tabela32[[#This Row],[Data]])</f>
        <v>9</v>
      </c>
      <c r="D223" s="4" t="s">
        <v>26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40</v>
      </c>
      <c r="X223" s="4">
        <v>0</v>
      </c>
      <c r="Y223" s="5">
        <v>0</v>
      </c>
    </row>
  </sheetData>
  <conditionalFormatting sqref="J2:J223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223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223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2026-09-02T14:45:50Z</dcterms:modified>
</cp:coreProperties>
</file>