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4F4F86E4-9780-4DDF-92DE-A5ABE4EFF93B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4" l="1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<sst xmlns="http://schemas.openxmlformats.org/spreadsheetml/2006/main" count="274" uniqueCount="65">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</sst>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1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7" totalsRowShown="0" headerRowDxfId="78" dataDxfId="76" headerRowBorderDxfId="77" tableBorderDxfId="75" totalsRowBorderDxfId="74" headerRowCellStyle="Normal 2 2 2">
  <autoFilter ref="A1:V7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94" totalsRowShown="0" headerRowDxfId="51" dataDxfId="49" headerRowBorderDxfId="50" tableBorderDxfId="48" totalsRowBorderDxfId="47" headerRowCellStyle="Normal 2 2 2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Porcentagem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 2 2">
      <calculatedColumnFormula>Tabela32[[#This Row],[Realizadas]]/Tabela32[[#This Row],[Entregas]]</calculatedColumnFormula>
    </tableColumn>
    <tableColumn id="21" xr3:uid="{BB53A276-7721-4934-9C42-DB7E1D2740B3}" name="Meta" dataDxfId="25" dataCellStyle="Moeda 3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7"/>
  <sheetViews>
    <sheetView showGridLines="0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A7" sqref="A7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17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16"/>
      <c r="B7" s="8"/>
      <c r="C7" s="4"/>
      <c r="D7" s="4"/>
      <c r="E7" s="10"/>
      <c r="F7" s="10"/>
      <c r="G7" s="4"/>
      <c r="H7" s="9" t="e">
        <f>Tabela35[[#This Row],[Valor Frete]]/Tabela35[[#This Row],[Valor Mercadoria]]</f>
        <v>#DIV/0!</v>
      </c>
      <c r="I7" s="4"/>
      <c r="J7" s="4"/>
      <c r="K7" s="4">
        <f>Tabela35[[#This Row],[Hr Chegada]]-Tabela35[[#This Row],[Hr Saida]]</f>
        <v>0</v>
      </c>
      <c r="L7" s="10"/>
      <c r="M7" s="9" t="e">
        <f>Tabela35[[#This Row],[Frete]]/Tabela35[[#This Row],[Valor Frete]]</f>
        <v>#DIV/0!</v>
      </c>
      <c r="N7" s="4"/>
      <c r="O7" s="4"/>
      <c r="P7" s="4"/>
      <c r="Q7" s="12">
        <f>Tabela35[[#This Row],[Qtde Entregas]]-Tabela35[[#This Row],[Entregas Realizadas]]</f>
        <v>0</v>
      </c>
      <c r="R7" s="13" t="e">
        <f>Tabela35[[#This Row],[Entregas Realizadas]]/Tabela35[[#This Row],[Qtde Entregas]]</f>
        <v>#DIV/0!</v>
      </c>
      <c r="S7" s="14" t="e">
        <f>IF(Tabela35[[#This Row],[% Entrega]]&gt;=96%,"Atendeu a Meta","Não Atendeu a Meta")</f>
        <v>#DIV/0!</v>
      </c>
      <c r="T7" s="4"/>
      <c r="U7" s="4"/>
      <c r="V7" s="5"/>
    </row>
  </sheetData>
  <conditionalFormatting sqref="H2:H7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7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7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94"/>
  <sheetViews>
    <sheetView showGridLines="0" tabSelected="1" workbookViewId="0">
      <pane xSplit="10" ySplit="1" topLeftCell="K2" activePane="bottomRight" state="frozen"/>
      <selection pane="topRight" activeCell="I1" sqref="I1"/>
      <selection pane="bottomLeft" activeCell="A2" sqref="A2"/>
      <selection pane="bottomRight" activeCell="P10" sqref="P10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</sheetData>
  <conditionalFormatting sqref="J2:J94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94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94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D2:D94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2026-08-17T17:16:04Z</dcterms:modified>
</cp:coreProperties>
</file>