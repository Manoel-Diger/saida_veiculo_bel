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F10287B3-53A4-404B-BD01-484547CB70DA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3" l="1"/>
  <c r="K30" i="3"/>
  <c r="M30" i="3"/>
  <c r="Q30" i="3"/>
  <c r="R30" i="3"/>
  <c r="S30" i="3"/>
  <c r="H29" i="3"/>
  <c r="K29" i="3"/>
  <c r="M29" i="3"/>
  <c r="Q29" i="3"/>
  <c r="R29" i="3"/>
  <c r="S29" i="3" s="1"/>
  <c r="B559" i="4"/>
  <c r="C559" i="4"/>
  <c r="F559" i="4"/>
  <c r="J559" i="4"/>
  <c r="M559" i="4"/>
  <c r="P559" i="4"/>
  <c r="T559" i="4"/>
  <c r="U559" i="4"/>
  <c r="V559" i="4" s="1"/>
  <c r="B558" i="4"/>
  <c r="C558" i="4"/>
  <c r="F558" i="4"/>
  <c r="J558" i="4"/>
  <c r="M558" i="4"/>
  <c r="P558" i="4"/>
  <c r="T558" i="4"/>
  <c r="U558" i="4"/>
  <c r="V558" i="4" s="1"/>
  <c r="B557" i="4"/>
  <c r="C557" i="4"/>
  <c r="F557" i="4"/>
  <c r="J557" i="4"/>
  <c r="M557" i="4"/>
  <c r="P557" i="4"/>
  <c r="T557" i="4"/>
  <c r="U557" i="4"/>
  <c r="V557" i="4" s="1"/>
  <c r="B556" i="4"/>
  <c r="C556" i="4"/>
  <c r="F556" i="4"/>
  <c r="J556" i="4"/>
  <c r="M556" i="4"/>
  <c r="P556" i="4"/>
  <c r="T556" i="4"/>
  <c r="U556" i="4"/>
  <c r="V556" i="4" s="1"/>
  <c r="B555" i="4"/>
  <c r="C555" i="4"/>
  <c r="F555" i="4"/>
  <c r="J555" i="4"/>
  <c r="M555" i="4"/>
  <c r="P555" i="4"/>
  <c r="T555" i="4"/>
  <c r="U555" i="4"/>
  <c r="V555" i="4" s="1"/>
  <c r="B554" i="4"/>
  <c r="C554" i="4"/>
  <c r="F554" i="4"/>
  <c r="J554" i="4"/>
  <c r="M554" i="4"/>
  <c r="P554" i="4"/>
  <c r="T554" i="4"/>
  <c r="U554" i="4"/>
  <c r="V554" i="4" s="1"/>
  <c r="B553" i="4"/>
  <c r="C553" i="4"/>
  <c r="F553" i="4"/>
  <c r="J553" i="4"/>
  <c r="M553" i="4"/>
  <c r="P553" i="4"/>
  <c r="T553" i="4"/>
  <c r="U553" i="4"/>
  <c r="V553" i="4" s="1"/>
  <c r="B552" i="4"/>
  <c r="C552" i="4"/>
  <c r="F552" i="4"/>
  <c r="J552" i="4"/>
  <c r="M552" i="4"/>
  <c r="P552" i="4"/>
  <c r="T552" i="4"/>
  <c r="U552" i="4"/>
  <c r="V552" i="4" s="1"/>
  <c r="B551" i="4"/>
  <c r="C551" i="4"/>
  <c r="F551" i="4"/>
  <c r="J551" i="4"/>
  <c r="M551" i="4"/>
  <c r="P551" i="4"/>
  <c r="T551" i="4"/>
  <c r="U551" i="4"/>
  <c r="V551" i="4" s="1"/>
  <c r="B550" i="4"/>
  <c r="C550" i="4"/>
  <c r="F550" i="4"/>
  <c r="J550" i="4"/>
  <c r="M550" i="4"/>
  <c r="P550" i="4"/>
  <c r="T550" i="4"/>
  <c r="U550" i="4"/>
  <c r="V550" i="4" s="1"/>
  <c r="B549" i="4"/>
  <c r="C549" i="4"/>
  <c r="F549" i="4"/>
  <c r="J549" i="4"/>
  <c r="M549" i="4"/>
  <c r="P549" i="4"/>
  <c r="T549" i="4"/>
  <c r="U549" i="4"/>
  <c r="V549" i="4" s="1"/>
  <c r="B548" i="4"/>
  <c r="C548" i="4"/>
  <c r="F548" i="4"/>
  <c r="J548" i="4"/>
  <c r="M548" i="4"/>
  <c r="P548" i="4"/>
  <c r="T548" i="4"/>
  <c r="U548" i="4"/>
  <c r="V548" i="4" s="1"/>
  <c r="B547" i="4"/>
  <c r="C547" i="4"/>
  <c r="F547" i="4"/>
  <c r="J547" i="4"/>
  <c r="M547" i="4"/>
  <c r="P547" i="4"/>
  <c r="T547" i="4"/>
  <c r="U547" i="4"/>
  <c r="V547" i="4" s="1"/>
  <c r="H28" i="3"/>
  <c r="K28" i="3"/>
  <c r="M28" i="3"/>
  <c r="Q28" i="3"/>
  <c r="R28" i="3"/>
  <c r="S28" i="3" s="1"/>
  <c r="B546" i="4"/>
  <c r="C546" i="4"/>
  <c r="F546" i="4"/>
  <c r="J546" i="4"/>
  <c r="M546" i="4"/>
  <c r="P546" i="4"/>
  <c r="T546" i="4"/>
  <c r="U546" i="4"/>
  <c r="V546" i="4" s="1"/>
  <c r="B545" i="4"/>
  <c r="C545" i="4"/>
  <c r="F545" i="4"/>
  <c r="J545" i="4"/>
  <c r="M545" i="4"/>
  <c r="P545" i="4"/>
  <c r="T545" i="4"/>
  <c r="U545" i="4"/>
  <c r="V545" i="4" s="1"/>
  <c r="B544" i="4"/>
  <c r="C544" i="4"/>
  <c r="F544" i="4"/>
  <c r="J544" i="4"/>
  <c r="M544" i="4"/>
  <c r="P544" i="4"/>
  <c r="T544" i="4"/>
  <c r="U544" i="4"/>
  <c r="V544" i="4" s="1"/>
  <c r="B543" i="4"/>
  <c r="C543" i="4"/>
  <c r="F543" i="4"/>
  <c r="J543" i="4"/>
  <c r="M543" i="4"/>
  <c r="P543" i="4"/>
  <c r="T543" i="4"/>
  <c r="U543" i="4"/>
  <c r="V543" i="4" s="1"/>
  <c r="B542" i="4"/>
  <c r="C542" i="4"/>
  <c r="F542" i="4"/>
  <c r="J542" i="4"/>
  <c r="M542" i="4"/>
  <c r="P542" i="4"/>
  <c r="T542" i="4"/>
  <c r="U542" i="4"/>
  <c r="V542" i="4" s="1"/>
  <c r="B541" i="4"/>
  <c r="C541" i="4"/>
  <c r="F541" i="4"/>
  <c r="J541" i="4"/>
  <c r="M541" i="4"/>
  <c r="P541" i="4"/>
  <c r="T541" i="4"/>
  <c r="U541" i="4"/>
  <c r="V541" i="4" s="1"/>
  <c r="B540" i="4"/>
  <c r="C540" i="4"/>
  <c r="F540" i="4"/>
  <c r="J540" i="4"/>
  <c r="M540" i="4"/>
  <c r="P540" i="4"/>
  <c r="T540" i="4"/>
  <c r="U540" i="4"/>
  <c r="V540" i="4" s="1"/>
  <c r="B539" i="4"/>
  <c r="C539" i="4"/>
  <c r="F539" i="4"/>
  <c r="J539" i="4"/>
  <c r="M539" i="4"/>
  <c r="P539" i="4"/>
  <c r="T539" i="4"/>
  <c r="U539" i="4"/>
  <c r="V539" i="4" s="1"/>
  <c r="B538" i="4"/>
  <c r="C538" i="4"/>
  <c r="F538" i="4"/>
  <c r="J538" i="4"/>
  <c r="M538" i="4"/>
  <c r="P538" i="4"/>
  <c r="T538" i="4"/>
  <c r="U538" i="4"/>
  <c r="V538" i="4" s="1"/>
  <c r="B537" i="4"/>
  <c r="C537" i="4"/>
  <c r="F537" i="4"/>
  <c r="J537" i="4"/>
  <c r="M537" i="4"/>
  <c r="P537" i="4"/>
  <c r="T537" i="4"/>
  <c r="U537" i="4"/>
  <c r="V537" i="4" s="1"/>
  <c r="B536" i="4" l="1"/>
  <c r="C536" i="4"/>
  <c r="F536" i="4"/>
  <c r="J536" i="4"/>
  <c r="M536" i="4"/>
  <c r="P536" i="4"/>
  <c r="T536" i="4"/>
  <c r="U536" i="4"/>
  <c r="V536" i="4" s="1"/>
  <c r="B535" i="4"/>
  <c r="C535" i="4"/>
  <c r="F535" i="4"/>
  <c r="J535" i="4"/>
  <c r="M535" i="4"/>
  <c r="P535" i="4"/>
  <c r="T535" i="4"/>
  <c r="U535" i="4"/>
  <c r="V535" i="4" s="1"/>
  <c r="B534" i="4"/>
  <c r="C534" i="4"/>
  <c r="F534" i="4"/>
  <c r="J534" i="4"/>
  <c r="M534" i="4"/>
  <c r="P534" i="4"/>
  <c r="T534" i="4"/>
  <c r="U534" i="4"/>
  <c r="V534" i="4" s="1"/>
  <c r="F533" i="4"/>
  <c r="B533" i="4"/>
  <c r="C533" i="4"/>
  <c r="J533" i="4"/>
  <c r="M533" i="4"/>
  <c r="P533" i="4"/>
  <c r="T533" i="4"/>
  <c r="U533" i="4"/>
  <c r="V533" i="4" s="1"/>
  <c r="B532" i="4"/>
  <c r="C532" i="4"/>
  <c r="F532" i="4"/>
  <c r="J532" i="4"/>
  <c r="M532" i="4"/>
  <c r="P532" i="4"/>
  <c r="T532" i="4"/>
  <c r="U532" i="4"/>
  <c r="V532" i="4" s="1"/>
  <c r="B531" i="4"/>
  <c r="C531" i="4"/>
  <c r="F531" i="4"/>
  <c r="J531" i="4"/>
  <c r="M531" i="4"/>
  <c r="P531" i="4"/>
  <c r="T531" i="4"/>
  <c r="U531" i="4"/>
  <c r="V531" i="4" s="1"/>
  <c r="B530" i="4"/>
  <c r="C530" i="4"/>
  <c r="F530" i="4"/>
  <c r="J530" i="4"/>
  <c r="M530" i="4"/>
  <c r="P530" i="4"/>
  <c r="T530" i="4"/>
  <c r="U530" i="4"/>
  <c r="V530" i="4" s="1"/>
  <c r="B529" i="4"/>
  <c r="C529" i="4"/>
  <c r="F529" i="4"/>
  <c r="J529" i="4"/>
  <c r="M529" i="4"/>
  <c r="P529" i="4"/>
  <c r="T529" i="4"/>
  <c r="U529" i="4"/>
  <c r="V529" i="4" s="1"/>
  <c r="B528" i="4"/>
  <c r="C528" i="4"/>
  <c r="F528" i="4"/>
  <c r="J528" i="4"/>
  <c r="M528" i="4"/>
  <c r="P528" i="4"/>
  <c r="T528" i="4"/>
  <c r="U528" i="4"/>
  <c r="V528" i="4" s="1"/>
  <c r="B527" i="4"/>
  <c r="C527" i="4"/>
  <c r="F527" i="4"/>
  <c r="J527" i="4"/>
  <c r="M527" i="4"/>
  <c r="P527" i="4"/>
  <c r="T527" i="4"/>
  <c r="U527" i="4"/>
  <c r="V527" i="4" s="1"/>
  <c r="B526" i="4"/>
  <c r="C526" i="4"/>
  <c r="F526" i="4"/>
  <c r="J526" i="4"/>
  <c r="M526" i="4"/>
  <c r="P526" i="4"/>
  <c r="T526" i="4"/>
  <c r="U526" i="4"/>
  <c r="V526" i="4" s="1"/>
  <c r="T525" i="4"/>
  <c r="B525" i="4"/>
  <c r="C525" i="4"/>
  <c r="F525" i="4"/>
  <c r="J525" i="4"/>
  <c r="M525" i="4"/>
  <c r="P525" i="4"/>
  <c r="U525" i="4"/>
  <c r="V525" i="4" s="1"/>
  <c r="B524" i="4"/>
  <c r="C524" i="4"/>
  <c r="F524" i="4"/>
  <c r="J524" i="4"/>
  <c r="M524" i="4"/>
  <c r="P524" i="4"/>
  <c r="T524" i="4"/>
  <c r="U524" i="4"/>
  <c r="V524" i="4" s="1"/>
  <c r="B523" i="4"/>
  <c r="C523" i="4"/>
  <c r="F523" i="4"/>
  <c r="J523" i="4"/>
  <c r="M523" i="4"/>
  <c r="P523" i="4"/>
  <c r="T523" i="4"/>
  <c r="U523" i="4"/>
  <c r="V523" i="4" s="1"/>
  <c r="B522" i="4"/>
  <c r="C522" i="4"/>
  <c r="F522" i="4"/>
  <c r="J522" i="4"/>
  <c r="M522" i="4"/>
  <c r="P522" i="4"/>
  <c r="T522" i="4"/>
  <c r="U522" i="4"/>
  <c r="V522" i="4" s="1"/>
  <c r="B521" i="4"/>
  <c r="C521" i="4"/>
  <c r="F521" i="4"/>
  <c r="J521" i="4"/>
  <c r="M521" i="4"/>
  <c r="P521" i="4"/>
  <c r="T521" i="4"/>
  <c r="U521" i="4"/>
  <c r="V521" i="4" s="1"/>
  <c r="B520" i="4"/>
  <c r="C520" i="4"/>
  <c r="F520" i="4"/>
  <c r="J520" i="4"/>
  <c r="M520" i="4"/>
  <c r="P520" i="4"/>
  <c r="T520" i="4"/>
  <c r="U520" i="4"/>
  <c r="V520" i="4" s="1"/>
  <c r="B519" i="4"/>
  <c r="C519" i="4"/>
  <c r="F519" i="4"/>
  <c r="J519" i="4"/>
  <c r="M519" i="4"/>
  <c r="P519" i="4"/>
  <c r="T519" i="4"/>
  <c r="U519" i="4"/>
  <c r="V519" i="4" s="1"/>
  <c r="B518" i="4"/>
  <c r="C518" i="4"/>
  <c r="F518" i="4"/>
  <c r="J518" i="4"/>
  <c r="M518" i="4"/>
  <c r="P518" i="4"/>
  <c r="T518" i="4"/>
  <c r="U518" i="4"/>
  <c r="V518" i="4" s="1"/>
  <c r="B517" i="4"/>
  <c r="C517" i="4"/>
  <c r="F517" i="4"/>
  <c r="J517" i="4"/>
  <c r="M517" i="4"/>
  <c r="P517" i="4"/>
  <c r="T517" i="4"/>
  <c r="U517" i="4"/>
  <c r="V517" i="4" s="1"/>
  <c r="B516" i="4"/>
  <c r="C516" i="4"/>
  <c r="F516" i="4"/>
  <c r="J516" i="4"/>
  <c r="M516" i="4"/>
  <c r="P516" i="4"/>
  <c r="T516" i="4"/>
  <c r="U516" i="4"/>
  <c r="V516" i="4" s="1"/>
  <c r="B515" i="4"/>
  <c r="C515" i="4"/>
  <c r="F515" i="4"/>
  <c r="J515" i="4"/>
  <c r="M515" i="4"/>
  <c r="P515" i="4"/>
  <c r="T515" i="4"/>
  <c r="U515" i="4"/>
  <c r="V515" i="4" s="1"/>
  <c r="B514" i="4"/>
  <c r="C514" i="4"/>
  <c r="F514" i="4"/>
  <c r="J514" i="4"/>
  <c r="M514" i="4"/>
  <c r="P514" i="4"/>
  <c r="T514" i="4"/>
  <c r="U514" i="4"/>
  <c r="V514" i="4" s="1"/>
  <c r="B513" i="4"/>
  <c r="C513" i="4"/>
  <c r="F513" i="4"/>
  <c r="J513" i="4"/>
  <c r="M513" i="4"/>
  <c r="P513" i="4"/>
  <c r="T513" i="4"/>
  <c r="U513" i="4"/>
  <c r="V513" i="4" s="1"/>
  <c r="H27" i="3"/>
  <c r="K27" i="3"/>
  <c r="M27" i="3"/>
  <c r="Q27" i="3"/>
  <c r="R27" i="3"/>
  <c r="S27" i="3" s="1"/>
  <c r="H26" i="3" l="1"/>
  <c r="K26" i="3"/>
  <c r="M26" i="3"/>
  <c r="Q26" i="3"/>
  <c r="R26" i="3"/>
  <c r="S26" i="3" s="1"/>
  <c r="B512" i="4"/>
  <c r="C512" i="4"/>
  <c r="F512" i="4"/>
  <c r="J512" i="4"/>
  <c r="M512" i="4"/>
  <c r="P512" i="4"/>
  <c r="T512" i="4"/>
  <c r="U512" i="4"/>
  <c r="V512" i="4" s="1"/>
  <c r="B511" i="4"/>
  <c r="C511" i="4"/>
  <c r="F511" i="4"/>
  <c r="J511" i="4"/>
  <c r="M511" i="4"/>
  <c r="P511" i="4"/>
  <c r="T511" i="4"/>
  <c r="U511" i="4"/>
  <c r="V511" i="4" s="1"/>
  <c r="B510" i="4"/>
  <c r="C510" i="4"/>
  <c r="F510" i="4"/>
  <c r="J510" i="4"/>
  <c r="M510" i="4"/>
  <c r="P510" i="4"/>
  <c r="T510" i="4"/>
  <c r="U510" i="4"/>
  <c r="V510" i="4" s="1"/>
  <c r="B509" i="4"/>
  <c r="C509" i="4"/>
  <c r="F509" i="4"/>
  <c r="J509" i="4"/>
  <c r="M509" i="4"/>
  <c r="P509" i="4"/>
  <c r="T509" i="4"/>
  <c r="U509" i="4"/>
  <c r="V509" i="4" s="1"/>
  <c r="B508" i="4"/>
  <c r="C508" i="4"/>
  <c r="F508" i="4"/>
  <c r="J508" i="4"/>
  <c r="M508" i="4"/>
  <c r="P508" i="4"/>
  <c r="T508" i="4"/>
  <c r="U508" i="4"/>
  <c r="V508" i="4" s="1"/>
  <c r="B507" i="4"/>
  <c r="C507" i="4"/>
  <c r="F507" i="4"/>
  <c r="J507" i="4"/>
  <c r="M507" i="4"/>
  <c r="P507" i="4"/>
  <c r="T507" i="4"/>
  <c r="U507" i="4"/>
  <c r="V507" i="4" s="1"/>
  <c r="B506" i="4"/>
  <c r="C506" i="4"/>
  <c r="F506" i="4"/>
  <c r="J506" i="4"/>
  <c r="M506" i="4"/>
  <c r="P506" i="4"/>
  <c r="T506" i="4"/>
  <c r="U506" i="4"/>
  <c r="V506" i="4" s="1"/>
  <c r="B505" i="4"/>
  <c r="C505" i="4"/>
  <c r="F505" i="4"/>
  <c r="J505" i="4"/>
  <c r="M505" i="4"/>
  <c r="P505" i="4"/>
  <c r="T505" i="4"/>
  <c r="U505" i="4"/>
  <c r="V505" i="4" s="1"/>
  <c r="T504" i="4"/>
  <c r="B504" i="4"/>
  <c r="C504" i="4"/>
  <c r="F504" i="4"/>
  <c r="J504" i="4"/>
  <c r="M504" i="4"/>
  <c r="P504" i="4"/>
  <c r="U504" i="4"/>
  <c r="V504" i="4" s="1"/>
  <c r="B503" i="4"/>
  <c r="C503" i="4"/>
  <c r="F503" i="4"/>
  <c r="J503" i="4"/>
  <c r="M503" i="4"/>
  <c r="P503" i="4"/>
  <c r="T503" i="4"/>
  <c r="U503" i="4"/>
  <c r="V503" i="4" s="1"/>
  <c r="B502" i="4"/>
  <c r="C502" i="4"/>
  <c r="F502" i="4"/>
  <c r="J502" i="4"/>
  <c r="M502" i="4"/>
  <c r="P502" i="4"/>
  <c r="T502" i="4"/>
  <c r="U502" i="4"/>
  <c r="V502" i="4" s="1"/>
  <c r="H25" i="3"/>
  <c r="K25" i="3"/>
  <c r="M25" i="3"/>
  <c r="Q25" i="3"/>
  <c r="R25" i="3"/>
  <c r="S25" i="3" s="1"/>
  <c r="B501" i="4"/>
  <c r="C501" i="4"/>
  <c r="F501" i="4"/>
  <c r="J501" i="4"/>
  <c r="M501" i="4"/>
  <c r="P501" i="4"/>
  <c r="T501" i="4"/>
  <c r="U501" i="4"/>
  <c r="V501" i="4" s="1"/>
  <c r="B500" i="4"/>
  <c r="C500" i="4"/>
  <c r="F500" i="4"/>
  <c r="J500" i="4"/>
  <c r="M500" i="4"/>
  <c r="P500" i="4"/>
  <c r="T500" i="4"/>
  <c r="U500" i="4"/>
  <c r="V500" i="4" s="1"/>
  <c r="B499" i="4"/>
  <c r="C499" i="4"/>
  <c r="F499" i="4"/>
  <c r="J499" i="4"/>
  <c r="M499" i="4"/>
  <c r="P499" i="4"/>
  <c r="T499" i="4"/>
  <c r="U499" i="4"/>
  <c r="V499" i="4" s="1"/>
  <c r="B498" i="4"/>
  <c r="C498" i="4"/>
  <c r="F498" i="4"/>
  <c r="J498" i="4"/>
  <c r="M498" i="4"/>
  <c r="P498" i="4"/>
  <c r="T498" i="4"/>
  <c r="U498" i="4"/>
  <c r="V498" i="4" s="1"/>
  <c r="B497" i="4"/>
  <c r="C497" i="4"/>
  <c r="F497" i="4"/>
  <c r="J497" i="4"/>
  <c r="M497" i="4"/>
  <c r="P497" i="4"/>
  <c r="T497" i="4"/>
  <c r="U497" i="4"/>
  <c r="V497" i="4" s="1"/>
  <c r="B496" i="4"/>
  <c r="C496" i="4"/>
  <c r="F496" i="4"/>
  <c r="J496" i="4"/>
  <c r="M496" i="4"/>
  <c r="P496" i="4"/>
  <c r="T496" i="4"/>
  <c r="U496" i="4"/>
  <c r="V496" i="4" s="1"/>
  <c r="B495" i="4"/>
  <c r="C495" i="4"/>
  <c r="F495" i="4"/>
  <c r="J495" i="4"/>
  <c r="M495" i="4"/>
  <c r="P495" i="4"/>
  <c r="T495" i="4"/>
  <c r="U495" i="4"/>
  <c r="V495" i="4" s="1"/>
  <c r="B494" i="4"/>
  <c r="C494" i="4"/>
  <c r="F494" i="4"/>
  <c r="J494" i="4"/>
  <c r="M494" i="4"/>
  <c r="P494" i="4"/>
  <c r="T494" i="4"/>
  <c r="U494" i="4"/>
  <c r="V494" i="4" s="1"/>
  <c r="B493" i="4"/>
  <c r="C493" i="4"/>
  <c r="F493" i="4"/>
  <c r="J493" i="4"/>
  <c r="M493" i="4"/>
  <c r="P493" i="4"/>
  <c r="T493" i="4"/>
  <c r="U493" i="4"/>
  <c r="V493" i="4" s="1"/>
  <c r="B492" i="4"/>
  <c r="C492" i="4"/>
  <c r="F492" i="4"/>
  <c r="J492" i="4"/>
  <c r="M492" i="4"/>
  <c r="P492" i="4"/>
  <c r="T492" i="4"/>
  <c r="U492" i="4"/>
  <c r="V492" i="4" s="1"/>
  <c r="B491" i="4"/>
  <c r="C491" i="4"/>
  <c r="F491" i="4"/>
  <c r="J491" i="4"/>
  <c r="M491" i="4"/>
  <c r="P491" i="4"/>
  <c r="T491" i="4"/>
  <c r="U491" i="4"/>
  <c r="V491" i="4" s="1"/>
  <c r="B490" i="4"/>
  <c r="C490" i="4"/>
  <c r="F490" i="4"/>
  <c r="J490" i="4"/>
  <c r="M490" i="4"/>
  <c r="P490" i="4"/>
  <c r="T490" i="4"/>
  <c r="U490" i="4"/>
  <c r="V490" i="4" s="1"/>
  <c r="H24" i="3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 s="1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<sst xmlns="http://schemas.openxmlformats.org/spreadsheetml/2006/main" count="1298" uniqueCount="103">
  <si>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</si>
  <si>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</si>
  <si>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</si>
  <si>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</si>
  <si>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</si>
  <si>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</si>
  <si>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</si>
  <si>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</si>
  <si>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</si>
  <si>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</si>
  <si>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</si>
  <si>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</si>
  <si>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</si>
  <si>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</si>
  <si>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</si>
  <si>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</si>
  <si>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</si>
  <si>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</si>
  <si>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</si>
  <si>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</si>
  <si>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</si>
  <si>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</si>
  <si>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</si>
  <si>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</si>
  <si>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</si>
  <si>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</si>
  <si>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</si>
  <si>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</si>
  <si>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</si>
  <si>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</si>
  <si>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</si>
  <si>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</si>
  <si>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</si>
  <si>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</si>
  <si>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</si>
  <si>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</si>
  <si>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</si>
  <si>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</si>
  <si>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</si>
  <si>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</si>
  <si>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</si>
  <si>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</si>
  <si>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</si>
  <si>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</si>
  <si>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</si>
  <si>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</si>
  <si>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</si>
  <si>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</si>
  <si>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</si>
  <si>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</si>
  <si>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</si>
  <si>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</si>
  <si>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</si>
  <si>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</si>
  <si>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</si>
  <si>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</si>
  <si>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</si>
  <si>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</si>
  <si>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</si>
  <si>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</si>
  <si>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</si>
  <si>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</si>
  <si>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</si>
  <si>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</si>
  <si>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</si>
  <si>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</si>
  <si>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</si>
  <si>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</si>
  <si>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</si>
  <si>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</si>
  <si>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</si>
  <si>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</si>
  <si>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</si>
  <si>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</si>
  <si>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</si>
  <si>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</si>
  <si>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</si>
  <si>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</si>
  <si>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</si>
  <si>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</si>
  <si>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</si>
  <si>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</si>
  <si>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</si>
  <si>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</si>
  <si>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</si>
  <si>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</si>
  <si>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</si>
  <si>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</si>
  <si>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</si>
  <si>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</si>
  <si>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</si>
  <si>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</si>
  <si>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</si>
  <si>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</si>
  <si>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</si>
  <si>
    <t>9,9,13,13</t>
  </si>
  <si>
    <t>13,13,13,13,13,13,13,13,13,13</t>
  </si>
  <si>
    <t>BER6A86</t>
  </si>
  <si>
    <t>9,9,38,38,38</t>
  </si>
  <si>
    <t>13,13,13,13,13,13,13,27</t>
  </si>
  <si>
    <t>13,13,13,13,13,13</t>
  </si>
  <si>
    <t>13,13,13,13,13,13,13,13,13,13,13,13,13,13,13,13,13,38</t>
  </si>
  <si>
    <t>38,38,38,38,38,38,38,38,38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</si>
</sst>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56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30" totalsRowShown="0" headerRowDxfId="155" dataDxfId="153" headerRowBorderDxfId="154" tableBorderDxfId="152" totalsRowBorderDxfId="151" headerRowCellStyle="Normal 2 2 2">
  <autoFilter ref="A1:V30" xr:uid="{DCE91C63-7150-4B05-9681-4C03C82B532C}"/>
  <tableColumns count="22">
    <tableColumn id="1" xr3:uid="{26A85748-1AED-4A71-96D3-23AF97AC5D2B}" name="Data" dataDxfId="150"/>
    <tableColumn id="25" xr3:uid="{D413966D-CDFC-4875-A3AE-6AE9D849E75F}" name="Placa" dataDxfId="149"/>
    <tableColumn id="3" xr3:uid="{D30CA2C3-D31F-4082-8392-1A98EB60EDD3}" name="Carreta" dataDxfId="148"/>
    <tableColumn id="4" xr3:uid="{758E5D51-7D49-4A69-8227-C9CE8E4A907A}" name="Motorista" dataDxfId="147"/>
    <tableColumn id="6" xr3:uid="{842361EA-39E1-4EF7-90A4-9BDC9C0966DF}" name="Valor Frete" dataDxfId="146" dataCellStyle="Moeda"/>
    <tableColumn id="7" xr3:uid="{D4C1D57F-C6B7-49EE-9F7B-47EBA6030041}" name="Valor Mercadoria" dataDxfId="145" dataCellStyle="Moeda"/>
    <tableColumn id="8" xr3:uid="{C79AB3D8-0BFF-4FFE-B20B-E81367BFEEFC}" name="Peso" dataDxfId="144"/>
    <tableColumn id="9" xr3:uid="{7D4ACBB5-8F17-463A-A61F-84A8EFF41604}" name="% Frete" dataDxfId="143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42"/>
    <tableColumn id="11" xr3:uid="{DC726A91-384E-47C4-A94A-9095E8138925}" name="Hr Chegada" dataDxfId="141"/>
    <tableColumn id="12" xr3:uid="{9A37D38C-D321-47A3-881E-B95F03E5DB0D}" name="Tempo" dataDxfId="140">
      <calculatedColumnFormula>Tabela35[[#This Row],[Hr Chegada]]-Tabela35[[#This Row],[Hr Saida]]</calculatedColumnFormula>
    </tableColumn>
    <tableColumn id="13" xr3:uid="{E5643091-5008-4800-BF73-88DFC566FBE9}" name="Frete" dataDxfId="139" dataCellStyle="Moeda"/>
    <tableColumn id="14" xr3:uid="{5E8F8636-0E97-4E52-8561-725D1AD8BAF1}" name="% Frete T" dataDxfId="138" dataCellStyle="Porcentagem">
      <calculatedColumnFormula>Tabela35[[#This Row],[Frete]]/Tabela35[[#This Row],[Valor Frete]]</calculatedColumnFormula>
    </tableColumn>
    <tableColumn id="16" xr3:uid="{F64AFFB0-A5D7-49FD-8B66-BD3FBD830A8C}" name="Vols" dataDxfId="137"/>
    <tableColumn id="17" xr3:uid="{36B8097A-82AA-4880-AA26-8A84D3BFDAE9}" name="Qtde Entregas" dataDxfId="136"/>
    <tableColumn id="18" xr3:uid="{8BF06732-0C91-4852-86A9-342D98B30169}" name="Entregas Realizadas" dataDxfId="135"/>
    <tableColumn id="19" xr3:uid="{20BD31A4-57AA-4F11-A73A-2B181C01798B}" name=" Retornadas" dataDxfId="134">
      <calculatedColumnFormula>Tabela35[[#This Row],[Qtde Entregas]]-Tabela35[[#This Row],[Entregas Realizadas]]</calculatedColumnFormula>
    </tableColumn>
    <tableColumn id="20" xr3:uid="{F3EDF45C-B4E9-4FE6-A74A-C49CA0273F75}" name="% Entrega" dataDxfId="133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32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31"/>
    <tableColumn id="23" xr3:uid="{D7BA1AAD-39A7-4F74-8E2B-3DAD30E78669}" name="Nfs Voltaram" dataDxfId="130"/>
    <tableColumn id="24" xr3:uid="{3938B063-E851-4B1A-B457-042DD7442897}" name="Código ocorrência" dataDxfId="1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559" totalsRowShown="0" headerRowDxfId="128" dataDxfId="126" headerRowBorderDxfId="127" tableBorderDxfId="125" totalsRowBorderDxfId="124">
  <tableColumns count="25">
    <tableColumn id="1" xr3:uid="{B118DAB0-A500-46F5-A61D-A15BA1838F69}" name="Data" dataDxfId="123"/>
    <tableColumn id="25" xr3:uid="{DAA903FE-736A-4CBF-95D8-B9E859203B97}" name="Ano" dataDxfId="122">
      <calculatedColumnFormula>YEAR(Tabela32[[#This Row],[Data]])</calculatedColumnFormula>
    </tableColumn>
    <tableColumn id="5" xr3:uid="{90D6CF8C-ACE3-46EA-828E-BB258996DD8F}" name="Mês" dataDxfId="121">
      <calculatedColumnFormula>MONTH(Tabela32[[#This Row],[Data]])</calculatedColumnFormula>
    </tableColumn>
    <tableColumn id="2" xr3:uid="{9E2D603E-103D-4F88-A5C8-5E9A03E2A3EE}" name="Placa" dataDxfId="120"/>
    <tableColumn id="3" xr3:uid="{7935B67B-4456-42E7-8B2D-EAF1D5C1B4F9}" name="Rota" dataDxfId="119"/>
    <tableColumn id="4" xr3:uid="{74C94A9C-B298-4701-847E-59C66BC8BBC2}" name="Motorista" dataDxfId="118">
      <calculatedColumnFormula>IFERROR(VLOOKUP(Tabela32[[#This Row],[Placa]],Planilha2!$A$1:$B$12,2,0),"")</calculatedColumnFormula>
    </tableColumn>
    <tableColumn id="6" xr3:uid="{694C94D7-8F01-480E-AA0C-B9B0FA8D2345}" name="Valor Frete" dataDxfId="117" dataCellStyle="Moeda"/>
    <tableColumn id="7" xr3:uid="{7D623530-7EED-4526-B289-B392FA2EF883}" name="Valor Mercadoria" dataDxfId="116" dataCellStyle="Moeda"/>
    <tableColumn id="8" xr3:uid="{3D927A69-B557-47A5-A269-05DEBEF85C73}" name="Peso" dataDxfId="115"/>
    <tableColumn id="9" xr3:uid="{69BC588C-6D01-4257-B2D9-CF2D843D1C40}" name="% Frete" dataDxfId="114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13"/>
    <tableColumn id="11" xr3:uid="{3B907CC4-B262-4107-87FF-1E75280AC1BF}" name="Hr Chegada" dataDxfId="112"/>
    <tableColumn id="12" xr3:uid="{ED725939-179A-4D21-873C-15774DD68F53}" name="Tempo" dataDxfId="111">
      <calculatedColumnFormula>Tabela32[[#This Row],[Hr Chegada]]-Tabela32[[#This Row],[Hr Saida]]</calculatedColumnFormula>
    </tableColumn>
    <tableColumn id="13" xr3:uid="{74EA350D-6976-4E2D-A058-0785043C5735}" name="Km Saída" dataDxfId="110"/>
    <tableColumn id="14" xr3:uid="{496AFEAD-5BFE-466C-B0AF-20375AAEECFC}" name="Km Chegada" dataDxfId="109"/>
    <tableColumn id="15" xr3:uid="{AB2841F1-639E-4525-98D9-0FAED04E102B}" name="Km/Dia" dataDxfId="108">
      <calculatedColumnFormula>Tabela32[[#This Row],[Km Chegada]]-Tabela32[[#This Row],[Km Saída]]</calculatedColumnFormula>
    </tableColumn>
    <tableColumn id="16" xr3:uid="{D83FBC01-4652-43E1-B278-CE34A958D106}" name="Vols" dataDxfId="107"/>
    <tableColumn id="17" xr3:uid="{CA7BF05C-1770-40EE-89A9-C80AA88EFC06}" name="Entregas" dataDxfId="106"/>
    <tableColumn id="18" xr3:uid="{037F6348-AFD4-431D-99B0-8147EA9E213B}" name="Realizadas" dataDxfId="105"/>
    <tableColumn id="19" xr3:uid="{196A1910-314C-450C-B67A-E51295FA6A18}" name=" Retornadas" dataDxfId="104">
      <calculatedColumnFormula>Tabela32[[#This Row],[Entregas]]-Tabela32[[#This Row],[Realizadas]]</calculatedColumnFormula>
    </tableColumn>
    <tableColumn id="20" xr3:uid="{F0BBC004-BAAB-43E2-A50E-1DD3FAEFD5F0}" name="% Entrega" dataDxfId="103" dataCellStyle="Moeda">
      <calculatedColumnFormula>Tabela32[[#This Row],[Realizadas]]/Tabela32[[#This Row],[Entregas]]</calculatedColumnFormula>
    </tableColumn>
    <tableColumn id="21" xr3:uid="{BB53A276-7721-4934-9C42-DB7E1D2740B3}" name="Meta" dataDxfId="102">
      <calculatedColumnFormula>IF(Tabela32[[#This Row],[% Entrega]]&gt;=96%,"Atendeu a Meta","Não Atendeu a Meta")</calculatedColumnFormula>
    </tableColumn>
    <tableColumn id="22" xr3:uid="{CE1DD687-26CA-4D2F-BCFC-661EB14CAD0F}" name="Cidade Destino" dataDxfId="101"/>
    <tableColumn id="23" xr3:uid="{F8FFD74E-1FF0-45CC-9EA9-8E8EA807957C}" name="Nfs Voltaram" dataDxfId="100"/>
    <tableColumn id="24" xr3:uid="{2EC98F08-AFB3-40A3-B3CE-1C9A788E39CD}" name="Ocorrência" dataDxfId="9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97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30"/>
  <sheetViews>
    <sheetView showGridLines="0" tabSelected="1" workbookViewId="0">
      <pane xSplit="8" ySplit="1" topLeftCell="R2" activePane="bottomRight" state="frozen"/>
      <selection pane="topRight" activeCell="I1" sqref="I1"/>
      <selection pane="bottomLeft" activeCell="A2" sqref="A2"/>
      <selection pane="bottomRight" activeCell="A30" sqref="A30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82</v>
      </c>
      <c r="V20" s="5"/>
    </row>
    <row r="21" spans="1:22" x14ac:dyDescent="0.25">
      <c r="A21" s="8">
        <v>46294</v>
      </c>
      <c r="B21" s="8" t="s">
        <v>57</v>
      </c>
      <c r="C21" s="4"/>
      <c r="D21" s="4" t="s">
        <v>58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57</v>
      </c>
      <c r="C22" s="4"/>
      <c r="D22" s="4" t="s">
        <v>58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10">
        <v>6185.78</v>
      </c>
      <c r="F24" s="10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  <row r="25" spans="1:22" x14ac:dyDescent="0.25">
      <c r="A25" s="8">
        <v>46302</v>
      </c>
      <c r="B25" s="8" t="s">
        <v>44</v>
      </c>
      <c r="C25" s="4"/>
      <c r="D25" s="4" t="s">
        <v>45</v>
      </c>
      <c r="E25" s="10">
        <v>8104.3</v>
      </c>
      <c r="F25" s="10">
        <v>95783.11</v>
      </c>
      <c r="G25" s="4"/>
      <c r="H25" s="9">
        <f>Tabela35[[#This Row],[Valor Frete]]/Tabela35[[#This Row],[Valor Mercadoria]]</f>
        <v>8.4610950719808536E-2</v>
      </c>
      <c r="I25" s="4"/>
      <c r="J25" s="4"/>
      <c r="K25" s="4">
        <f>Tabela35[[#This Row],[Hr Chegada]]-Tabela35[[#This Row],[Hr Saida]]</f>
        <v>0</v>
      </c>
      <c r="L25" s="10">
        <v>500</v>
      </c>
      <c r="M25" s="9">
        <f>Tabela35[[#This Row],[Frete]]/Tabela35[[#This Row],[Valor Frete]]</f>
        <v>6.1695643053687549E-2</v>
      </c>
      <c r="N25" s="4"/>
      <c r="O25" s="4">
        <v>16</v>
      </c>
      <c r="P25" s="4">
        <v>16</v>
      </c>
      <c r="Q25" s="12">
        <f>Tabela35[[#This Row],[Qtde Entregas]]-Tabela35[[#This Row],[Entregas Realizadas]]</f>
        <v>0</v>
      </c>
      <c r="R25" s="13">
        <f>Tabela35[[#This Row],[Entregas Realizadas]]/Tabela35[[#This Row],[Qtde Entregas]]</f>
        <v>1</v>
      </c>
      <c r="S25" s="14" t="str">
        <f>IF(Tabela35[[#This Row],[% Entrega]]&gt;=96%,"Atendeu a Meta","Não Atendeu a Meta")</f>
        <v>Atendeu a Meta</v>
      </c>
      <c r="T25" s="4" t="s">
        <v>39</v>
      </c>
      <c r="U25" s="4">
        <v>38</v>
      </c>
      <c r="V25" s="5"/>
    </row>
    <row r="26" spans="1:22" x14ac:dyDescent="0.25">
      <c r="A26" s="8">
        <v>46303</v>
      </c>
      <c r="B26" s="8" t="s">
        <v>44</v>
      </c>
      <c r="C26" s="4"/>
      <c r="D26" s="4" t="s">
        <v>45</v>
      </c>
      <c r="E26" s="10">
        <v>5994.53</v>
      </c>
      <c r="F26" s="10">
        <v>131439.71</v>
      </c>
      <c r="G26" s="4">
        <v>1808</v>
      </c>
      <c r="H26" s="9">
        <f>Tabela35[[#This Row],[Valor Frete]]/Tabela35[[#This Row],[Valor Mercadoria]]</f>
        <v>4.5606689180918002E-2</v>
      </c>
      <c r="I26" s="4"/>
      <c r="J26" s="4"/>
      <c r="K26" s="4">
        <f>Tabela35[[#This Row],[Hr Chegada]]-Tabela35[[#This Row],[Hr Saida]]</f>
        <v>0</v>
      </c>
      <c r="L26" s="10">
        <v>500</v>
      </c>
      <c r="M26" s="9">
        <f>Tabela35[[#This Row],[Frete]]/Tabela35[[#This Row],[Valor Frete]]</f>
        <v>8.340937488009903E-2</v>
      </c>
      <c r="N26" s="4">
        <v>359</v>
      </c>
      <c r="O26" s="4">
        <v>19</v>
      </c>
      <c r="P26" s="4">
        <v>19</v>
      </c>
      <c r="Q26" s="12">
        <f>Tabela35[[#This Row],[Qtde Entregas]]-Tabela35[[#This Row],[Entregas Realizadas]]</f>
        <v>0</v>
      </c>
      <c r="R26" s="13">
        <f>Tabela35[[#This Row],[Entregas Realizadas]]/Tabela35[[#This Row],[Qtde Entregas]]</f>
        <v>1</v>
      </c>
      <c r="S26" s="14" t="str">
        <f>IF(Tabela35[[#This Row],[% Entrega]]&gt;=96%,"Atendeu a Meta","Não Atendeu a Meta")</f>
        <v>Atendeu a Meta</v>
      </c>
      <c r="T26" s="4" t="s">
        <v>39</v>
      </c>
      <c r="U26" s="4">
        <v>0</v>
      </c>
      <c r="V26" s="5">
        <v>0</v>
      </c>
    </row>
    <row r="27" spans="1:22" x14ac:dyDescent="0.25">
      <c r="A27" s="8">
        <v>46308</v>
      </c>
      <c r="B27" s="8" t="s">
        <v>44</v>
      </c>
      <c r="C27" s="4"/>
      <c r="D27" s="4" t="s">
        <v>45</v>
      </c>
      <c r="E27" s="10">
        <v>8191.62</v>
      </c>
      <c r="F27" s="10">
        <v>144115.01</v>
      </c>
      <c r="G27" s="4">
        <v>1700</v>
      </c>
      <c r="H27" s="9">
        <f>Tabela35[[#This Row],[Valor Frete]]/Tabela35[[#This Row],[Valor Mercadoria]]</f>
        <v>5.6840852316493606E-2</v>
      </c>
      <c r="I27" s="4"/>
      <c r="J27" s="4"/>
      <c r="K27" s="4">
        <f>Tabela35[[#This Row],[Hr Chegada]]-Tabela35[[#This Row],[Hr Saida]]</f>
        <v>0</v>
      </c>
      <c r="L27" s="10">
        <v>500</v>
      </c>
      <c r="M27" s="9">
        <f>Tabela35[[#This Row],[Frete]]/Tabela35[[#This Row],[Valor Frete]]</f>
        <v>6.103798760196396E-2</v>
      </c>
      <c r="N27" s="4">
        <v>346</v>
      </c>
      <c r="O27" s="4">
        <v>16</v>
      </c>
      <c r="P27" s="4">
        <v>16</v>
      </c>
      <c r="Q27" s="12">
        <f>Tabela35[[#This Row],[Qtde Entregas]]-Tabela35[[#This Row],[Entregas Realizadas]]</f>
        <v>0</v>
      </c>
      <c r="R27" s="13">
        <f>Tabela35[[#This Row],[Entregas Realizadas]]/Tabela35[[#This Row],[Qtde Entregas]]</f>
        <v>1</v>
      </c>
      <c r="S27" s="14" t="str">
        <f>IF(Tabela35[[#This Row],[% Entrega]]&gt;=96%,"Atendeu a Meta","Não Atendeu a Meta")</f>
        <v>Atendeu a Meta</v>
      </c>
      <c r="T27" s="4"/>
      <c r="U27" s="4"/>
      <c r="V27" s="5"/>
    </row>
    <row r="28" spans="1:22" x14ac:dyDescent="0.25">
      <c r="A28" s="8">
        <v>46309</v>
      </c>
      <c r="B28" s="8" t="s">
        <v>44</v>
      </c>
      <c r="C28" s="4"/>
      <c r="D28" s="4" t="s">
        <v>45</v>
      </c>
      <c r="E28" s="10">
        <v>9402.9500000000007</v>
      </c>
      <c r="F28" s="10">
        <v>196694.44</v>
      </c>
      <c r="G28" s="4">
        <v>2046</v>
      </c>
      <c r="H28" s="9">
        <f>Tabela35[[#This Row],[Valor Frete]]/Tabela35[[#This Row],[Valor Mercadoria]]</f>
        <v>4.7804859151077177E-2</v>
      </c>
      <c r="I28" s="4"/>
      <c r="J28" s="4"/>
      <c r="K28" s="4">
        <f>Tabela35[[#This Row],[Hr Chegada]]-Tabela35[[#This Row],[Hr Saida]]</f>
        <v>0</v>
      </c>
      <c r="L28" s="10">
        <v>500</v>
      </c>
      <c r="M28" s="9">
        <f>Tabela35[[#This Row],[Frete]]/Tabela35[[#This Row],[Valor Frete]]</f>
        <v>5.31748015250533E-2</v>
      </c>
      <c r="N28" s="4">
        <v>432</v>
      </c>
      <c r="O28" s="4">
        <v>33</v>
      </c>
      <c r="P28" s="4">
        <v>32</v>
      </c>
      <c r="Q28" s="12">
        <f>Tabela35[[#This Row],[Qtde Entregas]]-Tabela35[[#This Row],[Entregas Realizadas]]</f>
        <v>1</v>
      </c>
      <c r="R28" s="13">
        <f>Tabela35[[#This Row],[Entregas Realizadas]]/Tabela35[[#This Row],[Qtde Entregas]]</f>
        <v>0.96969696969696972</v>
      </c>
      <c r="S28" s="14" t="str">
        <f>IF(Tabela35[[#This Row],[% Entrega]]&gt;=96%,"Atendeu a Meta","Não Atendeu a Meta")</f>
        <v>Atendeu a Meta</v>
      </c>
      <c r="T28" s="4" t="s">
        <v>39</v>
      </c>
      <c r="U28" s="4">
        <v>1</v>
      </c>
      <c r="V28" s="5">
        <v>13.38</v>
      </c>
    </row>
    <row r="29" spans="1:22" x14ac:dyDescent="0.25">
      <c r="A29" s="8">
        <v>46310</v>
      </c>
      <c r="B29" s="8" t="s">
        <v>44</v>
      </c>
      <c r="C29" s="4"/>
      <c r="D29" s="4" t="s">
        <v>45</v>
      </c>
      <c r="E29" s="27">
        <v>3879.95</v>
      </c>
      <c r="F29" s="27">
        <v>86853.79</v>
      </c>
      <c r="G29" s="4">
        <v>623</v>
      </c>
      <c r="H29" s="9">
        <f>Tabela35[[#This Row],[Valor Frete]]/Tabela35[[#This Row],[Valor Mercadoria]]</f>
        <v>4.4672201408827411E-2</v>
      </c>
      <c r="I29" s="4"/>
      <c r="J29" s="4"/>
      <c r="K29" s="4">
        <f>Tabela35[[#This Row],[Hr Chegada]]-Tabela35[[#This Row],[Hr Saida]]</f>
        <v>0</v>
      </c>
      <c r="L29" s="10">
        <v>500</v>
      </c>
      <c r="M29" s="9">
        <f>Tabela35[[#This Row],[Frete]]/Tabela35[[#This Row],[Valor Frete]]</f>
        <v>0.12886764004690782</v>
      </c>
      <c r="N29" s="4">
        <v>98</v>
      </c>
      <c r="O29" s="4">
        <v>22</v>
      </c>
      <c r="P29" s="4">
        <v>22</v>
      </c>
      <c r="Q29" s="12">
        <f>Tabela35[[#This Row],[Qtde Entregas]]-Tabela35[[#This Row],[Entregas Realizadas]]</f>
        <v>0</v>
      </c>
      <c r="R29" s="13">
        <f>Tabela35[[#This Row],[Entregas Realizadas]]/Tabela35[[#This Row],[Qtde Entregas]]</f>
        <v>1</v>
      </c>
      <c r="S29" s="14" t="str">
        <f>IF(Tabela35[[#This Row],[% Entrega]]&gt;=96%,"Atendeu a Meta","Não Atendeu a Meta")</f>
        <v>Atendeu a Meta</v>
      </c>
      <c r="T29" s="4" t="s">
        <v>39</v>
      </c>
      <c r="U29" s="4">
        <v>0</v>
      </c>
      <c r="V29" s="5">
        <v>0</v>
      </c>
    </row>
    <row r="30" spans="1:22" x14ac:dyDescent="0.25">
      <c r="A30" s="8"/>
      <c r="B30" s="8"/>
      <c r="C30" s="4"/>
      <c r="D30" s="4"/>
      <c r="E30" s="27"/>
      <c r="F30" s="27"/>
      <c r="G30" s="4"/>
      <c r="H30" s="9" t="e">
        <f>Tabela35[[#This Row],[Valor Frete]]/Tabela35[[#This Row],[Valor Mercadoria]]</f>
        <v>#DIV/0!</v>
      </c>
      <c r="I30" s="4"/>
      <c r="J30" s="4"/>
      <c r="K30" s="4">
        <f>Tabela35[[#This Row],[Hr Chegada]]-Tabela35[[#This Row],[Hr Saida]]</f>
        <v>0</v>
      </c>
      <c r="L30" s="10"/>
      <c r="M30" s="9" t="e">
        <f>Tabela35[[#This Row],[Frete]]/Tabela35[[#This Row],[Valor Frete]]</f>
        <v>#DIV/0!</v>
      </c>
      <c r="N30" s="4"/>
      <c r="O30" s="4"/>
      <c r="P30" s="4"/>
      <c r="Q30" s="12">
        <f>Tabela35[[#This Row],[Qtde Entregas]]-Tabela35[[#This Row],[Entregas Realizadas]]</f>
        <v>0</v>
      </c>
      <c r="R30" s="13" t="e">
        <f>Tabela35[[#This Row],[Entregas Realizadas]]/Tabela35[[#This Row],[Qtde Entregas]]</f>
        <v>#DIV/0!</v>
      </c>
      <c r="S30" s="14" t="e">
        <f>IF(Tabela35[[#This Row],[% Entrega]]&gt;=96%,"Atendeu a Meta","Não Atendeu a Meta")</f>
        <v>#DIV/0!</v>
      </c>
      <c r="T30" s="4"/>
      <c r="U30" s="4"/>
      <c r="V30" s="5"/>
    </row>
  </sheetData>
  <conditionalFormatting sqref="H2:H30">
    <cfRule type="cellIs" dxfId="98" priority="1" operator="lessThan">
      <formula>0.05</formula>
    </cfRule>
    <cfRule type="cellIs" dxfId="97" priority="2" operator="greaterThanOrEqual">
      <formula>0.05</formula>
    </cfRule>
  </conditionalFormatting>
  <conditionalFormatting sqref="R2:R30">
    <cfRule type="cellIs" dxfId="96" priority="7" stopIfTrue="1" operator="lessThanOrEqual">
      <formula>0.949</formula>
    </cfRule>
    <cfRule type="cellIs" dxfId="95" priority="8" stopIfTrue="1" operator="greaterThanOrEqual">
      <formula>0.9</formula>
    </cfRule>
    <cfRule type="cellIs" dxfId="94" priority="9" stopIfTrue="1" operator="greaterThanOrEqual">
      <formula>90</formula>
    </cfRule>
    <cfRule type="cellIs" dxfId="93" priority="10" stopIfTrue="1" operator="lessThan">
      <formula>0</formula>
    </cfRule>
    <cfRule type="cellIs" dxfId="92" priority="11" stopIfTrue="1" operator="lessThan">
      <formula>1</formula>
    </cfRule>
    <cfRule type="cellIs" dxfId="91" priority="12" stopIfTrue="1" operator="greaterThan">
      <formula>100</formula>
    </cfRule>
    <cfRule type="cellIs" dxfId="90" priority="13" stopIfTrue="1" operator="greaterThan">
      <formula>1</formula>
    </cfRule>
  </conditionalFormatting>
  <conditionalFormatting sqref="S2:S30">
    <cfRule type="expression" dxfId="89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88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559"/>
  <sheetViews>
    <sheetView showGridLines="0" workbookViewId="0">
      <pane xSplit="10" ySplit="1" topLeftCell="W531" activePane="bottomRight" state="frozen"/>
      <selection pane="topRight" activeCell="I1" sqref="I1"/>
      <selection pane="bottomLeft" activeCell="A2" sqref="A2"/>
      <selection pane="bottomRight" activeCell="Y558" sqref="Y558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/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/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/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/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/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/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89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Wesley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Wesley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90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91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Wesley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Wesley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91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Wesley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92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82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93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Wesley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94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Wesley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88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16">
        <f>YEAR(Tabela32[[#This Row],[Data]])</f>
        <v>2026</v>
      </c>
      <c r="C480" s="1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16">
        <f>YEAR(Tabela32[[#This Row],[Data]])</f>
        <v>2026</v>
      </c>
      <c r="C481" s="1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16">
        <f>YEAR(Tabela32[[#This Row],[Data]])</f>
        <v>2026</v>
      </c>
      <c r="C482" s="1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76</v>
      </c>
    </row>
    <row r="483" spans="1:25" x14ac:dyDescent="0.25">
      <c r="A483" s="8">
        <v>46301</v>
      </c>
      <c r="B483" s="16">
        <f>YEAR(Tabela32[[#This Row],[Data]])</f>
        <v>2026</v>
      </c>
      <c r="C483" s="1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Wesley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16">
        <f>YEAR(Tabela32[[#This Row],[Data]])</f>
        <v>2026</v>
      </c>
      <c r="C484" s="1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16">
        <f>YEAR(Tabela32[[#This Row],[Data]])</f>
        <v>2026</v>
      </c>
      <c r="C485" s="1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16">
        <f>YEAR(Tabela32[[#This Row],[Data]])</f>
        <v>2026</v>
      </c>
      <c r="C486" s="1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63</v>
      </c>
      <c r="X486" s="4">
        <v>2</v>
      </c>
      <c r="Y486" s="5">
        <v>13.13</v>
      </c>
    </row>
    <row r="487" spans="1:25" x14ac:dyDescent="0.25">
      <c r="A487" s="8">
        <v>46301</v>
      </c>
      <c r="B487" s="16">
        <f>YEAR(Tabela32[[#This Row],[Data]])</f>
        <v>2026</v>
      </c>
      <c r="C487" s="1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16">
        <f>YEAR(Tabela32[[#This Row],[Data]])</f>
        <v>2026</v>
      </c>
      <c r="C488" s="1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16">
        <f>YEAR(Tabela32[[#This Row],[Data]])</f>
        <v>2026</v>
      </c>
      <c r="C489" s="1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  <row r="490" spans="1:25" x14ac:dyDescent="0.25">
      <c r="A490" s="8">
        <v>46302</v>
      </c>
      <c r="B490" s="16">
        <f>YEAR(Tabela32[[#This Row],[Data]])</f>
        <v>2026</v>
      </c>
      <c r="C490" s="16">
        <f>MONTH(Tabela32[[#This Row],[Data]])</f>
        <v>10</v>
      </c>
      <c r="D490" s="4" t="s">
        <v>33</v>
      </c>
      <c r="E490" s="4">
        <v>1</v>
      </c>
      <c r="F490" s="4" t="str">
        <f>IFERROR(VLOOKUP(Tabela32[[#This Row],[Placa]],Planilha2!$A$1:$B$12,2,0),"")</f>
        <v>Paulo</v>
      </c>
      <c r="G490" s="10">
        <v>2365.94</v>
      </c>
      <c r="H490" s="10">
        <v>79712.88</v>
      </c>
      <c r="I490" s="4">
        <v>147</v>
      </c>
      <c r="J490" s="17">
        <f>IFERROR(Tabela32[[#This Row],[Valor Frete]]/Tabela32[[#This Row],[Valor Mercadoria]],"")</f>
        <v>2.9680774298958962E-2</v>
      </c>
      <c r="K490" s="11">
        <v>0.3125</v>
      </c>
      <c r="L490" s="15">
        <v>0.46319444444444446</v>
      </c>
      <c r="M490" s="15">
        <f>Tabela32[[#This Row],[Hr Chegada]]-Tabela32[[#This Row],[Hr Saida]]</f>
        <v>0.15069444444444446</v>
      </c>
      <c r="N490" s="4">
        <v>156744</v>
      </c>
      <c r="O490" s="4">
        <v>156775</v>
      </c>
      <c r="P490" s="4">
        <f>Tabela32[[#This Row],[Km Chegada]]-Tabela32[[#This Row],[Km Saída]]</f>
        <v>31</v>
      </c>
      <c r="Q490" s="4">
        <v>79</v>
      </c>
      <c r="R490" s="4">
        <v>4</v>
      </c>
      <c r="S490" s="4">
        <v>4</v>
      </c>
      <c r="T490" s="12">
        <f>Tabela32[[#This Row],[Entregas]]-Tabela32[[#This Row],[Realizadas]]</f>
        <v>0</v>
      </c>
      <c r="U490" s="18">
        <f>Tabela32[[#This Row],[Realizadas]]/Tabela32[[#This Row],[Entregas]]</f>
        <v>1</v>
      </c>
      <c r="V490" s="19" t="str">
        <f>IF(Tabela32[[#This Row],[% Entrega]]&gt;=96%,"Atendeu a Meta","Não Atendeu a Meta")</f>
        <v>Atendeu a Meta</v>
      </c>
      <c r="W490" s="4" t="s">
        <v>40</v>
      </c>
      <c r="X490" s="4">
        <v>0</v>
      </c>
      <c r="Y490" s="5">
        <v>0</v>
      </c>
    </row>
    <row r="491" spans="1:25" x14ac:dyDescent="0.25">
      <c r="A491" s="8">
        <v>46302</v>
      </c>
      <c r="B491" s="16">
        <f>YEAR(Tabela32[[#This Row],[Data]])</f>
        <v>2026</v>
      </c>
      <c r="C491" s="16">
        <f>MONTH(Tabela32[[#This Row],[Data]])</f>
        <v>10</v>
      </c>
      <c r="D491" s="4" t="s">
        <v>37</v>
      </c>
      <c r="E491" s="4">
        <v>1</v>
      </c>
      <c r="F491" s="4" t="str">
        <f>IFERROR(VLOOKUP(Tabela32[[#This Row],[Placa]],Planilha2!$A$1:$B$12,2,0),"")</f>
        <v/>
      </c>
      <c r="G491" s="10">
        <v>167.72</v>
      </c>
      <c r="H491" s="10">
        <v>7965.96</v>
      </c>
      <c r="I491" s="4">
        <v>3</v>
      </c>
      <c r="J491" s="17">
        <f>IFERROR(Tabela32[[#This Row],[Valor Frete]]/Tabela32[[#This Row],[Valor Mercadoria]],"")</f>
        <v>2.1054587268828865E-2</v>
      </c>
      <c r="K491" s="11">
        <v>0.33333333333333331</v>
      </c>
      <c r="L491" s="15">
        <v>0.35416666666666669</v>
      </c>
      <c r="M491" s="15">
        <f>Tabela32[[#This Row],[Hr Chegada]]-Tabela32[[#This Row],[Hr Saida]]</f>
        <v>2.083333333333337E-2</v>
      </c>
      <c r="N491" s="4">
        <v>13146</v>
      </c>
      <c r="O491" s="4">
        <v>13147</v>
      </c>
      <c r="P491" s="4">
        <f>Tabela32[[#This Row],[Km Chegada]]-Tabela32[[#This Row],[Km Saída]]</f>
        <v>1</v>
      </c>
      <c r="Q491" s="4">
        <v>5</v>
      </c>
      <c r="R491" s="4">
        <v>1</v>
      </c>
      <c r="S491" s="4">
        <v>1</v>
      </c>
      <c r="T491" s="12">
        <f>Tabela32[[#This Row],[Entregas]]-Tabela32[[#This Row],[Realizadas]]</f>
        <v>0</v>
      </c>
      <c r="U491" s="18">
        <f>Tabela32[[#This Row],[Realizadas]]/Tabela32[[#This Row],[Entregas]]</f>
        <v>1</v>
      </c>
      <c r="V491" s="19" t="str">
        <f>IF(Tabela32[[#This Row],[% Entrega]]&gt;=96%,"Atendeu a Meta","Não Atendeu a Meta")</f>
        <v>Atendeu a Meta</v>
      </c>
      <c r="W491" s="4" t="s">
        <v>43</v>
      </c>
      <c r="X491" s="4">
        <v>0</v>
      </c>
      <c r="Y491" s="5">
        <v>0</v>
      </c>
    </row>
    <row r="492" spans="1:25" x14ac:dyDescent="0.25">
      <c r="A492" s="8">
        <v>46302</v>
      </c>
      <c r="B492" s="16">
        <f>YEAR(Tabela32[[#This Row],[Data]])</f>
        <v>2026</v>
      </c>
      <c r="C492" s="16">
        <f>MONTH(Tabela32[[#This Row],[Data]])</f>
        <v>10</v>
      </c>
      <c r="D492" s="4" t="s">
        <v>27</v>
      </c>
      <c r="E492" s="4">
        <v>1</v>
      </c>
      <c r="F492" s="4" t="str">
        <f>IFERROR(VLOOKUP(Tabela32[[#This Row],[Placa]],Planilha2!$A$1:$B$12,2,0),"")</f>
        <v>Rosinaldo</v>
      </c>
      <c r="G492" s="10">
        <v>3470.09</v>
      </c>
      <c r="H492" s="10">
        <v>47314.8</v>
      </c>
      <c r="I492" s="4">
        <v>709</v>
      </c>
      <c r="J492" s="17">
        <f>IFERROR(Tabela32[[#This Row],[Valor Frete]]/Tabela32[[#This Row],[Valor Mercadoria]],"")</f>
        <v>7.3340476975491814E-2</v>
      </c>
      <c r="K492" s="11">
        <v>0.29166666666666669</v>
      </c>
      <c r="L492" s="15">
        <v>0.49305555555555558</v>
      </c>
      <c r="M492" s="15">
        <f>Tabela32[[#This Row],[Hr Chegada]]-Tabela32[[#This Row],[Hr Saida]]</f>
        <v>0.2013888888888889</v>
      </c>
      <c r="N492" s="4">
        <v>292243</v>
      </c>
      <c r="O492" s="4">
        <v>292286</v>
      </c>
      <c r="P492" s="4">
        <f>Tabela32[[#This Row],[Km Chegada]]-Tabela32[[#This Row],[Km Saída]]</f>
        <v>43</v>
      </c>
      <c r="Q492" s="4">
        <v>1</v>
      </c>
      <c r="R492" s="4">
        <v>1</v>
      </c>
      <c r="S492" s="4">
        <v>1</v>
      </c>
      <c r="T492" s="12">
        <f>Tabela32[[#This Row],[Entregas]]-Tabela32[[#This Row],[Realizadas]]</f>
        <v>0</v>
      </c>
      <c r="U492" s="18">
        <f>Tabela32[[#This Row],[Realizadas]]/Tabela32[[#This Row],[Entregas]]</f>
        <v>1</v>
      </c>
      <c r="V492" s="19" t="str">
        <f>IF(Tabela32[[#This Row],[% Entrega]]&gt;=96%,"Atendeu a Meta","Não Atendeu a Meta")</f>
        <v>Atendeu a Meta</v>
      </c>
      <c r="W492" s="4" t="s">
        <v>40</v>
      </c>
      <c r="X492" s="4">
        <v>0</v>
      </c>
      <c r="Y492" s="5">
        <v>0</v>
      </c>
    </row>
    <row r="493" spans="1:25" x14ac:dyDescent="0.25">
      <c r="A493" s="8">
        <v>46302</v>
      </c>
      <c r="B493" s="16">
        <f>YEAR(Tabela32[[#This Row],[Data]])</f>
        <v>2026</v>
      </c>
      <c r="C493" s="16">
        <f>MONTH(Tabela32[[#This Row],[Data]])</f>
        <v>10</v>
      </c>
      <c r="D493" s="4" t="s">
        <v>28</v>
      </c>
      <c r="E493" s="4">
        <v>11</v>
      </c>
      <c r="F493" s="4" t="str">
        <f>IFERROR(VLOOKUP(Tabela32[[#This Row],[Placa]],Planilha2!$A$1:$B$12,2,0),"")</f>
        <v>Edilson</v>
      </c>
      <c r="G493" s="10">
        <v>10067.5</v>
      </c>
      <c r="H493" s="10">
        <v>190558.92</v>
      </c>
      <c r="I493" s="4">
        <v>1778</v>
      </c>
      <c r="J493" s="17">
        <f>IFERROR(Tabela32[[#This Row],[Valor Frete]]/Tabela32[[#This Row],[Valor Mercadoria]],"")</f>
        <v>5.2831428725561624E-2</v>
      </c>
      <c r="K493" s="11">
        <v>0.27083333333333331</v>
      </c>
      <c r="L493" s="15">
        <v>0.7270833333333333</v>
      </c>
      <c r="M493" s="15">
        <f>Tabela32[[#This Row],[Hr Chegada]]-Tabela32[[#This Row],[Hr Saida]]</f>
        <v>0.45624999999999999</v>
      </c>
      <c r="N493" s="4">
        <v>106739</v>
      </c>
      <c r="O493" s="4">
        <v>106901</v>
      </c>
      <c r="P493" s="4">
        <f>Tabela32[[#This Row],[Km Chegada]]-Tabela32[[#This Row],[Km Saída]]</f>
        <v>162</v>
      </c>
      <c r="Q493" s="4">
        <v>365</v>
      </c>
      <c r="R493" s="4">
        <v>21</v>
      </c>
      <c r="S493" s="4">
        <v>21</v>
      </c>
      <c r="T493" s="12">
        <f>Tabela32[[#This Row],[Entregas]]-Tabela32[[#This Row],[Realizadas]]</f>
        <v>0</v>
      </c>
      <c r="U493" s="18">
        <f>Tabela32[[#This Row],[Realizadas]]/Tabela32[[#This Row],[Entregas]]</f>
        <v>1</v>
      </c>
      <c r="V493" s="19" t="str">
        <f>IF(Tabela32[[#This Row],[% Entrega]]&gt;=96%,"Atendeu a Meta","Não Atendeu a Meta")</f>
        <v>Atendeu a Meta</v>
      </c>
      <c r="W493" s="4" t="s">
        <v>41</v>
      </c>
      <c r="X493" s="4">
        <v>0</v>
      </c>
      <c r="Y493" s="5">
        <v>0</v>
      </c>
    </row>
    <row r="494" spans="1:25" x14ac:dyDescent="0.25">
      <c r="A494" s="8">
        <v>46302</v>
      </c>
      <c r="B494" s="16">
        <f>YEAR(Tabela32[[#This Row],[Data]])</f>
        <v>2026</v>
      </c>
      <c r="C494" s="16">
        <f>MONTH(Tabela32[[#This Row],[Data]])</f>
        <v>10</v>
      </c>
      <c r="D494" s="4" t="s">
        <v>22</v>
      </c>
      <c r="E494" s="4">
        <v>5</v>
      </c>
      <c r="F494" s="4" t="str">
        <f>IFERROR(VLOOKUP(Tabela32[[#This Row],[Placa]],Planilha2!$A$1:$B$12,2,0),"")</f>
        <v>Wesley</v>
      </c>
      <c r="G494" s="10">
        <v>6011.95</v>
      </c>
      <c r="H494" s="10">
        <v>83304.95</v>
      </c>
      <c r="I494" s="4">
        <v>1129</v>
      </c>
      <c r="J494" s="17">
        <f>IFERROR(Tabela32[[#This Row],[Valor Frete]]/Tabela32[[#This Row],[Valor Mercadoria]],"")</f>
        <v>7.2167980414129057E-2</v>
      </c>
      <c r="K494" s="11">
        <v>0.3125</v>
      </c>
      <c r="L494" s="15">
        <v>0.77430555555555558</v>
      </c>
      <c r="M494" s="15">
        <f>Tabela32[[#This Row],[Hr Chegada]]-Tabela32[[#This Row],[Hr Saida]]</f>
        <v>0.46180555555555558</v>
      </c>
      <c r="N494" s="4">
        <v>305983</v>
      </c>
      <c r="O494" s="4">
        <v>306071</v>
      </c>
      <c r="P494" s="4">
        <f>Tabela32[[#This Row],[Km Chegada]]-Tabela32[[#This Row],[Km Saída]]</f>
        <v>88</v>
      </c>
      <c r="Q494" s="4">
        <v>122</v>
      </c>
      <c r="R494" s="4">
        <v>24</v>
      </c>
      <c r="S494" s="4">
        <v>24</v>
      </c>
      <c r="T494" s="12">
        <f>Tabela32[[#This Row],[Entregas]]-Tabela32[[#This Row],[Realizadas]]</f>
        <v>0</v>
      </c>
      <c r="U494" s="18">
        <f>Tabela32[[#This Row],[Realizadas]]/Tabela32[[#This Row],[Entregas]]</f>
        <v>1</v>
      </c>
      <c r="V494" s="19" t="str">
        <f>IF(Tabela32[[#This Row],[% Entrega]]&gt;=96%,"Atendeu a Meta","Não Atendeu a Meta")</f>
        <v>Atendeu a Meta</v>
      </c>
      <c r="W494" s="4" t="s">
        <v>39</v>
      </c>
      <c r="X494" s="4">
        <v>0</v>
      </c>
      <c r="Y494" s="5">
        <v>0</v>
      </c>
    </row>
    <row r="495" spans="1:25" x14ac:dyDescent="0.25">
      <c r="A495" s="8">
        <v>46302</v>
      </c>
      <c r="B495" s="16">
        <f>YEAR(Tabela32[[#This Row],[Data]])</f>
        <v>2026</v>
      </c>
      <c r="C495" s="16">
        <f>MONTH(Tabela32[[#This Row],[Data]])</f>
        <v>10</v>
      </c>
      <c r="D495" s="4" t="s">
        <v>23</v>
      </c>
      <c r="E495" s="4">
        <v>3</v>
      </c>
      <c r="F495" s="4" t="str">
        <f>IFERROR(VLOOKUP(Tabela32[[#This Row],[Placa]],Planilha2!$A$1:$B$12,2,0),"")</f>
        <v>William</v>
      </c>
      <c r="G495" s="10">
        <v>10067.5</v>
      </c>
      <c r="H495" s="10">
        <v>190558.92</v>
      </c>
      <c r="I495" s="4">
        <v>1778</v>
      </c>
      <c r="J495" s="17">
        <f>IFERROR(Tabela32[[#This Row],[Valor Frete]]/Tabela32[[#This Row],[Valor Mercadoria]],"")</f>
        <v>5.2831428725561624E-2</v>
      </c>
      <c r="K495" s="11">
        <v>0.29166666666666669</v>
      </c>
      <c r="L495" s="15">
        <v>0.80763888888888891</v>
      </c>
      <c r="M495" s="15">
        <f>Tabela32[[#This Row],[Hr Chegada]]-Tabela32[[#This Row],[Hr Saida]]</f>
        <v>0.51597222222222228</v>
      </c>
      <c r="N495" s="4">
        <v>126743</v>
      </c>
      <c r="O495" s="4">
        <v>126810</v>
      </c>
      <c r="P495" s="4">
        <f>Tabela32[[#This Row],[Km Chegada]]-Tabela32[[#This Row],[Km Saída]]</f>
        <v>67</v>
      </c>
      <c r="Q495" s="4">
        <v>365</v>
      </c>
      <c r="R495" s="4">
        <v>21</v>
      </c>
      <c r="S495" s="4">
        <v>21</v>
      </c>
      <c r="T495" s="12">
        <f>Tabela32[[#This Row],[Entregas]]-Tabela32[[#This Row],[Realizadas]]</f>
        <v>0</v>
      </c>
      <c r="U495" s="18">
        <f>Tabela32[[#This Row],[Realizadas]]/Tabela32[[#This Row],[Entregas]]</f>
        <v>1</v>
      </c>
      <c r="V495" s="19" t="str">
        <f>IF(Tabela32[[#This Row],[% Entrega]]&gt;=96%,"Atendeu a Meta","Não Atendeu a Meta")</f>
        <v>Atendeu a Meta</v>
      </c>
      <c r="W495" s="4" t="s">
        <v>41</v>
      </c>
      <c r="X495" s="4">
        <v>0</v>
      </c>
      <c r="Y495" s="5">
        <v>0</v>
      </c>
    </row>
    <row r="496" spans="1:25" x14ac:dyDescent="0.25">
      <c r="A496" s="8">
        <v>46302</v>
      </c>
      <c r="B496" s="16">
        <f>YEAR(Tabela32[[#This Row],[Data]])</f>
        <v>2026</v>
      </c>
      <c r="C496" s="16">
        <f>MONTH(Tabela32[[#This Row],[Data]])</f>
        <v>10</v>
      </c>
      <c r="D496" s="4" t="s">
        <v>27</v>
      </c>
      <c r="E496" s="4">
        <v>1</v>
      </c>
      <c r="F496" s="4" t="str">
        <f>IFERROR(VLOOKUP(Tabela32[[#This Row],[Placa]],Planilha2!$A$1:$B$12,2,0),"")</f>
        <v>Rosinaldo</v>
      </c>
      <c r="G496" s="10">
        <v>729.95</v>
      </c>
      <c r="H496" s="10">
        <v>10884.6</v>
      </c>
      <c r="I496" s="4">
        <v>132</v>
      </c>
      <c r="J496" s="17">
        <f>IFERROR(Tabela32[[#This Row],[Valor Frete]]/Tabela32[[#This Row],[Valor Mercadoria]],"")</f>
        <v>6.7062638957793588E-2</v>
      </c>
      <c r="K496" s="11">
        <v>0.60416666666666663</v>
      </c>
      <c r="L496" s="15">
        <v>0.75</v>
      </c>
      <c r="M496" s="15">
        <f>Tabela32[[#This Row],[Hr Chegada]]-Tabela32[[#This Row],[Hr Saida]]</f>
        <v>0.14583333333333337</v>
      </c>
      <c r="N496" s="4">
        <v>292386</v>
      </c>
      <c r="O496" s="4">
        <v>292433</v>
      </c>
      <c r="P496" s="4">
        <f>Tabela32[[#This Row],[Km Chegada]]-Tabela32[[#This Row],[Km Saída]]</f>
        <v>47</v>
      </c>
      <c r="Q496" s="4">
        <v>29</v>
      </c>
      <c r="R496" s="4">
        <v>4</v>
      </c>
      <c r="S496" s="4">
        <v>4</v>
      </c>
      <c r="T496" s="12">
        <f>Tabela32[[#This Row],[Entregas]]-Tabela32[[#This Row],[Realizadas]]</f>
        <v>0</v>
      </c>
      <c r="U496" s="18">
        <f>Tabela32[[#This Row],[Realizadas]]/Tabela32[[#This Row],[Entregas]]</f>
        <v>1</v>
      </c>
      <c r="V496" s="19" t="str">
        <f>IF(Tabela32[[#This Row],[% Entrega]]&gt;=96%,"Atendeu a Meta","Não Atendeu a Meta")</f>
        <v>Atendeu a Meta</v>
      </c>
      <c r="W496" s="4" t="s">
        <v>43</v>
      </c>
      <c r="X496" s="4">
        <v>0</v>
      </c>
      <c r="Y496" s="5">
        <v>0</v>
      </c>
    </row>
    <row r="497" spans="1:25" x14ac:dyDescent="0.25">
      <c r="A497" s="8">
        <v>46302</v>
      </c>
      <c r="B497" s="16">
        <f>YEAR(Tabela32[[#This Row],[Data]])</f>
        <v>2026</v>
      </c>
      <c r="C497" s="16">
        <f>MONTH(Tabela32[[#This Row],[Data]])</f>
        <v>10</v>
      </c>
      <c r="D497" s="4" t="s">
        <v>29</v>
      </c>
      <c r="E497" s="4">
        <v>1</v>
      </c>
      <c r="F497" s="4" t="str">
        <f>IFERROR(VLOOKUP(Tabela32[[#This Row],[Placa]],Planilha2!$A$1:$B$12,2,0),"")</f>
        <v>Sandro</v>
      </c>
      <c r="G497" s="10">
        <v>10417.92</v>
      </c>
      <c r="H497" s="10">
        <v>311725.05</v>
      </c>
      <c r="I497" s="4">
        <v>2131</v>
      </c>
      <c r="J497" s="17">
        <f>IFERROR(Tabela32[[#This Row],[Valor Frete]]/Tabela32[[#This Row],[Valor Mercadoria]],"")</f>
        <v>3.3420220800349537E-2</v>
      </c>
      <c r="K497" s="11">
        <v>0.29166666666666669</v>
      </c>
      <c r="L497" s="15">
        <v>0.74375000000000002</v>
      </c>
      <c r="M497" s="15">
        <f>Tabela32[[#This Row],[Hr Chegada]]-Tabela32[[#This Row],[Hr Saida]]</f>
        <v>0.45208333333333334</v>
      </c>
      <c r="N497" s="4">
        <v>276772</v>
      </c>
      <c r="O497" s="4">
        <v>276802</v>
      </c>
      <c r="P497" s="4">
        <f>Tabela32[[#This Row],[Km Chegada]]-Tabela32[[#This Row],[Km Saída]]</f>
        <v>30</v>
      </c>
      <c r="Q497" s="4">
        <v>4</v>
      </c>
      <c r="R497" s="4">
        <v>2</v>
      </c>
      <c r="S497" s="4">
        <v>2</v>
      </c>
      <c r="T497" s="12">
        <f>Tabela32[[#This Row],[Entregas]]-Tabela32[[#This Row],[Realizadas]]</f>
        <v>0</v>
      </c>
      <c r="U497" s="18">
        <f>Tabela32[[#This Row],[Realizadas]]/Tabela32[[#This Row],[Entregas]]</f>
        <v>1</v>
      </c>
      <c r="V497" s="19" t="str">
        <f>IF(Tabela32[[#This Row],[% Entrega]]&gt;=96%,"Atendeu a Meta","Não Atendeu a Meta")</f>
        <v>Atendeu a Meta</v>
      </c>
      <c r="W497" s="4" t="s">
        <v>40</v>
      </c>
      <c r="X497" s="4">
        <v>0</v>
      </c>
      <c r="Y497" s="5">
        <v>0</v>
      </c>
    </row>
    <row r="498" spans="1:25" x14ac:dyDescent="0.25">
      <c r="A498" s="8">
        <v>46302</v>
      </c>
      <c r="B498" s="16">
        <f>YEAR(Tabela32[[#This Row],[Data]])</f>
        <v>2026</v>
      </c>
      <c r="C498" s="16">
        <f>MONTH(Tabela32[[#This Row],[Data]])</f>
        <v>10</v>
      </c>
      <c r="D498" s="4" t="s">
        <v>31</v>
      </c>
      <c r="E498" s="4">
        <v>2</v>
      </c>
      <c r="F498" s="4" t="str">
        <f>IFERROR(VLOOKUP(Tabela32[[#This Row],[Placa]],Planilha2!$A$1:$B$12,2,0),"")</f>
        <v>Jerson</v>
      </c>
      <c r="G498" s="10">
        <v>12598.62</v>
      </c>
      <c r="H498" s="10">
        <v>233879.14</v>
      </c>
      <c r="I498" s="4">
        <v>2926</v>
      </c>
      <c r="J498" s="17">
        <f>IFERROR(Tabela32[[#This Row],[Valor Frete]]/Tabela32[[#This Row],[Valor Mercadoria]],"")</f>
        <v>5.386807904287659E-2</v>
      </c>
      <c r="K498" s="11">
        <v>0.27430555555555558</v>
      </c>
      <c r="L498" s="15">
        <v>0.80208333333333337</v>
      </c>
      <c r="M498" s="15">
        <f>Tabela32[[#This Row],[Hr Chegada]]-Tabela32[[#This Row],[Hr Saida]]</f>
        <v>0.52777777777777779</v>
      </c>
      <c r="N498" s="4">
        <v>281896</v>
      </c>
      <c r="O498" s="4">
        <v>281963</v>
      </c>
      <c r="P498" s="4">
        <f>Tabela32[[#This Row],[Km Chegada]]-Tabela32[[#This Row],[Km Saída]]</f>
        <v>67</v>
      </c>
      <c r="Q498" s="4">
        <v>312</v>
      </c>
      <c r="R498" s="4">
        <v>42</v>
      </c>
      <c r="S498" s="4">
        <v>42</v>
      </c>
      <c r="T498" s="12">
        <f>Tabela32[[#This Row],[Entregas]]-Tabela32[[#This Row],[Realizadas]]</f>
        <v>0</v>
      </c>
      <c r="U498" s="18">
        <f>Tabela32[[#This Row],[Realizadas]]/Tabela32[[#This Row],[Entregas]]</f>
        <v>1</v>
      </c>
      <c r="V498" s="19" t="str">
        <f>IF(Tabela32[[#This Row],[% Entrega]]&gt;=96%,"Atendeu a Meta","Não Atendeu a Meta")</f>
        <v>Atendeu a Meta</v>
      </c>
      <c r="W498" s="4" t="s">
        <v>39</v>
      </c>
      <c r="X498" s="4">
        <v>0</v>
      </c>
      <c r="Y498" s="5">
        <v>0</v>
      </c>
    </row>
    <row r="499" spans="1:25" x14ac:dyDescent="0.25">
      <c r="A499" s="8">
        <v>46302</v>
      </c>
      <c r="B499" s="16">
        <f>YEAR(Tabela32[[#This Row],[Data]])</f>
        <v>2026</v>
      </c>
      <c r="C499" s="16">
        <f>MONTH(Tabela32[[#This Row],[Data]])</f>
        <v>10</v>
      </c>
      <c r="D499" s="4" t="s">
        <v>53</v>
      </c>
      <c r="E499" s="4">
        <v>1</v>
      </c>
      <c r="F499" s="4" t="str">
        <f>IFERROR(VLOOKUP(Tabela32[[#This Row],[Placa]],Planilha2!$A$1:$B$12,2,0),"")</f>
        <v>Arnaldo</v>
      </c>
      <c r="G499" s="10">
        <v>8325.74</v>
      </c>
      <c r="H499" s="10">
        <v>207414.54</v>
      </c>
      <c r="I499" s="4">
        <v>3398</v>
      </c>
      <c r="J499" s="17">
        <f>IFERROR(Tabela32[[#This Row],[Valor Frete]]/Tabela32[[#This Row],[Valor Mercadoria]],"")</f>
        <v>4.0140580308400751E-2</v>
      </c>
      <c r="K499" s="11">
        <v>0.5625</v>
      </c>
      <c r="L499" s="15">
        <v>0.84236111111111112</v>
      </c>
      <c r="M499" s="15">
        <f>Tabela32[[#This Row],[Hr Chegada]]-Tabela32[[#This Row],[Hr Saida]]</f>
        <v>0.27986111111111112</v>
      </c>
      <c r="N499" s="4">
        <v>14610</v>
      </c>
      <c r="O499" s="4">
        <v>14721</v>
      </c>
      <c r="P499" s="4">
        <f>Tabela32[[#This Row],[Km Chegada]]-Tabela32[[#This Row],[Km Saída]]</f>
        <v>111</v>
      </c>
      <c r="Q499" s="4">
        <v>730</v>
      </c>
      <c r="R499" s="4">
        <v>17</v>
      </c>
      <c r="S499" s="4">
        <v>17</v>
      </c>
      <c r="T499" s="12">
        <f>Tabela32[[#This Row],[Entregas]]-Tabela32[[#This Row],[Realizadas]]</f>
        <v>0</v>
      </c>
      <c r="U499" s="18">
        <f>Tabela32[[#This Row],[Realizadas]]/Tabela32[[#This Row],[Entregas]]</f>
        <v>1</v>
      </c>
      <c r="V499" s="19" t="str">
        <f>IF(Tabela32[[#This Row],[% Entrega]]&gt;=96%,"Atendeu a Meta","Não Atendeu a Meta")</f>
        <v>Atendeu a Meta</v>
      </c>
      <c r="W499" s="4" t="s">
        <v>39</v>
      </c>
      <c r="X499" s="4">
        <v>0</v>
      </c>
      <c r="Y499" s="5">
        <v>0</v>
      </c>
    </row>
    <row r="500" spans="1:25" x14ac:dyDescent="0.25">
      <c r="A500" s="8">
        <v>46302</v>
      </c>
      <c r="B500" s="16">
        <f>YEAR(Tabela32[[#This Row],[Data]])</f>
        <v>2026</v>
      </c>
      <c r="C500" s="16">
        <f>MONTH(Tabela32[[#This Row],[Data]])</f>
        <v>10</v>
      </c>
      <c r="D500" s="4" t="s">
        <v>35</v>
      </c>
      <c r="E500" s="4">
        <v>1</v>
      </c>
      <c r="F500" s="4" t="str">
        <f>IFERROR(VLOOKUP(Tabela32[[#This Row],[Placa]],Planilha2!$A$1:$B$12,2,0),"")</f>
        <v>Osvaldo</v>
      </c>
      <c r="G500" s="10">
        <v>2147.7199999999998</v>
      </c>
      <c r="H500" s="10">
        <v>35039.72</v>
      </c>
      <c r="I500" s="4">
        <v>369</v>
      </c>
      <c r="J500" s="17">
        <f>IFERROR(Tabela32[[#This Row],[Valor Frete]]/Tabela32[[#This Row],[Valor Mercadoria]],"")</f>
        <v>6.129386878662272E-2</v>
      </c>
      <c r="K500" s="11">
        <v>0.3125</v>
      </c>
      <c r="L500" s="15">
        <v>0.71250000000000002</v>
      </c>
      <c r="M500" s="15">
        <f>Tabela32[[#This Row],[Hr Chegada]]-Tabela32[[#This Row],[Hr Saida]]</f>
        <v>0.4</v>
      </c>
      <c r="N500" s="4">
        <v>144455</v>
      </c>
      <c r="O500" s="4">
        <v>144536</v>
      </c>
      <c r="P500" s="4">
        <f>Tabela32[[#This Row],[Km Chegada]]-Tabela32[[#This Row],[Km Saída]]</f>
        <v>81</v>
      </c>
      <c r="Q500" s="4">
        <v>92</v>
      </c>
      <c r="R500" s="4">
        <v>9</v>
      </c>
      <c r="S500" s="4">
        <v>9</v>
      </c>
      <c r="T500" s="12">
        <f>Tabela32[[#This Row],[Entregas]]-Tabela32[[#This Row],[Realizadas]]</f>
        <v>0</v>
      </c>
      <c r="U500" s="18">
        <f>Tabela32[[#This Row],[Realizadas]]/Tabela32[[#This Row],[Entregas]]</f>
        <v>1</v>
      </c>
      <c r="V500" s="19" t="str">
        <f>IF(Tabela32[[#This Row],[% Entrega]]&gt;=96%,"Atendeu a Meta","Não Atendeu a Meta")</f>
        <v>Atendeu a Meta</v>
      </c>
      <c r="W500" s="4" t="s">
        <v>43</v>
      </c>
      <c r="X500" s="4">
        <v>0</v>
      </c>
      <c r="Y500" s="5">
        <v>0</v>
      </c>
    </row>
    <row r="501" spans="1:25" x14ac:dyDescent="0.25">
      <c r="A501" s="8">
        <v>46302</v>
      </c>
      <c r="B501" s="16">
        <f>YEAR(Tabela32[[#This Row],[Data]])</f>
        <v>2026</v>
      </c>
      <c r="C501" s="16">
        <f>MONTH(Tabela32[[#This Row],[Data]])</f>
        <v>10</v>
      </c>
      <c r="D501" s="4" t="s">
        <v>33</v>
      </c>
      <c r="E501" s="4">
        <v>3</v>
      </c>
      <c r="F501" s="4" t="str">
        <f>IFERROR(VLOOKUP(Tabela32[[#This Row],[Placa]],Planilha2!$A$1:$B$12,2,0),"")</f>
        <v>Paulo</v>
      </c>
      <c r="G501" s="10">
        <v>2201.44</v>
      </c>
      <c r="H501" s="10">
        <v>44417.4</v>
      </c>
      <c r="I501" s="4">
        <v>373</v>
      </c>
      <c r="J501" s="17">
        <f>IFERROR(Tabela32[[#This Row],[Valor Frete]]/Tabela32[[#This Row],[Valor Mercadoria]],"")</f>
        <v>4.9562558817040171E-2</v>
      </c>
      <c r="K501" s="11">
        <v>0.47916666666666669</v>
      </c>
      <c r="L501" s="15">
        <v>0.71319444444444446</v>
      </c>
      <c r="M501" s="15">
        <f>Tabela32[[#This Row],[Hr Chegada]]-Tabela32[[#This Row],[Hr Saida]]</f>
        <v>0.23402777777777778</v>
      </c>
      <c r="N501" s="4">
        <v>156775</v>
      </c>
      <c r="O501" s="4">
        <v>156830</v>
      </c>
      <c r="P501" s="4">
        <f>Tabela32[[#This Row],[Km Chegada]]-Tabela32[[#This Row],[Km Saída]]</f>
        <v>55</v>
      </c>
      <c r="Q501" s="4">
        <v>54</v>
      </c>
      <c r="R501" s="4">
        <v>14</v>
      </c>
      <c r="S501" s="4">
        <v>14</v>
      </c>
      <c r="T501" s="12">
        <f>Tabela32[[#This Row],[Entregas]]-Tabela32[[#This Row],[Realizadas]]</f>
        <v>0</v>
      </c>
      <c r="U501" s="18">
        <f>Tabela32[[#This Row],[Realizadas]]/Tabela32[[#This Row],[Entregas]]</f>
        <v>1</v>
      </c>
      <c r="V501" s="19" t="str">
        <f>IF(Tabela32[[#This Row],[% Entrega]]&gt;=96%,"Atendeu a Meta","Não Atendeu a Meta")</f>
        <v>Atendeu a Meta</v>
      </c>
      <c r="W501" s="4" t="s">
        <v>39</v>
      </c>
      <c r="X501" s="4">
        <v>0</v>
      </c>
      <c r="Y501" s="5">
        <v>0</v>
      </c>
    </row>
    <row r="502" spans="1:25" x14ac:dyDescent="0.25">
      <c r="A502" s="8">
        <v>46303</v>
      </c>
      <c r="B502" s="16">
        <f>YEAR(Tabela32[[#This Row],[Data]])</f>
        <v>2026</v>
      </c>
      <c r="C502" s="16">
        <f>MONTH(Tabela32[[#This Row],[Data]])</f>
        <v>10</v>
      </c>
      <c r="D502" s="4" t="s">
        <v>36</v>
      </c>
      <c r="E502" s="4">
        <v>5</v>
      </c>
      <c r="F502" s="4" t="str">
        <f>IFERROR(VLOOKUP(Tabela32[[#This Row],[Placa]],Planilha2!$A$1:$B$12,2,0),"")</f>
        <v>Heremilton</v>
      </c>
      <c r="G502" s="10">
        <v>54917.27</v>
      </c>
      <c r="H502" s="10">
        <v>795207.48</v>
      </c>
      <c r="I502" s="4">
        <v>9760</v>
      </c>
      <c r="J502" s="17">
        <f>IFERROR(Tabela32[[#This Row],[Valor Frete]]/Tabela32[[#This Row],[Valor Mercadoria]],"")</f>
        <v>6.9060303607808113E-2</v>
      </c>
      <c r="K502" s="11">
        <v>0.27986111111111112</v>
      </c>
      <c r="L502" s="15">
        <v>0.83333333333333337</v>
      </c>
      <c r="M502" s="15">
        <f>Tabela32[[#This Row],[Hr Chegada]]-Tabela32[[#This Row],[Hr Saida]]</f>
        <v>0.55347222222222225</v>
      </c>
      <c r="N502" s="4">
        <v>368062</v>
      </c>
      <c r="O502" s="4">
        <v>368100</v>
      </c>
      <c r="P502" s="4">
        <f>Tabela32[[#This Row],[Km Chegada]]-Tabela32[[#This Row],[Km Saída]]</f>
        <v>38</v>
      </c>
      <c r="Q502" s="4">
        <v>1948</v>
      </c>
      <c r="R502" s="4">
        <v>34</v>
      </c>
      <c r="S502" s="4">
        <v>34</v>
      </c>
      <c r="T502" s="12">
        <f>Tabela32[[#This Row],[Entregas]]-Tabela32[[#This Row],[Realizadas]]</f>
        <v>0</v>
      </c>
      <c r="U502" s="18">
        <f>Tabela32[[#This Row],[Realizadas]]/Tabela32[[#This Row],[Entregas]]</f>
        <v>1</v>
      </c>
      <c r="V502" s="19" t="str">
        <f>IF(Tabela32[[#This Row],[% Entrega]]&gt;=96%,"Atendeu a Meta","Não Atendeu a Meta")</f>
        <v>Atendeu a Meta</v>
      </c>
      <c r="W502" s="4" t="s">
        <v>39</v>
      </c>
      <c r="X502" s="4">
        <v>0</v>
      </c>
      <c r="Y502" s="5">
        <v>0</v>
      </c>
    </row>
    <row r="503" spans="1:25" x14ac:dyDescent="0.25">
      <c r="A503" s="8">
        <v>46303</v>
      </c>
      <c r="B503" s="16">
        <f>YEAR(Tabela32[[#This Row],[Data]])</f>
        <v>2026</v>
      </c>
      <c r="C503" s="16">
        <f>MONTH(Tabela32[[#This Row],[Data]])</f>
        <v>10</v>
      </c>
      <c r="D503" s="4" t="s">
        <v>28</v>
      </c>
      <c r="E503" s="4">
        <v>11</v>
      </c>
      <c r="F503" s="4" t="str">
        <f>IFERROR(VLOOKUP(Tabela32[[#This Row],[Placa]],Planilha2!$A$1:$B$12,2,0),"")</f>
        <v>Edilson</v>
      </c>
      <c r="G503" s="10">
        <v>12215.24</v>
      </c>
      <c r="H503" s="10">
        <v>320378.76</v>
      </c>
      <c r="I503" s="4">
        <v>5773</v>
      </c>
      <c r="J503" s="17">
        <f>IFERROR(Tabela32[[#This Row],[Valor Frete]]/Tabela32[[#This Row],[Valor Mercadoria]],"")</f>
        <v>3.8127496342142034E-2</v>
      </c>
      <c r="K503" s="11">
        <v>0.27083333333333331</v>
      </c>
      <c r="L503" s="15">
        <v>0.70833333333333337</v>
      </c>
      <c r="M503" s="15">
        <f>Tabela32[[#This Row],[Hr Chegada]]-Tabela32[[#This Row],[Hr Saida]]</f>
        <v>0.43750000000000006</v>
      </c>
      <c r="N503" s="4">
        <v>106902</v>
      </c>
      <c r="O503" s="4">
        <v>107024</v>
      </c>
      <c r="P503" s="4">
        <f>Tabela32[[#This Row],[Km Chegada]]-Tabela32[[#This Row],[Km Saída]]</f>
        <v>122</v>
      </c>
      <c r="Q503" s="4">
        <v>12</v>
      </c>
      <c r="R503" s="4">
        <v>2</v>
      </c>
      <c r="S503" s="4">
        <v>2</v>
      </c>
      <c r="T503" s="12">
        <f>Tabela32[[#This Row],[Entregas]]-Tabela32[[#This Row],[Realizadas]]</f>
        <v>0</v>
      </c>
      <c r="U503" s="18">
        <f>Tabela32[[#This Row],[Realizadas]]/Tabela32[[#This Row],[Entregas]]</f>
        <v>1</v>
      </c>
      <c r="V503" s="19" t="str">
        <f>IF(Tabela32[[#This Row],[% Entrega]]&gt;=96%,"Atendeu a Meta","Não Atendeu a Meta")</f>
        <v>Atendeu a Meta</v>
      </c>
      <c r="W503" s="4" t="s">
        <v>41</v>
      </c>
      <c r="X503" s="4">
        <v>0</v>
      </c>
      <c r="Y503" s="5">
        <v>0</v>
      </c>
    </row>
    <row r="504" spans="1:25" x14ac:dyDescent="0.25">
      <c r="A504" s="8">
        <v>46303</v>
      </c>
      <c r="B504" s="16">
        <f>YEAR(Tabela32[[#This Row],[Data]])</f>
        <v>2026</v>
      </c>
      <c r="C504" s="16">
        <f>MONTH(Tabela32[[#This Row],[Data]])</f>
        <v>10</v>
      </c>
      <c r="D504" s="4" t="s">
        <v>53</v>
      </c>
      <c r="E504" s="4">
        <v>1</v>
      </c>
      <c r="F504" s="4" t="str">
        <f>IFERROR(VLOOKUP(Tabela32[[#This Row],[Placa]],Planilha2!$A$1:$B$12,2,0),"")</f>
        <v>Arnaldo</v>
      </c>
      <c r="G504" s="10">
        <v>14427.01</v>
      </c>
      <c r="H504" s="10">
        <v>287130.32</v>
      </c>
      <c r="I504" s="4">
        <v>4484</v>
      </c>
      <c r="J504" s="17">
        <f>IFERROR(Tabela32[[#This Row],[Valor Frete]]/Tabela32[[#This Row],[Valor Mercadoria]],"")</f>
        <v>5.0245512212015786E-2</v>
      </c>
      <c r="K504" s="11">
        <v>0.31944444444444442</v>
      </c>
      <c r="L504" s="15">
        <v>0.4861111111111111</v>
      </c>
      <c r="M504" s="15">
        <f>Tabela32[[#This Row],[Hr Chegada]]-Tabela32[[#This Row],[Hr Saida]]</f>
        <v>0.16666666666666669</v>
      </c>
      <c r="N504" s="4">
        <v>14722</v>
      </c>
      <c r="O504" s="4">
        <v>14745</v>
      </c>
      <c r="P504" s="4">
        <f>Tabela32[[#This Row],[Km Chegada]]-Tabela32[[#This Row],[Km Saída]]</f>
        <v>23</v>
      </c>
      <c r="Q504" s="4">
        <v>15</v>
      </c>
      <c r="R504" s="4">
        <v>2</v>
      </c>
      <c r="S504" s="4">
        <v>2</v>
      </c>
      <c r="T504" s="12">
        <f>Tabela32[[#This Row],[Entregas]]-Tabela32[[#This Row],[Realizadas]]</f>
        <v>0</v>
      </c>
      <c r="U504" s="18">
        <f>Tabela32[[#This Row],[Realizadas]]/Tabela32[[#This Row],[Entregas]]</f>
        <v>1</v>
      </c>
      <c r="V504" s="19" t="str">
        <f>IF(Tabela32[[#This Row],[% Entrega]]&gt;=96%,"Atendeu a Meta","Não Atendeu a Meta")</f>
        <v>Atendeu a Meta</v>
      </c>
      <c r="W504" s="4" t="s">
        <v>43</v>
      </c>
      <c r="X504" s="4">
        <v>0</v>
      </c>
      <c r="Y504" s="5">
        <v>38.380000000000003</v>
      </c>
    </row>
    <row r="505" spans="1:25" x14ac:dyDescent="0.25">
      <c r="A505" s="8">
        <v>46303</v>
      </c>
      <c r="B505" s="16">
        <f>YEAR(Tabela32[[#This Row],[Data]])</f>
        <v>2026</v>
      </c>
      <c r="C505" s="16">
        <f>MONTH(Tabela32[[#This Row],[Data]])</f>
        <v>10</v>
      </c>
      <c r="D505" s="4" t="s">
        <v>22</v>
      </c>
      <c r="E505" s="4">
        <v>5</v>
      </c>
      <c r="F505" s="4" t="str">
        <f>IFERROR(VLOOKUP(Tabela32[[#This Row],[Placa]],Planilha2!$A$1:$B$12,2,0),"")</f>
        <v>Wesley</v>
      </c>
      <c r="G505" s="10">
        <v>6355.51</v>
      </c>
      <c r="H505" s="10">
        <v>68977.039999999994</v>
      </c>
      <c r="I505" s="4">
        <v>754</v>
      </c>
      <c r="J505" s="17">
        <f>IFERROR(Tabela32[[#This Row],[Valor Frete]]/Tabela32[[#This Row],[Valor Mercadoria]],"")</f>
        <v>9.2139500332284491E-2</v>
      </c>
      <c r="K505" s="11">
        <v>0.3125</v>
      </c>
      <c r="L505" s="15">
        <v>0.77013888888888893</v>
      </c>
      <c r="M505" s="15">
        <f>Tabela32[[#This Row],[Hr Chegada]]-Tabela32[[#This Row],[Hr Saida]]</f>
        <v>0.45763888888888893</v>
      </c>
      <c r="N505" s="4">
        <v>306072</v>
      </c>
      <c r="O505" s="4">
        <v>306160</v>
      </c>
      <c r="P505" s="4">
        <f>Tabela32[[#This Row],[Km Chegada]]-Tabela32[[#This Row],[Km Saída]]</f>
        <v>88</v>
      </c>
      <c r="Q505" s="4">
        <v>165</v>
      </c>
      <c r="R505" s="4">
        <v>22</v>
      </c>
      <c r="S505" s="4">
        <v>22</v>
      </c>
      <c r="T505" s="12">
        <f>Tabela32[[#This Row],[Entregas]]-Tabela32[[#This Row],[Realizadas]]</f>
        <v>0</v>
      </c>
      <c r="U505" s="18">
        <f>Tabela32[[#This Row],[Realizadas]]/Tabela32[[#This Row],[Entregas]]</f>
        <v>1</v>
      </c>
      <c r="V505" s="19" t="str">
        <f>IF(Tabela32[[#This Row],[% Entrega]]&gt;=96%,"Atendeu a Meta","Não Atendeu a Meta")</f>
        <v>Atendeu a Meta</v>
      </c>
      <c r="W505" s="4" t="s">
        <v>39</v>
      </c>
      <c r="X505" s="4">
        <v>0</v>
      </c>
      <c r="Y505" s="5">
        <v>0</v>
      </c>
    </row>
    <row r="506" spans="1:25" x14ac:dyDescent="0.25">
      <c r="A506" s="8">
        <v>46303</v>
      </c>
      <c r="B506" s="16">
        <f>YEAR(Tabela32[[#This Row],[Data]])</f>
        <v>2026</v>
      </c>
      <c r="C506" s="16">
        <f>MONTH(Tabela32[[#This Row],[Data]])</f>
        <v>10</v>
      </c>
      <c r="D506" s="4" t="s">
        <v>29</v>
      </c>
      <c r="E506" s="4">
        <v>3</v>
      </c>
      <c r="F506" s="4" t="str">
        <f>IFERROR(VLOOKUP(Tabela32[[#This Row],[Placa]],Planilha2!$A$1:$B$12,2,0),"")</f>
        <v>Sandro</v>
      </c>
      <c r="G506" s="10">
        <v>4102.62</v>
      </c>
      <c r="H506" s="10">
        <v>113588.33</v>
      </c>
      <c r="I506" s="4">
        <v>609</v>
      </c>
      <c r="J506" s="17">
        <f>IFERROR(Tabela32[[#This Row],[Valor Frete]]/Tabela32[[#This Row],[Valor Mercadoria]],"")</f>
        <v>3.6118323070688685E-2</v>
      </c>
      <c r="K506" s="11">
        <v>0.29166666666666669</v>
      </c>
      <c r="L506" s="15">
        <v>0.72222222222222221</v>
      </c>
      <c r="M506" s="15">
        <f>Tabela32[[#This Row],[Hr Chegada]]-Tabela32[[#This Row],[Hr Saida]]</f>
        <v>0.43055555555555552</v>
      </c>
      <c r="N506" s="4">
        <v>276802</v>
      </c>
      <c r="O506" s="4">
        <v>276851</v>
      </c>
      <c r="P506" s="4">
        <f>Tabela32[[#This Row],[Km Chegada]]-Tabela32[[#This Row],[Km Saída]]</f>
        <v>49</v>
      </c>
      <c r="Q506" s="4">
        <v>136</v>
      </c>
      <c r="R506" s="4">
        <v>14</v>
      </c>
      <c r="S506" s="4">
        <v>14</v>
      </c>
      <c r="T506" s="12">
        <f>Tabela32[[#This Row],[Entregas]]-Tabela32[[#This Row],[Realizadas]]</f>
        <v>0</v>
      </c>
      <c r="U506" s="18">
        <f>Tabela32[[#This Row],[Realizadas]]/Tabela32[[#This Row],[Entregas]]</f>
        <v>1</v>
      </c>
      <c r="V506" s="19" t="str">
        <f>IF(Tabela32[[#This Row],[% Entrega]]&gt;=96%,"Atendeu a Meta","Não Atendeu a Meta")</f>
        <v>Atendeu a Meta</v>
      </c>
      <c r="W506" s="4" t="s">
        <v>39</v>
      </c>
      <c r="X506" s="4">
        <v>0</v>
      </c>
      <c r="Y506" s="5">
        <v>0</v>
      </c>
    </row>
    <row r="507" spans="1:25" x14ac:dyDescent="0.25">
      <c r="A507" s="8">
        <v>46303</v>
      </c>
      <c r="B507" s="16">
        <f>YEAR(Tabela32[[#This Row],[Data]])</f>
        <v>2026</v>
      </c>
      <c r="C507" s="16">
        <f>MONTH(Tabela32[[#This Row],[Data]])</f>
        <v>10</v>
      </c>
      <c r="D507" s="4" t="s">
        <v>27</v>
      </c>
      <c r="E507" s="4">
        <v>1</v>
      </c>
      <c r="F507" s="4" t="str">
        <f>IFERROR(VLOOKUP(Tabela32[[#This Row],[Placa]],Planilha2!$A$1:$B$12,2,0),"")</f>
        <v>Rosinaldo</v>
      </c>
      <c r="G507" s="10">
        <v>6839.32</v>
      </c>
      <c r="H507" s="10">
        <v>90468.19</v>
      </c>
      <c r="I507" s="4">
        <v>1530</v>
      </c>
      <c r="J507" s="17">
        <f>IFERROR(Tabela32[[#This Row],[Valor Frete]]/Tabela32[[#This Row],[Valor Mercadoria]],"")</f>
        <v>7.5599169166532448E-2</v>
      </c>
      <c r="K507" s="11">
        <v>0.3125</v>
      </c>
      <c r="L507" s="15">
        <v>0.69513888888888886</v>
      </c>
      <c r="M507" s="15">
        <f>Tabela32[[#This Row],[Hr Chegada]]-Tabela32[[#This Row],[Hr Saida]]</f>
        <v>0.38263888888888886</v>
      </c>
      <c r="N507" s="4">
        <v>292433</v>
      </c>
      <c r="O507" s="4">
        <v>292474</v>
      </c>
      <c r="P507" s="4">
        <f>Tabela32[[#This Row],[Km Chegada]]-Tabela32[[#This Row],[Km Saída]]</f>
        <v>41</v>
      </c>
      <c r="Q507" s="4">
        <v>125</v>
      </c>
      <c r="R507" s="4">
        <v>18</v>
      </c>
      <c r="S507" s="4">
        <v>18</v>
      </c>
      <c r="T507" s="12">
        <f>Tabela32[[#This Row],[Entregas]]-Tabela32[[#This Row],[Realizadas]]</f>
        <v>0</v>
      </c>
      <c r="U507" s="18">
        <f>Tabela32[[#This Row],[Realizadas]]/Tabela32[[#This Row],[Entregas]]</f>
        <v>1</v>
      </c>
      <c r="V507" s="19" t="str">
        <f>IF(Tabela32[[#This Row],[% Entrega]]&gt;=96%,"Atendeu a Meta","Não Atendeu a Meta")</f>
        <v>Atendeu a Meta</v>
      </c>
      <c r="W507" s="4" t="s">
        <v>43</v>
      </c>
      <c r="X507" s="4">
        <v>0</v>
      </c>
      <c r="Y507" s="5">
        <v>0</v>
      </c>
    </row>
    <row r="508" spans="1:25" x14ac:dyDescent="0.25">
      <c r="A508" s="8">
        <v>46303</v>
      </c>
      <c r="B508" s="16">
        <f>YEAR(Tabela32[[#This Row],[Data]])</f>
        <v>2026</v>
      </c>
      <c r="C508" s="16">
        <f>MONTH(Tabela32[[#This Row],[Data]])</f>
        <v>10</v>
      </c>
      <c r="D508" s="4" t="s">
        <v>35</v>
      </c>
      <c r="E508" s="4">
        <v>11</v>
      </c>
      <c r="F508" s="4" t="str">
        <f>IFERROR(VLOOKUP(Tabela32[[#This Row],[Placa]],Planilha2!$A$1:$B$12,2,0),"")</f>
        <v>Osvaldo</v>
      </c>
      <c r="G508" s="10">
        <v>12692.21</v>
      </c>
      <c r="H508" s="10">
        <v>202839.55</v>
      </c>
      <c r="I508" s="4">
        <v>1938</v>
      </c>
      <c r="J508" s="17">
        <f>IFERROR(Tabela32[[#This Row],[Valor Frete]]/Tabela32[[#This Row],[Valor Mercadoria]],"")</f>
        <v>6.2572659030253219E-2</v>
      </c>
      <c r="K508" s="11">
        <v>0.27777777777777779</v>
      </c>
      <c r="L508" s="15">
        <v>0.74444444444444446</v>
      </c>
      <c r="M508" s="15">
        <f>Tabela32[[#This Row],[Hr Chegada]]-Tabela32[[#This Row],[Hr Saida]]</f>
        <v>0.46666666666666667</v>
      </c>
      <c r="N508" s="4">
        <v>144536</v>
      </c>
      <c r="O508" s="4">
        <v>144677</v>
      </c>
      <c r="P508" s="4">
        <f>Tabela32[[#This Row],[Km Chegada]]-Tabela32[[#This Row],[Km Saída]]</f>
        <v>141</v>
      </c>
      <c r="Q508" s="4">
        <v>325</v>
      </c>
      <c r="R508" s="4">
        <v>34</v>
      </c>
      <c r="S508" s="4">
        <v>34</v>
      </c>
      <c r="T508" s="12">
        <f>Tabela32[[#This Row],[Entregas]]-Tabela32[[#This Row],[Realizadas]]</f>
        <v>0</v>
      </c>
      <c r="U508" s="18">
        <f>Tabela32[[#This Row],[Realizadas]]/Tabela32[[#This Row],[Entregas]]</f>
        <v>1</v>
      </c>
      <c r="V508" s="19" t="str">
        <f>IF(Tabela32[[#This Row],[% Entrega]]&gt;=96%,"Atendeu a Meta","Não Atendeu a Meta")</f>
        <v>Atendeu a Meta</v>
      </c>
      <c r="W508" s="4" t="s">
        <v>41</v>
      </c>
      <c r="X508" s="4">
        <v>0</v>
      </c>
      <c r="Y508" s="5">
        <v>38.380000000000003</v>
      </c>
    </row>
    <row r="509" spans="1:25" x14ac:dyDescent="0.25">
      <c r="A509" s="8">
        <v>46303</v>
      </c>
      <c r="B509" s="16">
        <f>YEAR(Tabela32[[#This Row],[Data]])</f>
        <v>2026</v>
      </c>
      <c r="C509" s="16">
        <f>MONTH(Tabela32[[#This Row],[Data]])</f>
        <v>10</v>
      </c>
      <c r="D509" s="4" t="s">
        <v>23</v>
      </c>
      <c r="E509" s="4">
        <v>3</v>
      </c>
      <c r="F509" s="4" t="str">
        <f>IFERROR(VLOOKUP(Tabela32[[#This Row],[Placa]],Planilha2!$A$1:$B$12,2,0),"")</f>
        <v>William</v>
      </c>
      <c r="G509" s="10">
        <v>5759.81</v>
      </c>
      <c r="H509" s="10">
        <v>111313.76</v>
      </c>
      <c r="I509" s="4">
        <v>795</v>
      </c>
      <c r="J509" s="17">
        <f>IFERROR(Tabela32[[#This Row],[Valor Frete]]/Tabela32[[#This Row],[Valor Mercadoria]],"")</f>
        <v>5.174391737373709E-2</v>
      </c>
      <c r="K509" s="11">
        <v>0.3125</v>
      </c>
      <c r="L509" s="15">
        <v>0.70833333333333337</v>
      </c>
      <c r="M509" s="15">
        <f>Tabela32[[#This Row],[Hr Chegada]]-Tabela32[[#This Row],[Hr Saida]]</f>
        <v>0.39583333333333337</v>
      </c>
      <c r="N509" s="4">
        <v>126810</v>
      </c>
      <c r="O509" s="4">
        <v>126860</v>
      </c>
      <c r="P509" s="4">
        <f>Tabela32[[#This Row],[Km Chegada]]-Tabela32[[#This Row],[Km Saída]]</f>
        <v>50</v>
      </c>
      <c r="Q509" s="4">
        <v>104</v>
      </c>
      <c r="R509" s="4">
        <v>17</v>
      </c>
      <c r="S509" s="4">
        <v>17</v>
      </c>
      <c r="T509" s="12">
        <f>Tabela32[[#This Row],[Entregas]]-Tabela32[[#This Row],[Realizadas]]</f>
        <v>0</v>
      </c>
      <c r="U509" s="18">
        <f>Tabela32[[#This Row],[Realizadas]]/Tabela32[[#This Row],[Entregas]]</f>
        <v>1</v>
      </c>
      <c r="V509" s="19" t="str">
        <f>IF(Tabela32[[#This Row],[% Entrega]]&gt;=96%,"Atendeu a Meta","Não Atendeu a Meta")</f>
        <v>Atendeu a Meta</v>
      </c>
      <c r="W509" s="4" t="s">
        <v>39</v>
      </c>
      <c r="X509" s="4">
        <v>0</v>
      </c>
      <c r="Y509" s="5">
        <v>0</v>
      </c>
    </row>
    <row r="510" spans="1:25" x14ac:dyDescent="0.25">
      <c r="A510" s="8">
        <v>46303</v>
      </c>
      <c r="B510" s="16">
        <f>YEAR(Tabela32[[#This Row],[Data]])</f>
        <v>2026</v>
      </c>
      <c r="C510" s="16">
        <f>MONTH(Tabela32[[#This Row],[Data]])</f>
        <v>10</v>
      </c>
      <c r="D510" s="4" t="s">
        <v>33</v>
      </c>
      <c r="E510" s="4">
        <v>1</v>
      </c>
      <c r="F510" s="4" t="str">
        <f>IFERROR(VLOOKUP(Tabela32[[#This Row],[Placa]],Planilha2!$A$1:$B$12,2,0),"")</f>
        <v>Paulo</v>
      </c>
      <c r="G510" s="10">
        <v>3075.28</v>
      </c>
      <c r="H510" s="10">
        <v>41356.01</v>
      </c>
      <c r="I510" s="4">
        <v>620</v>
      </c>
      <c r="J510" s="17">
        <f>IFERROR(Tabela32[[#This Row],[Valor Frete]]/Tabela32[[#This Row],[Valor Mercadoria]],"")</f>
        <v>7.4361138804251187E-2</v>
      </c>
      <c r="K510" s="11">
        <v>0.33333333333333331</v>
      </c>
      <c r="L510" s="15">
        <v>0.71944444444444444</v>
      </c>
      <c r="M510" s="15">
        <f>Tabela32[[#This Row],[Hr Chegada]]-Tabela32[[#This Row],[Hr Saida]]</f>
        <v>0.38611111111111113</v>
      </c>
      <c r="N510" s="4">
        <v>156830</v>
      </c>
      <c r="O510" s="4">
        <v>157003</v>
      </c>
      <c r="P510" s="4">
        <f>Tabela32[[#This Row],[Km Chegada]]-Tabela32[[#This Row],[Km Saída]]</f>
        <v>173</v>
      </c>
      <c r="Q510" s="4">
        <v>138</v>
      </c>
      <c r="R510" s="4">
        <v>12</v>
      </c>
      <c r="S510" s="4">
        <v>12</v>
      </c>
      <c r="T510" s="12">
        <f>Tabela32[[#This Row],[Entregas]]-Tabela32[[#This Row],[Realizadas]]</f>
        <v>0</v>
      </c>
      <c r="U510" s="18">
        <f>Tabela32[[#This Row],[Realizadas]]/Tabela32[[#This Row],[Entregas]]</f>
        <v>1</v>
      </c>
      <c r="V510" s="19" t="str">
        <f>IF(Tabela32[[#This Row],[% Entrega]]&gt;=96%,"Atendeu a Meta","Não Atendeu a Meta")</f>
        <v>Atendeu a Meta</v>
      </c>
      <c r="W510" s="4" t="s">
        <v>43</v>
      </c>
      <c r="X510" s="4">
        <v>0</v>
      </c>
      <c r="Y510" s="5">
        <v>0</v>
      </c>
    </row>
    <row r="511" spans="1:25" x14ac:dyDescent="0.25">
      <c r="A511" s="8">
        <v>46303</v>
      </c>
      <c r="B511" s="16">
        <f>YEAR(Tabela32[[#This Row],[Data]])</f>
        <v>2026</v>
      </c>
      <c r="C511" s="16">
        <f>MONTH(Tabela32[[#This Row],[Data]])</f>
        <v>10</v>
      </c>
      <c r="D511" s="4" t="s">
        <v>53</v>
      </c>
      <c r="E511" s="4">
        <v>1</v>
      </c>
      <c r="F511" s="4" t="str">
        <f>IFERROR(VLOOKUP(Tabela32[[#This Row],[Placa]],Planilha2!$A$1:$B$12,2,0),"")</f>
        <v>Arnaldo</v>
      </c>
      <c r="G511" s="10">
        <v>12050.21</v>
      </c>
      <c r="H511" s="10">
        <v>206944.9</v>
      </c>
      <c r="I511" s="4">
        <v>5981</v>
      </c>
      <c r="J511" s="17">
        <f>IFERROR(Tabela32[[#This Row],[Valor Frete]]/Tabela32[[#This Row],[Valor Mercadoria]],"")</f>
        <v>5.8229074502440019E-2</v>
      </c>
      <c r="K511" s="11">
        <v>0.65625</v>
      </c>
      <c r="L511" s="15">
        <v>0.69791666666666663</v>
      </c>
      <c r="M511" s="15">
        <f>Tabela32[[#This Row],[Hr Chegada]]-Tabela32[[#This Row],[Hr Saida]]</f>
        <v>4.166666666666663E-2</v>
      </c>
      <c r="N511" s="4">
        <v>14745</v>
      </c>
      <c r="O511" s="4">
        <v>14754</v>
      </c>
      <c r="P511" s="4">
        <f>Tabela32[[#This Row],[Km Chegada]]-Tabela32[[#This Row],[Km Saída]]</f>
        <v>9</v>
      </c>
      <c r="Q511" s="4">
        <v>588</v>
      </c>
      <c r="R511" s="4">
        <v>3</v>
      </c>
      <c r="S511" s="4">
        <v>0</v>
      </c>
      <c r="T511" s="12">
        <f>Tabela32[[#This Row],[Entregas]]-Tabela32[[#This Row],[Realizadas]]</f>
        <v>3</v>
      </c>
      <c r="U511" s="18">
        <f>Tabela32[[#This Row],[Realizadas]]/Tabela32[[#This Row],[Entregas]]</f>
        <v>0</v>
      </c>
      <c r="V511" s="19" t="str">
        <f>IF(Tabela32[[#This Row],[% Entrega]]&gt;=96%,"Atendeu a Meta","Não Atendeu a Meta")</f>
        <v>Não Atendeu a Meta</v>
      </c>
      <c r="W511" s="4" t="s">
        <v>63</v>
      </c>
      <c r="X511" s="4">
        <v>3</v>
      </c>
      <c r="Y511" s="5" t="s">
        <v>69</v>
      </c>
    </row>
    <row r="512" spans="1:25" x14ac:dyDescent="0.25">
      <c r="A512" s="8">
        <v>46304</v>
      </c>
      <c r="B512" s="16">
        <f>YEAR(Tabela32[[#This Row],[Data]])</f>
        <v>2026</v>
      </c>
      <c r="C512" s="16">
        <f>MONTH(Tabela32[[#This Row],[Data]])</f>
        <v>10</v>
      </c>
      <c r="D512" s="4" t="s">
        <v>28</v>
      </c>
      <c r="E512" s="4">
        <v>5</v>
      </c>
      <c r="F512" s="4" t="str">
        <f>IFERROR(VLOOKUP(Tabela32[[#This Row],[Placa]],Planilha2!$A$1:$B$12,2,0),"")</f>
        <v>Edilson</v>
      </c>
      <c r="G512" s="10">
        <v>3572.31</v>
      </c>
      <c r="H512" s="10">
        <v>71910.12</v>
      </c>
      <c r="I512" s="4">
        <v>1494</v>
      </c>
      <c r="J512" s="17">
        <f>IFERROR(Tabela32[[#This Row],[Valor Frete]]/Tabela32[[#This Row],[Valor Mercadoria]],"")</f>
        <v>4.9677430659272992E-2</v>
      </c>
      <c r="K512" s="11">
        <v>0.27083333333333331</v>
      </c>
      <c r="L512" s="15">
        <v>0.70833333333333337</v>
      </c>
      <c r="M512" s="15">
        <f>Tabela32[[#This Row],[Hr Chegada]]-Tabela32[[#This Row],[Hr Saida]]</f>
        <v>0.43750000000000006</v>
      </c>
      <c r="N512" s="4">
        <v>107024</v>
      </c>
      <c r="O512" s="4">
        <v>107076</v>
      </c>
      <c r="P512" s="4">
        <f>Tabela32[[#This Row],[Km Chegada]]-Tabela32[[#This Row],[Km Saída]]</f>
        <v>52</v>
      </c>
      <c r="Q512" s="4">
        <v>10</v>
      </c>
      <c r="R512" s="4">
        <v>9</v>
      </c>
      <c r="S512" s="4">
        <v>9</v>
      </c>
      <c r="T512" s="12">
        <f>Tabela32[[#This Row],[Entregas]]-Tabela32[[#This Row],[Realizadas]]</f>
        <v>0</v>
      </c>
      <c r="U512" s="18">
        <f>Tabela32[[#This Row],[Realizadas]]/Tabela32[[#This Row],[Entregas]]</f>
        <v>1</v>
      </c>
      <c r="V512" s="19" t="str">
        <f>IF(Tabela32[[#This Row],[% Entrega]]&gt;=96%,"Atendeu a Meta","Não Atendeu a Meta")</f>
        <v>Atendeu a Meta</v>
      </c>
      <c r="W512" s="4" t="s">
        <v>39</v>
      </c>
      <c r="X512" s="4">
        <v>0</v>
      </c>
      <c r="Y512" s="5">
        <v>0</v>
      </c>
    </row>
    <row r="513" spans="1:25" x14ac:dyDescent="0.25">
      <c r="A513" s="8">
        <v>46304</v>
      </c>
      <c r="B513" s="16">
        <f>YEAR(Tabela32[[#This Row],[Data]])</f>
        <v>2026</v>
      </c>
      <c r="C513" s="16">
        <f>MONTH(Tabela32[[#This Row],[Data]])</f>
        <v>10</v>
      </c>
      <c r="D513" s="4" t="s">
        <v>27</v>
      </c>
      <c r="E513" s="4">
        <v>1</v>
      </c>
      <c r="F513" s="4" t="str">
        <f>IFERROR(VLOOKUP(Tabela32[[#This Row],[Placa]],Planilha2!$A$1:$B$12,2,0),"")</f>
        <v>Rosinaldo</v>
      </c>
      <c r="G513" s="10">
        <v>8073.15</v>
      </c>
      <c r="H513" s="10">
        <v>152901.45000000001</v>
      </c>
      <c r="I513" s="4">
        <v>1519</v>
      </c>
      <c r="J513" s="17">
        <f>IFERROR(Tabela32[[#This Row],[Valor Frete]]/Tabela32[[#This Row],[Valor Mercadoria]],"")</f>
        <v>5.2799695490134323E-2</v>
      </c>
      <c r="K513" s="11">
        <v>0.3125</v>
      </c>
      <c r="L513" s="15">
        <v>0.73819444444444449</v>
      </c>
      <c r="M513" s="15">
        <f>Tabela32[[#This Row],[Hr Chegada]]-Tabela32[[#This Row],[Hr Saida]]</f>
        <v>0.42569444444444449</v>
      </c>
      <c r="N513" s="4">
        <v>292474</v>
      </c>
      <c r="O513" s="4">
        <v>292517</v>
      </c>
      <c r="P513" s="4">
        <f>Tabela32[[#This Row],[Km Chegada]]-Tabela32[[#This Row],[Km Saída]]</f>
        <v>43</v>
      </c>
      <c r="Q513" s="4">
        <v>147</v>
      </c>
      <c r="R513" s="4">
        <v>18</v>
      </c>
      <c r="S513" s="4">
        <v>18</v>
      </c>
      <c r="T513" s="12">
        <f>Tabela32[[#This Row],[Entregas]]-Tabela32[[#This Row],[Realizadas]]</f>
        <v>0</v>
      </c>
      <c r="U513" s="18">
        <f>Tabela32[[#This Row],[Realizadas]]/Tabela32[[#This Row],[Entregas]]</f>
        <v>1</v>
      </c>
      <c r="V513" s="19" t="str">
        <f>IF(Tabela32[[#This Row],[% Entrega]]&gt;=96%,"Atendeu a Meta","Não Atendeu a Meta")</f>
        <v>Atendeu a Meta</v>
      </c>
      <c r="W513" s="4" t="s">
        <v>43</v>
      </c>
      <c r="X513" s="4">
        <v>0</v>
      </c>
      <c r="Y513" s="5">
        <v>38</v>
      </c>
    </row>
    <row r="514" spans="1:25" x14ac:dyDescent="0.25">
      <c r="A514" s="8">
        <v>46304</v>
      </c>
      <c r="B514" s="16">
        <f>YEAR(Tabela32[[#This Row],[Data]])</f>
        <v>2026</v>
      </c>
      <c r="C514" s="16">
        <f>MONTH(Tabela32[[#This Row],[Data]])</f>
        <v>10</v>
      </c>
      <c r="D514" s="4" t="s">
        <v>53</v>
      </c>
      <c r="E514" s="4">
        <v>1</v>
      </c>
      <c r="F514" s="4" t="str">
        <f>IFERROR(VLOOKUP(Tabela32[[#This Row],[Placa]],Planilha2!$A$1:$B$12,2,0),"")</f>
        <v>Arnaldo</v>
      </c>
      <c r="G514" s="10">
        <v>12152.4</v>
      </c>
      <c r="H514" s="10">
        <v>207808.59</v>
      </c>
      <c r="I514" s="4">
        <v>5993</v>
      </c>
      <c r="J514" s="17">
        <f>IFERROR(Tabela32[[#This Row],[Valor Frete]]/Tabela32[[#This Row],[Valor Mercadoria]],"")</f>
        <v>5.8478814566808812E-2</v>
      </c>
      <c r="K514" s="11">
        <v>0.30486111111111114</v>
      </c>
      <c r="L514" s="15">
        <v>0.75138888888888888</v>
      </c>
      <c r="M514" s="15">
        <f>Tabela32[[#This Row],[Hr Chegada]]-Tabela32[[#This Row],[Hr Saida]]</f>
        <v>0.44652777777777775</v>
      </c>
      <c r="N514" s="4">
        <v>14754</v>
      </c>
      <c r="O514" s="4">
        <v>14782</v>
      </c>
      <c r="P514" s="4">
        <f>Tabela32[[#This Row],[Km Chegada]]-Tabela32[[#This Row],[Km Saída]]</f>
        <v>28</v>
      </c>
      <c r="Q514" s="4">
        <v>15</v>
      </c>
      <c r="R514" s="4">
        <v>4</v>
      </c>
      <c r="S514" s="4">
        <v>4</v>
      </c>
      <c r="T514" s="12">
        <f>Tabela32[[#This Row],[Entregas]]-Tabela32[[#This Row],[Realizadas]]</f>
        <v>0</v>
      </c>
      <c r="U514" s="18">
        <f>Tabela32[[#This Row],[Realizadas]]/Tabela32[[#This Row],[Entregas]]</f>
        <v>1</v>
      </c>
      <c r="V514" s="19" t="str">
        <f>IF(Tabela32[[#This Row],[% Entrega]]&gt;=96%,"Atendeu a Meta","Não Atendeu a Meta")</f>
        <v>Atendeu a Meta</v>
      </c>
      <c r="W514" s="4" t="s">
        <v>63</v>
      </c>
      <c r="X514" s="4">
        <v>0</v>
      </c>
      <c r="Y514" s="5">
        <v>38</v>
      </c>
    </row>
    <row r="515" spans="1:25" x14ac:dyDescent="0.25">
      <c r="A515" s="8">
        <v>46304</v>
      </c>
      <c r="B515" s="16">
        <f>YEAR(Tabela32[[#This Row],[Data]])</f>
        <v>2026</v>
      </c>
      <c r="C515" s="16">
        <f>MONTH(Tabela32[[#This Row],[Data]])</f>
        <v>10</v>
      </c>
      <c r="D515" s="4" t="s">
        <v>35</v>
      </c>
      <c r="E515" s="4">
        <v>11</v>
      </c>
      <c r="F515" s="4" t="str">
        <f>IFERROR(VLOOKUP(Tabela32[[#This Row],[Placa]],Planilha2!$A$1:$B$12,2,0),"")</f>
        <v>Osvaldo</v>
      </c>
      <c r="G515" s="10">
        <v>8387.43</v>
      </c>
      <c r="H515" s="10">
        <v>168450.99</v>
      </c>
      <c r="I515" s="4">
        <v>1174</v>
      </c>
      <c r="J515" s="17">
        <f>IFERROR(Tabela32[[#This Row],[Valor Frete]]/Tabela32[[#This Row],[Valor Mercadoria]],"")</f>
        <v>4.9791515027605364E-2</v>
      </c>
      <c r="K515" s="11">
        <v>0.27083333333333331</v>
      </c>
      <c r="L515" s="15">
        <v>0.75138888888888888</v>
      </c>
      <c r="M515" s="15">
        <f>Tabela32[[#This Row],[Hr Chegada]]-Tabela32[[#This Row],[Hr Saida]]</f>
        <v>0.48055555555555557</v>
      </c>
      <c r="N515" s="4">
        <v>144677</v>
      </c>
      <c r="O515" s="4">
        <v>144822</v>
      </c>
      <c r="P515" s="4">
        <f>Tabela32[[#This Row],[Km Chegada]]-Tabela32[[#This Row],[Km Saída]]</f>
        <v>145</v>
      </c>
      <c r="Q515" s="4">
        <v>143</v>
      </c>
      <c r="R515" s="4">
        <v>16</v>
      </c>
      <c r="S515" s="4">
        <v>15</v>
      </c>
      <c r="T515" s="12">
        <f>Tabela32[[#This Row],[Entregas]]-Tabela32[[#This Row],[Realizadas]]</f>
        <v>1</v>
      </c>
      <c r="U515" s="18">
        <f>Tabela32[[#This Row],[Realizadas]]/Tabela32[[#This Row],[Entregas]]</f>
        <v>0.9375</v>
      </c>
      <c r="V515" s="19" t="str">
        <f>IF(Tabela32[[#This Row],[% Entrega]]&gt;=96%,"Atendeu a Meta","Não Atendeu a Meta")</f>
        <v>Não Atendeu a Meta</v>
      </c>
      <c r="W515" s="4" t="s">
        <v>41</v>
      </c>
      <c r="X515" s="4">
        <v>1</v>
      </c>
      <c r="Y515" s="5">
        <v>13</v>
      </c>
    </row>
    <row r="516" spans="1:25" x14ac:dyDescent="0.25">
      <c r="A516" s="8">
        <v>46304</v>
      </c>
      <c r="B516" s="16">
        <f>YEAR(Tabela32[[#This Row],[Data]])</f>
        <v>2026</v>
      </c>
      <c r="C516" s="16">
        <f>MONTH(Tabela32[[#This Row],[Data]])</f>
        <v>10</v>
      </c>
      <c r="D516" s="4" t="s">
        <v>31</v>
      </c>
      <c r="E516" s="4">
        <v>2</v>
      </c>
      <c r="F516" s="4" t="str">
        <f>IFERROR(VLOOKUP(Tabela32[[#This Row],[Placa]],Planilha2!$A$1:$B$12,2,0),"")</f>
        <v>Jerson</v>
      </c>
      <c r="G516" s="10">
        <v>12325.53</v>
      </c>
      <c r="H516" s="10">
        <v>176127.26</v>
      </c>
      <c r="I516" s="4">
        <v>3129</v>
      </c>
      <c r="J516" s="17">
        <f>IFERROR(Tabela32[[#This Row],[Valor Frete]]/Tabela32[[#This Row],[Valor Mercadoria]],"")</f>
        <v>6.9980819550590864E-2</v>
      </c>
      <c r="K516" s="11">
        <v>0.27777777777777779</v>
      </c>
      <c r="L516" s="15">
        <v>0.79236111111111107</v>
      </c>
      <c r="M516" s="15">
        <f>Tabela32[[#This Row],[Hr Chegada]]-Tabela32[[#This Row],[Hr Saida]]</f>
        <v>0.51458333333333328</v>
      </c>
      <c r="N516" s="4">
        <v>281964</v>
      </c>
      <c r="O516" s="4">
        <v>282029</v>
      </c>
      <c r="P516" s="4">
        <f>Tabela32[[#This Row],[Km Chegada]]-Tabela32[[#This Row],[Km Saída]]</f>
        <v>65</v>
      </c>
      <c r="Q516" s="4">
        <v>304</v>
      </c>
      <c r="R516" s="4">
        <v>34</v>
      </c>
      <c r="S516" s="4">
        <v>34</v>
      </c>
      <c r="T516" s="12">
        <f>Tabela32[[#This Row],[Entregas]]-Tabela32[[#This Row],[Realizadas]]</f>
        <v>0</v>
      </c>
      <c r="U516" s="18">
        <f>Tabela32[[#This Row],[Realizadas]]/Tabela32[[#This Row],[Entregas]]</f>
        <v>1</v>
      </c>
      <c r="V516" s="19" t="str">
        <f>IF(Tabela32[[#This Row],[% Entrega]]&gt;=96%,"Atendeu a Meta","Não Atendeu a Meta")</f>
        <v>Atendeu a Meta</v>
      </c>
      <c r="W516" s="4" t="s">
        <v>39</v>
      </c>
      <c r="X516" s="4">
        <v>0</v>
      </c>
      <c r="Y516" s="5">
        <v>0</v>
      </c>
    </row>
    <row r="517" spans="1:25" x14ac:dyDescent="0.25">
      <c r="A517" s="8">
        <v>46304</v>
      </c>
      <c r="B517" s="16">
        <f>YEAR(Tabela32[[#This Row],[Data]])</f>
        <v>2026</v>
      </c>
      <c r="C517" s="16">
        <f>MONTH(Tabela32[[#This Row],[Data]])</f>
        <v>10</v>
      </c>
      <c r="D517" s="4" t="s">
        <v>23</v>
      </c>
      <c r="E517" s="4">
        <v>3</v>
      </c>
      <c r="F517" s="4" t="str">
        <f>IFERROR(VLOOKUP(Tabela32[[#This Row],[Placa]],Planilha2!$A$1:$B$12,2,0),"")</f>
        <v>William</v>
      </c>
      <c r="G517" s="10">
        <v>6192.89</v>
      </c>
      <c r="H517" s="10">
        <v>142671.84</v>
      </c>
      <c r="I517" s="4">
        <v>1141</v>
      </c>
      <c r="J517" s="17">
        <f>IFERROR(Tabela32[[#This Row],[Valor Frete]]/Tabela32[[#This Row],[Valor Mercadoria]],"")</f>
        <v>4.3406533482711097E-2</v>
      </c>
      <c r="K517" s="11">
        <v>0.29166666666666669</v>
      </c>
      <c r="L517" s="15">
        <v>0.8041666666666667</v>
      </c>
      <c r="M517" s="15">
        <f>Tabela32[[#This Row],[Hr Chegada]]-Tabela32[[#This Row],[Hr Saida]]</f>
        <v>0.51249999999999996</v>
      </c>
      <c r="N517" s="4">
        <v>126860</v>
      </c>
      <c r="O517" s="4">
        <v>126935</v>
      </c>
      <c r="P517" s="4">
        <f>Tabela32[[#This Row],[Km Chegada]]-Tabela32[[#This Row],[Km Saída]]</f>
        <v>75</v>
      </c>
      <c r="Q517" s="4">
        <v>169</v>
      </c>
      <c r="R517" s="4">
        <v>19</v>
      </c>
      <c r="S517" s="4">
        <v>17</v>
      </c>
      <c r="T517" s="12">
        <f>Tabela32[[#This Row],[Entregas]]-Tabela32[[#This Row],[Realizadas]]</f>
        <v>2</v>
      </c>
      <c r="U517" s="18">
        <f>Tabela32[[#This Row],[Realizadas]]/Tabela32[[#This Row],[Entregas]]</f>
        <v>0.89473684210526316</v>
      </c>
      <c r="V517" s="19" t="str">
        <f>IF(Tabela32[[#This Row],[% Entrega]]&gt;=96%,"Atendeu a Meta","Não Atendeu a Meta")</f>
        <v>Não Atendeu a Meta</v>
      </c>
      <c r="W517" s="4" t="s">
        <v>39</v>
      </c>
      <c r="X517" s="4">
        <v>4</v>
      </c>
      <c r="Y517" s="5" t="s">
        <v>95</v>
      </c>
    </row>
    <row r="518" spans="1:25" x14ac:dyDescent="0.25">
      <c r="A518" s="8">
        <v>46304</v>
      </c>
      <c r="B518" s="16">
        <f>YEAR(Tabela32[[#This Row],[Data]])</f>
        <v>2026</v>
      </c>
      <c r="C518" s="16">
        <f>MONTH(Tabela32[[#This Row],[Data]])</f>
        <v>10</v>
      </c>
      <c r="D518" s="4" t="s">
        <v>22</v>
      </c>
      <c r="E518" s="4">
        <v>5</v>
      </c>
      <c r="F518" s="4" t="str">
        <f>IFERROR(VLOOKUP(Tabela32[[#This Row],[Placa]],Planilha2!$A$1:$B$12,2,0),"")</f>
        <v>Wesley</v>
      </c>
      <c r="G518" s="10">
        <v>11542.94</v>
      </c>
      <c r="H518" s="10">
        <v>248336.8</v>
      </c>
      <c r="I518" s="4">
        <v>2574</v>
      </c>
      <c r="J518" s="17">
        <f>IFERROR(Tabela32[[#This Row],[Valor Frete]]/Tabela32[[#This Row],[Valor Mercadoria]],"")</f>
        <v>4.6480988721768181E-2</v>
      </c>
      <c r="K518" s="11">
        <v>0.3125</v>
      </c>
      <c r="L518" s="15">
        <v>0.80069444444444449</v>
      </c>
      <c r="M518" s="15">
        <f>Tabela32[[#This Row],[Hr Chegada]]-Tabela32[[#This Row],[Hr Saida]]</f>
        <v>0.48819444444444449</v>
      </c>
      <c r="N518" s="4">
        <v>306160</v>
      </c>
      <c r="O518" s="4">
        <v>306240</v>
      </c>
      <c r="P518" s="4">
        <f>Tabela32[[#This Row],[Km Chegada]]-Tabela32[[#This Row],[Km Saída]]</f>
        <v>80</v>
      </c>
      <c r="Q518" s="4">
        <v>358</v>
      </c>
      <c r="R518" s="4">
        <v>37</v>
      </c>
      <c r="S518" s="4">
        <v>37</v>
      </c>
      <c r="T518" s="12">
        <f>Tabela32[[#This Row],[Entregas]]-Tabela32[[#This Row],[Realizadas]]</f>
        <v>0</v>
      </c>
      <c r="U518" s="18">
        <f>Tabela32[[#This Row],[Realizadas]]/Tabela32[[#This Row],[Entregas]]</f>
        <v>1</v>
      </c>
      <c r="V518" s="19" t="str">
        <f>IF(Tabela32[[#This Row],[% Entrega]]&gt;=96%,"Atendeu a Meta","Não Atendeu a Meta")</f>
        <v>Atendeu a Meta</v>
      </c>
      <c r="W518" s="4" t="s">
        <v>39</v>
      </c>
      <c r="X518" s="4">
        <v>0</v>
      </c>
      <c r="Y518" s="5">
        <v>0</v>
      </c>
    </row>
    <row r="519" spans="1:25" x14ac:dyDescent="0.25">
      <c r="A519" s="8">
        <v>46304</v>
      </c>
      <c r="B519" s="16">
        <f>YEAR(Tabela32[[#This Row],[Data]])</f>
        <v>2026</v>
      </c>
      <c r="C519" s="16">
        <f>MONTH(Tabela32[[#This Row],[Data]])</f>
        <v>10</v>
      </c>
      <c r="D519" s="4" t="s">
        <v>29</v>
      </c>
      <c r="E519" s="4">
        <v>1</v>
      </c>
      <c r="F519" s="4" t="str">
        <f>IFERROR(VLOOKUP(Tabela32[[#This Row],[Placa]],Planilha2!$A$1:$B$12,2,0),"")</f>
        <v>Sandro</v>
      </c>
      <c r="G519" s="10">
        <v>4983.6400000000003</v>
      </c>
      <c r="H519" s="10">
        <v>129842.06</v>
      </c>
      <c r="I519" s="4">
        <v>956</v>
      </c>
      <c r="J519" s="17">
        <f>IFERROR(Tabela32[[#This Row],[Valor Frete]]/Tabela32[[#This Row],[Valor Mercadoria]],"")</f>
        <v>3.8382323878718504E-2</v>
      </c>
      <c r="K519" s="11">
        <v>0.29166666666666669</v>
      </c>
      <c r="L519" s="15">
        <v>0.72222222222222221</v>
      </c>
      <c r="M519" s="15">
        <f>Tabela32[[#This Row],[Hr Chegada]]-Tabela32[[#This Row],[Hr Saida]]</f>
        <v>0.43055555555555552</v>
      </c>
      <c r="N519" s="4">
        <v>276851</v>
      </c>
      <c r="O519" s="4">
        <v>276917</v>
      </c>
      <c r="P519" s="4">
        <f>Tabela32[[#This Row],[Km Chegada]]-Tabela32[[#This Row],[Km Saída]]</f>
        <v>66</v>
      </c>
      <c r="Q519" s="4">
        <v>166</v>
      </c>
      <c r="R519" s="4">
        <v>6</v>
      </c>
      <c r="S519" s="4">
        <v>6</v>
      </c>
      <c r="T519" s="12">
        <f>Tabela32[[#This Row],[Entregas]]-Tabela32[[#This Row],[Realizadas]]</f>
        <v>0</v>
      </c>
      <c r="U519" s="18">
        <f>Tabela32[[#This Row],[Realizadas]]/Tabela32[[#This Row],[Entregas]]</f>
        <v>1</v>
      </c>
      <c r="V519" s="19" t="str">
        <f>IF(Tabela32[[#This Row],[% Entrega]]&gt;=96%,"Atendeu a Meta","Não Atendeu a Meta")</f>
        <v>Atendeu a Meta</v>
      </c>
      <c r="W519" s="4" t="s">
        <v>43</v>
      </c>
      <c r="X519" s="4">
        <v>0</v>
      </c>
      <c r="Y519" s="5">
        <v>38.380000000000003</v>
      </c>
    </row>
    <row r="520" spans="1:25" x14ac:dyDescent="0.25">
      <c r="A520" s="8">
        <v>46304</v>
      </c>
      <c r="B520" s="16">
        <f>YEAR(Tabela32[[#This Row],[Data]])</f>
        <v>2026</v>
      </c>
      <c r="C520" s="16">
        <f>MONTH(Tabela32[[#This Row],[Data]])</f>
        <v>10</v>
      </c>
      <c r="D520" s="4" t="s">
        <v>25</v>
      </c>
      <c r="E520" s="4">
        <v>1</v>
      </c>
      <c r="F520" s="4" t="str">
        <f>IFERROR(VLOOKUP(Tabela32[[#This Row],[Placa]],Planilha2!$A$1:$B$12,2,0),"")</f>
        <v>Gilberto</v>
      </c>
      <c r="G520" s="10">
        <v>6869.81</v>
      </c>
      <c r="H520" s="10">
        <v>158166.76</v>
      </c>
      <c r="I520" s="4">
        <v>3125</v>
      </c>
      <c r="J520" s="17">
        <f>IFERROR(Tabela32[[#This Row],[Valor Frete]]/Tabela32[[#This Row],[Valor Mercadoria]],"")</f>
        <v>4.3433968047395043E-2</v>
      </c>
      <c r="K520" s="11">
        <v>0.3125</v>
      </c>
      <c r="L520" s="15">
        <v>0.70416666666666672</v>
      </c>
      <c r="M520" s="15">
        <f>Tabela32[[#This Row],[Hr Chegada]]-Tabela32[[#This Row],[Hr Saida]]</f>
        <v>0.39166666666666672</v>
      </c>
      <c r="N520" s="4">
        <v>120909</v>
      </c>
      <c r="O520" s="4">
        <v>120939</v>
      </c>
      <c r="P520" s="4">
        <f>Tabela32[[#This Row],[Km Chegada]]-Tabela32[[#This Row],[Km Saída]]</f>
        <v>30</v>
      </c>
      <c r="Q520" s="4">
        <v>967</v>
      </c>
      <c r="R520" s="4">
        <v>8</v>
      </c>
      <c r="S520" s="4">
        <v>8</v>
      </c>
      <c r="T520" s="12">
        <f>Tabela32[[#This Row],[Entregas]]-Tabela32[[#This Row],[Realizadas]]</f>
        <v>0</v>
      </c>
      <c r="U520" s="18">
        <f>Tabela32[[#This Row],[Realizadas]]/Tabela32[[#This Row],[Entregas]]</f>
        <v>1</v>
      </c>
      <c r="V520" s="19" t="str">
        <f>IF(Tabela32[[#This Row],[% Entrega]]&gt;=96%,"Atendeu a Meta","Não Atendeu a Meta")</f>
        <v>Atendeu a Meta</v>
      </c>
      <c r="W520" s="4" t="s">
        <v>43</v>
      </c>
      <c r="X520" s="4">
        <v>0</v>
      </c>
      <c r="Y520" s="5">
        <v>0</v>
      </c>
    </row>
    <row r="521" spans="1:25" x14ac:dyDescent="0.25">
      <c r="A521" s="8">
        <v>46304</v>
      </c>
      <c r="B521" s="16">
        <f>YEAR(Tabela32[[#This Row],[Data]])</f>
        <v>2026</v>
      </c>
      <c r="C521" s="16">
        <f>MONTH(Tabela32[[#This Row],[Data]])</f>
        <v>10</v>
      </c>
      <c r="D521" s="4" t="s">
        <v>33</v>
      </c>
      <c r="E521" s="4">
        <v>1</v>
      </c>
      <c r="F521" s="4" t="str">
        <f>IFERROR(VLOOKUP(Tabela32[[#This Row],[Placa]],Planilha2!$A$1:$B$12,2,0),"")</f>
        <v>Paulo</v>
      </c>
      <c r="G521" s="10">
        <v>2841.14</v>
      </c>
      <c r="H521" s="10">
        <v>25089.89</v>
      </c>
      <c r="I521" s="4">
        <v>164</v>
      </c>
      <c r="J521" s="17">
        <f>IFERROR(Tabela32[[#This Row],[Valor Frete]]/Tabela32[[#This Row],[Valor Mercadoria]],"")</f>
        <v>0.11323843986561918</v>
      </c>
      <c r="K521" s="11">
        <v>0.29166666666666669</v>
      </c>
      <c r="L521" s="15">
        <v>0.67500000000000004</v>
      </c>
      <c r="M521" s="15">
        <f>Tabela32[[#This Row],[Hr Chegada]]-Tabela32[[#This Row],[Hr Saida]]</f>
        <v>0.38333333333333336</v>
      </c>
      <c r="N521" s="4">
        <v>157003</v>
      </c>
      <c r="O521" s="4">
        <v>157065</v>
      </c>
      <c r="P521" s="4">
        <f>Tabela32[[#This Row],[Km Chegada]]-Tabela32[[#This Row],[Km Saída]]</f>
        <v>62</v>
      </c>
      <c r="Q521" s="4">
        <v>30</v>
      </c>
      <c r="R521" s="4">
        <v>3</v>
      </c>
      <c r="S521" s="4">
        <v>3</v>
      </c>
      <c r="T521" s="12">
        <f>Tabela32[[#This Row],[Entregas]]-Tabela32[[#This Row],[Realizadas]]</f>
        <v>0</v>
      </c>
      <c r="U521" s="18">
        <f>Tabela32[[#This Row],[Realizadas]]/Tabela32[[#This Row],[Entregas]]</f>
        <v>1</v>
      </c>
      <c r="V521" s="19" t="str">
        <f>IF(Tabela32[[#This Row],[% Entrega]]&gt;=96%,"Atendeu a Meta","Não Atendeu a Meta")</f>
        <v>Atendeu a Meta</v>
      </c>
      <c r="W521" s="4" t="s">
        <v>40</v>
      </c>
      <c r="X521" s="4">
        <v>0</v>
      </c>
      <c r="Y521" s="5">
        <v>0</v>
      </c>
    </row>
    <row r="522" spans="1:25" x14ac:dyDescent="0.25">
      <c r="A522" s="8">
        <v>46305</v>
      </c>
      <c r="B522" s="16">
        <f>YEAR(Tabela32[[#This Row],[Data]])</f>
        <v>2026</v>
      </c>
      <c r="C522" s="16">
        <f>MONTH(Tabela32[[#This Row],[Data]])</f>
        <v>10</v>
      </c>
      <c r="D522" s="4" t="s">
        <v>33</v>
      </c>
      <c r="E522" s="4">
        <v>1</v>
      </c>
      <c r="F522" s="4" t="str">
        <f>IFERROR(VLOOKUP(Tabela32[[#This Row],[Placa]],Planilha2!$A$1:$B$12,2,0),"")</f>
        <v>Paulo</v>
      </c>
      <c r="G522" s="10">
        <v>2473.9499999999998</v>
      </c>
      <c r="H522" s="10">
        <v>29026.86</v>
      </c>
      <c r="I522" s="4">
        <v>208</v>
      </c>
      <c r="J522" s="17">
        <f>IFERROR(Tabela32[[#This Row],[Valor Frete]]/Tabela32[[#This Row],[Valor Mercadoria]],"")</f>
        <v>8.5229680371903802E-2</v>
      </c>
      <c r="K522" s="11">
        <v>0.33333333333333331</v>
      </c>
      <c r="L522" s="15">
        <v>0.5</v>
      </c>
      <c r="M522" s="15">
        <f>Tabela32[[#This Row],[Hr Chegada]]-Tabela32[[#This Row],[Hr Saida]]</f>
        <v>0.16666666666666669</v>
      </c>
      <c r="N522" s="4">
        <v>157065</v>
      </c>
      <c r="O522" s="4">
        <v>157101</v>
      </c>
      <c r="P522" s="4">
        <f>Tabela32[[#This Row],[Km Chegada]]-Tabela32[[#This Row],[Km Saída]]</f>
        <v>36</v>
      </c>
      <c r="Q522" s="4">
        <v>23</v>
      </c>
      <c r="R522" s="4">
        <v>13</v>
      </c>
      <c r="S522" s="4">
        <v>13</v>
      </c>
      <c r="T522" s="12">
        <f>Tabela32[[#This Row],[Entregas]]-Tabela32[[#This Row],[Realizadas]]</f>
        <v>0</v>
      </c>
      <c r="U522" s="18">
        <f>Tabela32[[#This Row],[Realizadas]]/Tabela32[[#This Row],[Entregas]]</f>
        <v>1</v>
      </c>
      <c r="V522" s="19" t="str">
        <f>IF(Tabela32[[#This Row],[% Entrega]]&gt;=96%,"Atendeu a Meta","Não Atendeu a Meta")</f>
        <v>Atendeu a Meta</v>
      </c>
      <c r="W522" s="4" t="s">
        <v>43</v>
      </c>
      <c r="X522" s="4">
        <v>0</v>
      </c>
      <c r="Y522" s="5">
        <v>0</v>
      </c>
    </row>
    <row r="523" spans="1:25" x14ac:dyDescent="0.25">
      <c r="A523" s="8">
        <v>46308</v>
      </c>
      <c r="B523" s="16">
        <f>YEAR(Tabela32[[#This Row],[Data]])</f>
        <v>2026</v>
      </c>
      <c r="C523" s="16">
        <f>MONTH(Tabela32[[#This Row],[Data]])</f>
        <v>10</v>
      </c>
      <c r="D523" s="4" t="s">
        <v>33</v>
      </c>
      <c r="E523" s="4">
        <v>1</v>
      </c>
      <c r="F523" s="4" t="str">
        <f>IFERROR(VLOOKUP(Tabela32[[#This Row],[Placa]],Planilha2!$A$1:$B$12,2,0),"")</f>
        <v>Paulo</v>
      </c>
      <c r="G523" s="10">
        <v>3617.26</v>
      </c>
      <c r="H523" s="10">
        <v>114238.16</v>
      </c>
      <c r="I523" s="4">
        <v>995</v>
      </c>
      <c r="J523" s="17">
        <f>IFERROR(Tabela32[[#This Row],[Valor Frete]]/Tabela32[[#This Row],[Valor Mercadoria]],"")</f>
        <v>3.1664200473817156E-2</v>
      </c>
      <c r="K523" s="11">
        <v>0.33333333333333331</v>
      </c>
      <c r="L523" s="15">
        <v>0.80138888888888893</v>
      </c>
      <c r="M523" s="15">
        <f>Tabela32[[#This Row],[Hr Chegada]]-Tabela32[[#This Row],[Hr Saida]]</f>
        <v>0.46805555555555561</v>
      </c>
      <c r="N523" s="4">
        <v>157124</v>
      </c>
      <c r="O523" s="4">
        <v>157213</v>
      </c>
      <c r="P523" s="4">
        <f>Tabela32[[#This Row],[Km Chegada]]-Tabela32[[#This Row],[Km Saída]]</f>
        <v>89</v>
      </c>
      <c r="Q523" s="4">
        <v>128</v>
      </c>
      <c r="R523" s="4">
        <v>10</v>
      </c>
      <c r="S523" s="4">
        <v>10</v>
      </c>
      <c r="T523" s="12">
        <f>Tabela32[[#This Row],[Entregas]]-Tabela32[[#This Row],[Realizadas]]</f>
        <v>0</v>
      </c>
      <c r="U523" s="18">
        <f>Tabela32[[#This Row],[Realizadas]]/Tabela32[[#This Row],[Entregas]]</f>
        <v>1</v>
      </c>
      <c r="V523" s="19" t="str">
        <f>IF(Tabela32[[#This Row],[% Entrega]]&gt;=96%,"Atendeu a Meta","Não Atendeu a Meta")</f>
        <v>Atendeu a Meta</v>
      </c>
      <c r="W523" s="4" t="s">
        <v>43</v>
      </c>
      <c r="X523" s="4">
        <v>0</v>
      </c>
      <c r="Y523" s="5">
        <v>0</v>
      </c>
    </row>
    <row r="524" spans="1:25" x14ac:dyDescent="0.25">
      <c r="A524" s="8">
        <v>46308</v>
      </c>
      <c r="B524" s="16">
        <f>YEAR(Tabela32[[#This Row],[Data]])</f>
        <v>2026</v>
      </c>
      <c r="C524" s="16">
        <f>MONTH(Tabela32[[#This Row],[Data]])</f>
        <v>10</v>
      </c>
      <c r="D524" s="4" t="s">
        <v>35</v>
      </c>
      <c r="E524" s="4">
        <v>2</v>
      </c>
      <c r="F524" s="4" t="str">
        <f>IFERROR(VLOOKUP(Tabela32[[#This Row],[Placa]],Planilha2!$A$1:$B$12,2,0),"")</f>
        <v>Osvaldo</v>
      </c>
      <c r="G524" s="10">
        <v>13755.73</v>
      </c>
      <c r="H524" s="10">
        <v>261029.64</v>
      </c>
      <c r="I524" s="4">
        <v>2586</v>
      </c>
      <c r="J524" s="17">
        <f>IFERROR(Tabela32[[#This Row],[Valor Frete]]/Tabela32[[#This Row],[Valor Mercadoria]],"")</f>
        <v>5.2697961810007472E-2</v>
      </c>
      <c r="K524" s="11">
        <v>0.27083333333333331</v>
      </c>
      <c r="L524" s="15">
        <v>0.74097222222222225</v>
      </c>
      <c r="M524" s="15">
        <f>Tabela32[[#This Row],[Hr Chegada]]-Tabela32[[#This Row],[Hr Saida]]</f>
        <v>0.47013888888888894</v>
      </c>
      <c r="N524" s="4">
        <v>144822</v>
      </c>
      <c r="O524" s="4">
        <v>144874</v>
      </c>
      <c r="P524" s="4">
        <f>Tabela32[[#This Row],[Km Chegada]]-Tabela32[[#This Row],[Km Saída]]</f>
        <v>52</v>
      </c>
      <c r="Q524" s="4">
        <v>359</v>
      </c>
      <c r="R524" s="4">
        <v>38</v>
      </c>
      <c r="S524" s="4">
        <v>28</v>
      </c>
      <c r="T524" s="12">
        <f>Tabela32[[#This Row],[Entregas]]-Tabela32[[#This Row],[Realizadas]]</f>
        <v>10</v>
      </c>
      <c r="U524" s="18">
        <f>Tabela32[[#This Row],[Realizadas]]/Tabela32[[#This Row],[Entregas]]</f>
        <v>0.73684210526315785</v>
      </c>
      <c r="V524" s="19" t="str">
        <f>IF(Tabela32[[#This Row],[% Entrega]]&gt;=96%,"Atendeu a Meta","Não Atendeu a Meta")</f>
        <v>Não Atendeu a Meta</v>
      </c>
      <c r="W524" s="4" t="s">
        <v>39</v>
      </c>
      <c r="X524" s="4">
        <v>10</v>
      </c>
      <c r="Y524" s="5" t="s">
        <v>96</v>
      </c>
    </row>
    <row r="525" spans="1:25" x14ac:dyDescent="0.25">
      <c r="A525" s="8">
        <v>46308</v>
      </c>
      <c r="B525" s="16">
        <f>YEAR(Tabela32[[#This Row],[Data]])</f>
        <v>2026</v>
      </c>
      <c r="C525" s="16">
        <f>MONTH(Tabela32[[#This Row],[Data]])</f>
        <v>10</v>
      </c>
      <c r="D525" s="4" t="s">
        <v>97</v>
      </c>
      <c r="E525" s="4">
        <v>1</v>
      </c>
      <c r="F525" s="4" t="str">
        <f>IFERROR(VLOOKUP(Tabela32[[#This Row],[Placa]],Planilha2!$A$1:$B$12,2,0),"")</f>
        <v>Manoel</v>
      </c>
      <c r="G525" s="10">
        <v>303.91000000000003</v>
      </c>
      <c r="H525" s="10">
        <v>3447.53</v>
      </c>
      <c r="I525" s="4">
        <v>55</v>
      </c>
      <c r="J525" s="17">
        <f>IFERROR(Tabela32[[#This Row],[Valor Frete]]/Tabela32[[#This Row],[Valor Mercadoria]],"")</f>
        <v>8.8152967486867406E-2</v>
      </c>
      <c r="K525" s="11">
        <v>0.3125</v>
      </c>
      <c r="L525" s="15">
        <v>0.5</v>
      </c>
      <c r="M525" s="15">
        <f>Tabela32[[#This Row],[Hr Chegada]]-Tabela32[[#This Row],[Hr Saida]]</f>
        <v>0.1875</v>
      </c>
      <c r="N525" s="4">
        <v>63919</v>
      </c>
      <c r="O525" s="4">
        <v>63949</v>
      </c>
      <c r="P525" s="4">
        <f>Tabela32[[#This Row],[Km Chegada]]-Tabela32[[#This Row],[Km Saída]]</f>
        <v>30</v>
      </c>
      <c r="Q525" s="4">
        <v>6</v>
      </c>
      <c r="R525" s="4">
        <v>1</v>
      </c>
      <c r="S525" s="4">
        <v>1</v>
      </c>
      <c r="T525" s="12">
        <f>Tabela32[[#This Row],[Entregas]]-Tabela32[[#This Row],[Realizadas]]</f>
        <v>0</v>
      </c>
      <c r="U525" s="18">
        <f>Tabela32[[#This Row],[Realizadas]]/Tabela32[[#This Row],[Entregas]]</f>
        <v>1</v>
      </c>
      <c r="V525" s="19" t="str">
        <f>IF(Tabela32[[#This Row],[% Entrega]]&gt;=96%,"Atendeu a Meta","Não Atendeu a Meta")</f>
        <v>Atendeu a Meta</v>
      </c>
      <c r="W525" s="4" t="s">
        <v>43</v>
      </c>
      <c r="X525" s="4">
        <v>0</v>
      </c>
      <c r="Y525" s="5">
        <v>0</v>
      </c>
    </row>
    <row r="526" spans="1:25" x14ac:dyDescent="0.25">
      <c r="A526" s="8">
        <v>46308</v>
      </c>
      <c r="B526" s="16">
        <f>YEAR(Tabela32[[#This Row],[Data]])</f>
        <v>2026</v>
      </c>
      <c r="C526" s="16">
        <f>MONTH(Tabela32[[#This Row],[Data]])</f>
        <v>10</v>
      </c>
      <c r="D526" s="4" t="s">
        <v>28</v>
      </c>
      <c r="E526" s="4">
        <v>11</v>
      </c>
      <c r="F526" s="4" t="str">
        <f>IFERROR(VLOOKUP(Tabela32[[#This Row],[Placa]],Planilha2!$A$1:$B$12,2,0),"")</f>
        <v>Edilson</v>
      </c>
      <c r="G526" s="10">
        <v>18965.39</v>
      </c>
      <c r="H526" s="10">
        <v>491416.8</v>
      </c>
      <c r="I526" s="4">
        <v>2888</v>
      </c>
      <c r="J526" s="17">
        <f>IFERROR(Tabela32[[#This Row],[Valor Frete]]/Tabela32[[#This Row],[Valor Mercadoria]],"")</f>
        <v>3.8593287815963967E-2</v>
      </c>
      <c r="K526" s="11">
        <v>0.27083333333333331</v>
      </c>
      <c r="L526" s="15">
        <v>0.78333333333333333</v>
      </c>
      <c r="M526" s="15">
        <f>Tabela32[[#This Row],[Hr Chegada]]-Tabela32[[#This Row],[Hr Saida]]</f>
        <v>0.51249999999999996</v>
      </c>
      <c r="N526" s="4">
        <v>107056</v>
      </c>
      <c r="O526" s="4">
        <v>107222</v>
      </c>
      <c r="P526" s="4">
        <f>Tabela32[[#This Row],[Km Chegada]]-Tabela32[[#This Row],[Km Saída]]</f>
        <v>166</v>
      </c>
      <c r="Q526" s="4">
        <v>230</v>
      </c>
      <c r="R526" s="4">
        <v>24</v>
      </c>
      <c r="S526" s="4">
        <v>24</v>
      </c>
      <c r="T526" s="12">
        <f>Tabela32[[#This Row],[Entregas]]-Tabela32[[#This Row],[Realizadas]]</f>
        <v>0</v>
      </c>
      <c r="U526" s="18">
        <f>Tabela32[[#This Row],[Realizadas]]/Tabela32[[#This Row],[Entregas]]</f>
        <v>1</v>
      </c>
      <c r="V526" s="19" t="str">
        <f>IF(Tabela32[[#This Row],[% Entrega]]&gt;=96%,"Atendeu a Meta","Não Atendeu a Meta")</f>
        <v>Atendeu a Meta</v>
      </c>
      <c r="W526" s="4" t="s">
        <v>41</v>
      </c>
      <c r="X526" s="4">
        <v>2</v>
      </c>
      <c r="Y526" s="5" t="s">
        <v>98</v>
      </c>
    </row>
    <row r="527" spans="1:25" x14ac:dyDescent="0.25">
      <c r="A527" s="8">
        <v>46308</v>
      </c>
      <c r="B527" s="16">
        <f>YEAR(Tabela32[[#This Row],[Data]])</f>
        <v>2026</v>
      </c>
      <c r="C527" s="16">
        <f>MONTH(Tabela32[[#This Row],[Data]])</f>
        <v>10</v>
      </c>
      <c r="D527" s="4" t="s">
        <v>23</v>
      </c>
      <c r="E527" s="4">
        <v>5</v>
      </c>
      <c r="F527" s="4" t="str">
        <f>IFERROR(VLOOKUP(Tabela32[[#This Row],[Placa]],Planilha2!$A$1:$B$12,2,0),"")</f>
        <v>William</v>
      </c>
      <c r="G527" s="10">
        <v>9205</v>
      </c>
      <c r="H527" s="10">
        <v>119510.17</v>
      </c>
      <c r="I527" s="4">
        <v>918</v>
      </c>
      <c r="J527" s="17">
        <f>IFERROR(Tabela32[[#This Row],[Valor Frete]]/Tabela32[[#This Row],[Valor Mercadoria]],"")</f>
        <v>7.7022733713791897E-2</v>
      </c>
      <c r="K527" s="11">
        <v>0.29166666666666669</v>
      </c>
      <c r="L527" s="15">
        <v>0.70138888888888884</v>
      </c>
      <c r="M527" s="15">
        <f>Tabela32[[#This Row],[Hr Chegada]]-Tabela32[[#This Row],[Hr Saida]]</f>
        <v>0.40972222222222215</v>
      </c>
      <c r="N527" s="4">
        <v>126935</v>
      </c>
      <c r="O527" s="4">
        <v>127015</v>
      </c>
      <c r="P527" s="4">
        <f>Tabela32[[#This Row],[Km Chegada]]-Tabela32[[#This Row],[Km Saída]]</f>
        <v>80</v>
      </c>
      <c r="Q527" s="4">
        <v>119</v>
      </c>
      <c r="R527" s="4">
        <v>24</v>
      </c>
      <c r="S527" s="4">
        <v>23</v>
      </c>
      <c r="T527" s="12">
        <f>Tabela32[[#This Row],[Entregas]]-Tabela32[[#This Row],[Realizadas]]</f>
        <v>1</v>
      </c>
      <c r="U527" s="18">
        <f>Tabela32[[#This Row],[Realizadas]]/Tabela32[[#This Row],[Entregas]]</f>
        <v>0.95833333333333337</v>
      </c>
      <c r="V527" s="19" t="str">
        <f>IF(Tabela32[[#This Row],[% Entrega]]&gt;=96%,"Atendeu a Meta","Não Atendeu a Meta")</f>
        <v>Não Atendeu a Meta</v>
      </c>
      <c r="W527" s="4" t="s">
        <v>39</v>
      </c>
      <c r="X527" s="4">
        <v>1</v>
      </c>
      <c r="Y527" s="5">
        <v>13</v>
      </c>
    </row>
    <row r="528" spans="1:25" x14ac:dyDescent="0.25">
      <c r="A528" s="8">
        <v>46308</v>
      </c>
      <c r="B528" s="16">
        <f>YEAR(Tabela32[[#This Row],[Data]])</f>
        <v>2026</v>
      </c>
      <c r="C528" s="16">
        <f>MONTH(Tabela32[[#This Row],[Data]])</f>
        <v>10</v>
      </c>
      <c r="D528" s="4" t="s">
        <v>27</v>
      </c>
      <c r="E528" s="4">
        <v>1</v>
      </c>
      <c r="F528" s="4" t="str">
        <f>IFERROR(VLOOKUP(Tabela32[[#This Row],[Placa]],Planilha2!$A$1:$B$12,2,0),"")</f>
        <v>Rosinaldo</v>
      </c>
      <c r="G528" s="10">
        <v>3047.73</v>
      </c>
      <c r="H528" s="10">
        <v>50931.76</v>
      </c>
      <c r="I528" s="4">
        <v>1047</v>
      </c>
      <c r="J528" s="17">
        <f>IFERROR(Tabela32[[#This Row],[Valor Frete]]/Tabela32[[#This Row],[Valor Mercadoria]],"")</f>
        <v>5.9839479334701962E-2</v>
      </c>
      <c r="K528" s="11">
        <v>0.29166666666666669</v>
      </c>
      <c r="L528" s="15">
        <v>0.70833333333333337</v>
      </c>
      <c r="M528" s="15">
        <f>Tabela32[[#This Row],[Hr Chegada]]-Tabela32[[#This Row],[Hr Saida]]</f>
        <v>0.41666666666666669</v>
      </c>
      <c r="N528" s="4">
        <v>292517</v>
      </c>
      <c r="O528" s="4">
        <v>292552</v>
      </c>
      <c r="P528" s="4">
        <f>Tabela32[[#This Row],[Km Chegada]]-Tabela32[[#This Row],[Km Saída]]</f>
        <v>35</v>
      </c>
      <c r="Q528" s="4">
        <v>97</v>
      </c>
      <c r="R528" s="4">
        <v>4</v>
      </c>
      <c r="S528" s="4">
        <v>4</v>
      </c>
      <c r="T528" s="12">
        <f>Tabela32[[#This Row],[Entregas]]-Tabela32[[#This Row],[Realizadas]]</f>
        <v>0</v>
      </c>
      <c r="U528" s="18">
        <f>Tabela32[[#This Row],[Realizadas]]/Tabela32[[#This Row],[Entregas]]</f>
        <v>1</v>
      </c>
      <c r="V528" s="19" t="str">
        <f>IF(Tabela32[[#This Row],[% Entrega]]&gt;=96%,"Atendeu a Meta","Não Atendeu a Meta")</f>
        <v>Atendeu a Meta</v>
      </c>
      <c r="W528" s="4" t="s">
        <v>43</v>
      </c>
      <c r="X528" s="4">
        <v>0</v>
      </c>
      <c r="Y528" s="5">
        <v>0</v>
      </c>
    </row>
    <row r="529" spans="1:25" x14ac:dyDescent="0.25">
      <c r="A529" s="8">
        <v>46308</v>
      </c>
      <c r="B529" s="16">
        <f>YEAR(Tabela32[[#This Row],[Data]])</f>
        <v>2026</v>
      </c>
      <c r="C529" s="16">
        <f>MONTH(Tabela32[[#This Row],[Data]])</f>
        <v>10</v>
      </c>
      <c r="D529" s="4" t="s">
        <v>31</v>
      </c>
      <c r="E529" s="4">
        <v>3</v>
      </c>
      <c r="F529" s="4" t="str">
        <f>IFERROR(VLOOKUP(Tabela32[[#This Row],[Placa]],Planilha2!$A$1:$B$12,2,0),"")</f>
        <v>Jerson</v>
      </c>
      <c r="G529" s="10">
        <v>9400.43</v>
      </c>
      <c r="H529" s="10">
        <v>191038.47</v>
      </c>
      <c r="I529" s="4">
        <v>1711</v>
      </c>
      <c r="J529" s="17">
        <f>IFERROR(Tabela32[[#This Row],[Valor Frete]]/Tabela32[[#This Row],[Valor Mercadoria]],"")</f>
        <v>4.9207000035123814E-2</v>
      </c>
      <c r="K529" s="11">
        <v>0.33333333333333331</v>
      </c>
      <c r="L529" s="15">
        <v>0.79513888888888884</v>
      </c>
      <c r="M529" s="15">
        <f>Tabela32[[#This Row],[Hr Chegada]]-Tabela32[[#This Row],[Hr Saida]]</f>
        <v>0.46180555555555552</v>
      </c>
      <c r="N529" s="4">
        <v>282030</v>
      </c>
      <c r="O529" s="4">
        <v>282098</v>
      </c>
      <c r="P529" s="4">
        <f>Tabela32[[#This Row],[Km Chegada]]-Tabela32[[#This Row],[Km Saída]]</f>
        <v>68</v>
      </c>
      <c r="Q529" s="4">
        <v>257</v>
      </c>
      <c r="R529" s="4">
        <v>22</v>
      </c>
      <c r="S529" s="4">
        <v>15</v>
      </c>
      <c r="T529" s="12">
        <f>Tabela32[[#This Row],[Entregas]]-Tabela32[[#This Row],[Realizadas]]</f>
        <v>7</v>
      </c>
      <c r="U529" s="18">
        <f>Tabela32[[#This Row],[Realizadas]]/Tabela32[[#This Row],[Entregas]]</f>
        <v>0.68181818181818177</v>
      </c>
      <c r="V529" s="19" t="str">
        <f>IF(Tabela32[[#This Row],[% Entrega]]&gt;=96%,"Atendeu a Meta","Não Atendeu a Meta")</f>
        <v>Não Atendeu a Meta</v>
      </c>
      <c r="W529" s="4" t="s">
        <v>39</v>
      </c>
      <c r="X529" s="4">
        <v>8</v>
      </c>
      <c r="Y529" s="5" t="s">
        <v>99</v>
      </c>
    </row>
    <row r="530" spans="1:25" x14ac:dyDescent="0.25">
      <c r="A530" s="8">
        <v>46308</v>
      </c>
      <c r="B530" s="16">
        <f>YEAR(Tabela32[[#This Row],[Data]])</f>
        <v>2026</v>
      </c>
      <c r="C530" s="16">
        <f>MONTH(Tabela32[[#This Row],[Data]])</f>
        <v>10</v>
      </c>
      <c r="D530" s="4" t="s">
        <v>22</v>
      </c>
      <c r="E530" s="4">
        <v>1</v>
      </c>
      <c r="F530" s="4" t="str">
        <f>IFERROR(VLOOKUP(Tabela32[[#This Row],[Placa]],Planilha2!$A$1:$B$12,2,0),"")</f>
        <v>Wesley</v>
      </c>
      <c r="G530" s="10">
        <v>7143.37</v>
      </c>
      <c r="H530" s="10">
        <v>170266.68</v>
      </c>
      <c r="I530" s="4">
        <v>2088</v>
      </c>
      <c r="J530" s="17">
        <f>IFERROR(Tabela32[[#This Row],[Valor Frete]]/Tabela32[[#This Row],[Valor Mercadoria]],"")</f>
        <v>4.1954010027093966E-2</v>
      </c>
      <c r="K530" s="11">
        <v>0.3125</v>
      </c>
      <c r="L530" s="15">
        <v>0.87013888888888891</v>
      </c>
      <c r="M530" s="15">
        <f>Tabela32[[#This Row],[Hr Chegada]]-Tabela32[[#This Row],[Hr Saida]]</f>
        <v>0.55763888888888891</v>
      </c>
      <c r="N530" s="4">
        <v>306252</v>
      </c>
      <c r="O530" s="4">
        <v>306371</v>
      </c>
      <c r="P530" s="4">
        <f>Tabela32[[#This Row],[Km Chegada]]-Tabela32[[#This Row],[Km Saída]]</f>
        <v>119</v>
      </c>
      <c r="Q530" s="4">
        <v>131</v>
      </c>
      <c r="R530" s="4">
        <v>20</v>
      </c>
      <c r="S530" s="4">
        <v>14</v>
      </c>
      <c r="T530" s="12">
        <f>Tabela32[[#This Row],[Entregas]]-Tabela32[[#This Row],[Realizadas]]</f>
        <v>6</v>
      </c>
      <c r="U530" s="18">
        <f>Tabela32[[#This Row],[Realizadas]]/Tabela32[[#This Row],[Entregas]]</f>
        <v>0.7</v>
      </c>
      <c r="V530" s="19" t="str">
        <f>IF(Tabela32[[#This Row],[% Entrega]]&gt;=96%,"Atendeu a Meta","Não Atendeu a Meta")</f>
        <v>Não Atendeu a Meta</v>
      </c>
      <c r="W530" s="4" t="s">
        <v>43</v>
      </c>
      <c r="X530" s="4">
        <v>6</v>
      </c>
      <c r="Y530" s="5" t="s">
        <v>100</v>
      </c>
    </row>
    <row r="531" spans="1:25" x14ac:dyDescent="0.25">
      <c r="A531" s="8">
        <v>46308</v>
      </c>
      <c r="B531" s="16">
        <f>YEAR(Tabela32[[#This Row],[Data]])</f>
        <v>2026</v>
      </c>
      <c r="C531" s="16">
        <f>MONTH(Tabela32[[#This Row],[Data]])</f>
        <v>10</v>
      </c>
      <c r="D531" s="4" t="s">
        <v>25</v>
      </c>
      <c r="E531" s="4">
        <v>4</v>
      </c>
      <c r="F531" s="4" t="str">
        <f>IFERROR(VLOOKUP(Tabela32[[#This Row],[Placa]],Planilha2!$A$1:$B$12,2,0),"")</f>
        <v>Gilberto</v>
      </c>
      <c r="G531" s="10">
        <v>1999.41</v>
      </c>
      <c r="H531" s="10">
        <v>47673.84</v>
      </c>
      <c r="I531" s="4">
        <v>775</v>
      </c>
      <c r="J531" s="17">
        <f>IFERROR(Tabela32[[#This Row],[Valor Frete]]/Tabela32[[#This Row],[Valor Mercadoria]],"")</f>
        <v>4.1939352902975728E-2</v>
      </c>
      <c r="K531" s="11">
        <v>0.3125</v>
      </c>
      <c r="L531" s="15">
        <v>0.75694444444444442</v>
      </c>
      <c r="M531" s="15">
        <f>Tabela32[[#This Row],[Hr Chegada]]-Tabela32[[#This Row],[Hr Saida]]</f>
        <v>0.44444444444444442</v>
      </c>
      <c r="N531" s="4">
        <v>120940</v>
      </c>
      <c r="O531" s="4">
        <v>120995</v>
      </c>
      <c r="P531" s="4">
        <f>Tabela32[[#This Row],[Km Chegada]]-Tabela32[[#This Row],[Km Saída]]</f>
        <v>55</v>
      </c>
      <c r="Q531" s="4">
        <v>175</v>
      </c>
      <c r="R531" s="4">
        <v>10</v>
      </c>
      <c r="S531" s="4">
        <v>10</v>
      </c>
      <c r="T531" s="12">
        <f>Tabela32[[#This Row],[Entregas]]-Tabela32[[#This Row],[Realizadas]]</f>
        <v>0</v>
      </c>
      <c r="U531" s="18">
        <f>Tabela32[[#This Row],[Realizadas]]/Tabela32[[#This Row],[Entregas]]</f>
        <v>1</v>
      </c>
      <c r="V531" s="19" t="str">
        <f>IF(Tabela32[[#This Row],[% Entrega]]&gt;=96%,"Atendeu a Meta","Não Atendeu a Meta")</f>
        <v>Atendeu a Meta</v>
      </c>
      <c r="W531" s="4" t="s">
        <v>39</v>
      </c>
      <c r="X531" s="4">
        <v>0</v>
      </c>
      <c r="Y531" s="5">
        <v>0</v>
      </c>
    </row>
    <row r="532" spans="1:25" x14ac:dyDescent="0.25">
      <c r="A532" s="8">
        <v>46308</v>
      </c>
      <c r="B532" s="16">
        <f>YEAR(Tabela32[[#This Row],[Data]])</f>
        <v>2026</v>
      </c>
      <c r="C532" s="16">
        <f>MONTH(Tabela32[[#This Row],[Data]])</f>
        <v>10</v>
      </c>
      <c r="D532" s="4" t="s">
        <v>29</v>
      </c>
      <c r="E532" s="4">
        <v>1</v>
      </c>
      <c r="F532" s="4" t="str">
        <f>IFERROR(VLOOKUP(Tabela32[[#This Row],[Placa]],Planilha2!$A$1:$B$12,2,0),"")</f>
        <v>Sandro</v>
      </c>
      <c r="G532" s="10">
        <v>6267.12</v>
      </c>
      <c r="H532" s="10">
        <v>365974.7</v>
      </c>
      <c r="I532" s="4">
        <v>618</v>
      </c>
      <c r="J532" s="17">
        <f>IFERROR(Tabela32[[#This Row],[Valor Frete]]/Tabela32[[#This Row],[Valor Mercadoria]],"")</f>
        <v>1.712446242868701E-2</v>
      </c>
      <c r="K532" s="11">
        <v>0.29166666666666669</v>
      </c>
      <c r="L532" s="15">
        <v>0.76041666666666663</v>
      </c>
      <c r="M532" s="15">
        <f>Tabela32[[#This Row],[Hr Chegada]]-Tabela32[[#This Row],[Hr Saida]]</f>
        <v>0.46874999999999994</v>
      </c>
      <c r="N532" s="4">
        <v>276917</v>
      </c>
      <c r="O532" s="4">
        <v>276963</v>
      </c>
      <c r="P532" s="4">
        <f>Tabela32[[#This Row],[Km Chegada]]-Tabela32[[#This Row],[Km Saída]]</f>
        <v>46</v>
      </c>
      <c r="Q532" s="4">
        <v>167</v>
      </c>
      <c r="R532" s="4">
        <v>7</v>
      </c>
      <c r="S532" s="4">
        <v>7</v>
      </c>
      <c r="T532" s="12">
        <f>Tabela32[[#This Row],[Entregas]]-Tabela32[[#This Row],[Realizadas]]</f>
        <v>0</v>
      </c>
      <c r="U532" s="18">
        <f>Tabela32[[#This Row],[Realizadas]]/Tabela32[[#This Row],[Entregas]]</f>
        <v>1</v>
      </c>
      <c r="V532" s="19" t="str">
        <f>IF(Tabela32[[#This Row],[% Entrega]]&gt;=96%,"Atendeu a Meta","Não Atendeu a Meta")</f>
        <v>Atendeu a Meta</v>
      </c>
      <c r="W532" s="4" t="s">
        <v>40</v>
      </c>
      <c r="X532" s="4">
        <v>0</v>
      </c>
      <c r="Y532" s="5">
        <v>0</v>
      </c>
    </row>
    <row r="533" spans="1:25" x14ac:dyDescent="0.25">
      <c r="A533" s="8">
        <v>46308</v>
      </c>
      <c r="B533" s="16">
        <f>YEAR(Tabela32[[#This Row],[Data]])</f>
        <v>2026</v>
      </c>
      <c r="C533" s="16">
        <f>MONTH(Tabela32[[#This Row],[Data]])</f>
        <v>10</v>
      </c>
      <c r="D533" s="4" t="s">
        <v>53</v>
      </c>
      <c r="E533" s="4">
        <v>3</v>
      </c>
      <c r="F533" s="4" t="str">
        <f>IFERROR(VLOOKUP(Tabela32[[#This Row],[Placa]],Planilha2!$A$1:$B$12,2,0),"")</f>
        <v>Arnaldo</v>
      </c>
      <c r="G533" s="10">
        <v>7340.19</v>
      </c>
      <c r="H533" s="10">
        <v>77754.899999999994</v>
      </c>
      <c r="I533" s="4">
        <v>2073</v>
      </c>
      <c r="J533" s="17">
        <f>IFERROR(Tabela32[[#This Row],[Valor Frete]]/Tabela32[[#This Row],[Valor Mercadoria]],"")</f>
        <v>9.440163899638479E-2</v>
      </c>
      <c r="K533" s="11">
        <v>0.3125</v>
      </c>
      <c r="L533" s="15">
        <v>0.76388888888888884</v>
      </c>
      <c r="M533" s="15">
        <f>Tabela32[[#This Row],[Hr Chegada]]-Tabela32[[#This Row],[Hr Saida]]</f>
        <v>0.45138888888888884</v>
      </c>
      <c r="N533" s="4">
        <v>14782</v>
      </c>
      <c r="O533" s="4">
        <v>14835</v>
      </c>
      <c r="P533" s="4">
        <f>Tabela32[[#This Row],[Km Chegada]]-Tabela32[[#This Row],[Km Saída]]</f>
        <v>53</v>
      </c>
      <c r="Q533" s="4">
        <v>106</v>
      </c>
      <c r="R533" s="4">
        <v>14</v>
      </c>
      <c r="S533" s="4">
        <v>14</v>
      </c>
      <c r="T533" s="12">
        <f>Tabela32[[#This Row],[Entregas]]-Tabela32[[#This Row],[Realizadas]]</f>
        <v>0</v>
      </c>
      <c r="U533" s="18">
        <f>Tabela32[[#This Row],[Realizadas]]/Tabela32[[#This Row],[Entregas]]</f>
        <v>1</v>
      </c>
      <c r="V533" s="19" t="str">
        <f>IF(Tabela32[[#This Row],[% Entrega]]&gt;=96%,"Atendeu a Meta","Não Atendeu a Meta")</f>
        <v>Atendeu a Meta</v>
      </c>
      <c r="W533" s="4" t="s">
        <v>39</v>
      </c>
      <c r="X533" s="4">
        <v>0</v>
      </c>
      <c r="Y533" s="5">
        <v>0</v>
      </c>
    </row>
    <row r="534" spans="1:25" x14ac:dyDescent="0.25">
      <c r="A534" s="8">
        <v>46309</v>
      </c>
      <c r="B534" s="16">
        <f>YEAR(Tabela32[[#This Row],[Data]])</f>
        <v>2026</v>
      </c>
      <c r="C534" s="16">
        <f>MONTH(Tabela32[[#This Row],[Data]])</f>
        <v>10</v>
      </c>
      <c r="D534" s="4" t="s">
        <v>33</v>
      </c>
      <c r="E534" s="4">
        <v>1</v>
      </c>
      <c r="F534" s="4" t="str">
        <f>IFERROR(VLOOKUP(Tabela32[[#This Row],[Placa]],Planilha2!$A$1:$B$12,2,0),"")</f>
        <v>Paulo</v>
      </c>
      <c r="G534" s="10">
        <v>1098.01</v>
      </c>
      <c r="H534" s="10">
        <v>20422.439999999999</v>
      </c>
      <c r="I534" s="4">
        <v>46</v>
      </c>
      <c r="J534" s="17">
        <f>IFERROR(Tabela32[[#This Row],[Valor Frete]]/Tabela32[[#This Row],[Valor Mercadoria]],"")</f>
        <v>5.3764878241777184E-2</v>
      </c>
      <c r="K534" s="11">
        <v>0.3125</v>
      </c>
      <c r="L534" s="15">
        <v>0.46527777777777779</v>
      </c>
      <c r="M534" s="15">
        <f>Tabela32[[#This Row],[Hr Chegada]]-Tabela32[[#This Row],[Hr Saida]]</f>
        <v>0.15277777777777779</v>
      </c>
      <c r="N534" s="4">
        <v>157213</v>
      </c>
      <c r="O534" s="4">
        <v>157244</v>
      </c>
      <c r="P534" s="4">
        <f>Tabela32[[#This Row],[Km Chegada]]-Tabela32[[#This Row],[Km Saída]]</f>
        <v>31</v>
      </c>
      <c r="Q534" s="4">
        <v>13</v>
      </c>
      <c r="R534" s="4">
        <v>2</v>
      </c>
      <c r="S534" s="4">
        <v>2</v>
      </c>
      <c r="T534" s="12">
        <f>Tabela32[[#This Row],[Entregas]]-Tabela32[[#This Row],[Realizadas]]</f>
        <v>0</v>
      </c>
      <c r="U534" s="18">
        <f>Tabela32[[#This Row],[Realizadas]]/Tabela32[[#This Row],[Entregas]]</f>
        <v>1</v>
      </c>
      <c r="V534" s="19" t="str">
        <f>IF(Tabela32[[#This Row],[% Entrega]]&gt;=96%,"Atendeu a Meta","Não Atendeu a Meta")</f>
        <v>Atendeu a Meta</v>
      </c>
      <c r="W534" s="4" t="s">
        <v>40</v>
      </c>
      <c r="X534" s="4">
        <v>0</v>
      </c>
      <c r="Y534" s="5">
        <v>0</v>
      </c>
    </row>
    <row r="535" spans="1:25" x14ac:dyDescent="0.25">
      <c r="A535" s="8">
        <v>46309</v>
      </c>
      <c r="B535" s="16">
        <f>YEAR(Tabela32[[#This Row],[Data]])</f>
        <v>2026</v>
      </c>
      <c r="C535" s="16">
        <f>MONTH(Tabela32[[#This Row],[Data]])</f>
        <v>10</v>
      </c>
      <c r="D535" s="4" t="s">
        <v>33</v>
      </c>
      <c r="E535" s="4">
        <v>1</v>
      </c>
      <c r="F535" s="4" t="str">
        <f>IFERROR(VLOOKUP(Tabela32[[#This Row],[Placa]],Planilha2!$A$1:$B$12,2,0),"")</f>
        <v>Paulo</v>
      </c>
      <c r="G535" s="10">
        <v>252.53</v>
      </c>
      <c r="H535" s="10">
        <v>4830.92</v>
      </c>
      <c r="I535" s="4">
        <v>52</v>
      </c>
      <c r="J535" s="17">
        <f>IFERROR(Tabela32[[#This Row],[Valor Frete]]/Tabela32[[#This Row],[Valor Mercadoria]],"")</f>
        <v>5.2273686999577719E-2</v>
      </c>
      <c r="K535" s="11">
        <v>0.54166666666666663</v>
      </c>
      <c r="L535" s="15">
        <v>0.69305555555555554</v>
      </c>
      <c r="M535" s="15">
        <f>Tabela32[[#This Row],[Hr Chegada]]-Tabela32[[#This Row],[Hr Saida]]</f>
        <v>0.15138888888888891</v>
      </c>
      <c r="N535" s="4">
        <v>157244</v>
      </c>
      <c r="O535" s="4">
        <v>157271</v>
      </c>
      <c r="P535" s="4">
        <f>Tabela32[[#This Row],[Km Chegada]]-Tabela32[[#This Row],[Km Saída]]</f>
        <v>27</v>
      </c>
      <c r="Q535" s="4">
        <v>8</v>
      </c>
      <c r="R535" s="4">
        <v>1</v>
      </c>
      <c r="S535" s="4">
        <v>1</v>
      </c>
      <c r="T535" s="12">
        <f>Tabela32[[#This Row],[Entregas]]-Tabela32[[#This Row],[Realizadas]]</f>
        <v>0</v>
      </c>
      <c r="U535" s="18">
        <f>Tabela32[[#This Row],[Realizadas]]/Tabela32[[#This Row],[Entregas]]</f>
        <v>1</v>
      </c>
      <c r="V535" s="19" t="str">
        <f>IF(Tabela32[[#This Row],[% Entrega]]&gt;=96%,"Atendeu a Meta","Não Atendeu a Meta")</f>
        <v>Atendeu a Meta</v>
      </c>
      <c r="W535" s="4" t="s">
        <v>63</v>
      </c>
      <c r="X535" s="4">
        <v>0</v>
      </c>
      <c r="Y535" s="5">
        <v>0</v>
      </c>
    </row>
    <row r="536" spans="1:25" x14ac:dyDescent="0.25">
      <c r="A536" s="8">
        <v>46309</v>
      </c>
      <c r="B536" s="16">
        <f>YEAR(Tabela32[[#This Row],[Data]])</f>
        <v>2026</v>
      </c>
      <c r="C536" s="16">
        <f>MONTH(Tabela32[[#This Row],[Data]])</f>
        <v>10</v>
      </c>
      <c r="D536" s="4" t="s">
        <v>29</v>
      </c>
      <c r="E536" s="4">
        <v>1</v>
      </c>
      <c r="F536" s="4" t="str">
        <f>IFERROR(VLOOKUP(Tabela32[[#This Row],[Placa]],Planilha2!$A$1:$B$12,2,0),"")</f>
        <v>Sandro</v>
      </c>
      <c r="G536" s="10">
        <v>11128.1</v>
      </c>
      <c r="H536" s="10">
        <v>187786.85</v>
      </c>
      <c r="I536" s="4">
        <v>1893</v>
      </c>
      <c r="J536" s="17">
        <f>IFERROR(Tabela32[[#This Row],[Valor Frete]]/Tabela32[[#This Row],[Valor Mercadoria]],"")</f>
        <v>5.925920797968548E-2</v>
      </c>
      <c r="K536" s="11">
        <v>0.29166666666666669</v>
      </c>
      <c r="L536" s="15">
        <v>0.54166666666666663</v>
      </c>
      <c r="M536" s="15">
        <f>Tabela32[[#This Row],[Hr Chegada]]-Tabela32[[#This Row],[Hr Saida]]</f>
        <v>0.24999999999999994</v>
      </c>
      <c r="N536" s="4">
        <v>276963</v>
      </c>
      <c r="O536" s="4">
        <v>276973</v>
      </c>
      <c r="P536" s="4">
        <f>Tabela32[[#This Row],[Km Chegada]]-Tabela32[[#This Row],[Km Saída]]</f>
        <v>10</v>
      </c>
      <c r="Q536" s="4">
        <v>126</v>
      </c>
      <c r="R536" s="4">
        <v>15</v>
      </c>
      <c r="S536" s="4">
        <v>15</v>
      </c>
      <c r="T536" s="12">
        <f>Tabela32[[#This Row],[Entregas]]-Tabela32[[#This Row],[Realizadas]]</f>
        <v>0</v>
      </c>
      <c r="U536" s="18">
        <f>Tabela32[[#This Row],[Realizadas]]/Tabela32[[#This Row],[Entregas]]</f>
        <v>1</v>
      </c>
      <c r="V536" s="19" t="str">
        <f>IF(Tabela32[[#This Row],[% Entrega]]&gt;=96%,"Atendeu a Meta","Não Atendeu a Meta")</f>
        <v>Atendeu a Meta</v>
      </c>
      <c r="W536" s="4" t="s">
        <v>63</v>
      </c>
      <c r="X536" s="4">
        <v>0</v>
      </c>
      <c r="Y536" s="5">
        <v>0</v>
      </c>
    </row>
    <row r="537" spans="1:25" x14ac:dyDescent="0.25">
      <c r="A537" s="8">
        <v>46309</v>
      </c>
      <c r="B537" s="16">
        <f>YEAR(Tabela32[[#This Row],[Data]])</f>
        <v>2026</v>
      </c>
      <c r="C537" s="16">
        <f>MONTH(Tabela32[[#This Row],[Data]])</f>
        <v>10</v>
      </c>
      <c r="D537" s="4" t="s">
        <v>29</v>
      </c>
      <c r="E537" s="4">
        <v>1</v>
      </c>
      <c r="F537" s="4" t="str">
        <f>IFERROR(VLOOKUP(Tabela32[[#This Row],[Placa]],Planilha2!$A$1:$B$12,2,0),"")</f>
        <v>Sandro</v>
      </c>
      <c r="G537" s="10">
        <v>8095.23</v>
      </c>
      <c r="H537" s="10">
        <v>137132.24</v>
      </c>
      <c r="I537" s="4">
        <v>1131</v>
      </c>
      <c r="J537" s="17">
        <f>IFERROR(Tabela32[[#This Row],[Valor Frete]]/Tabela32[[#This Row],[Valor Mercadoria]],"")</f>
        <v>5.9032288833027156E-2</v>
      </c>
      <c r="K537" s="11">
        <v>0.54166666666666663</v>
      </c>
      <c r="L537" s="15">
        <v>0.80069444444444449</v>
      </c>
      <c r="M537" s="15">
        <f>Tabela32[[#This Row],[Hr Chegada]]-Tabela32[[#This Row],[Hr Saida]]</f>
        <v>0.25902777777777786</v>
      </c>
      <c r="N537" s="4">
        <v>276973</v>
      </c>
      <c r="O537" s="4">
        <v>277016</v>
      </c>
      <c r="P537" s="4">
        <f>Tabela32[[#This Row],[Km Chegada]]-Tabela32[[#This Row],[Km Saída]]</f>
        <v>43</v>
      </c>
      <c r="Q537" s="4">
        <v>22</v>
      </c>
      <c r="R537" s="4">
        <v>3</v>
      </c>
      <c r="S537" s="4">
        <v>3</v>
      </c>
      <c r="T537" s="12">
        <f>Tabela32[[#This Row],[Entregas]]-Tabela32[[#This Row],[Realizadas]]</f>
        <v>0</v>
      </c>
      <c r="U537" s="18">
        <f>Tabela32[[#This Row],[Realizadas]]/Tabela32[[#This Row],[Entregas]]</f>
        <v>1</v>
      </c>
      <c r="V537" s="19" t="str">
        <f>IF(Tabela32[[#This Row],[% Entrega]]&gt;=96%,"Atendeu a Meta","Não Atendeu a Meta")</f>
        <v>Atendeu a Meta</v>
      </c>
      <c r="W537" s="4" t="s">
        <v>40</v>
      </c>
      <c r="X537" s="4">
        <v>0</v>
      </c>
      <c r="Y537" s="5">
        <v>0</v>
      </c>
    </row>
    <row r="538" spans="1:25" x14ac:dyDescent="0.25">
      <c r="A538" s="8">
        <v>46309</v>
      </c>
      <c r="B538" s="16">
        <f>YEAR(Tabela32[[#This Row],[Data]])</f>
        <v>2026</v>
      </c>
      <c r="C538" s="16">
        <f>MONTH(Tabela32[[#This Row],[Data]])</f>
        <v>10</v>
      </c>
      <c r="D538" s="4" t="s">
        <v>97</v>
      </c>
      <c r="E538" s="4">
        <v>1</v>
      </c>
      <c r="F538" s="4" t="str">
        <f>IFERROR(VLOOKUP(Tabela32[[#This Row],[Placa]],Planilha2!$A$1:$B$12,2,0),"")</f>
        <v>Manoel</v>
      </c>
      <c r="G538" s="10">
        <v>150.69</v>
      </c>
      <c r="H538" s="10">
        <v>2452.3200000000002</v>
      </c>
      <c r="I538" s="4">
        <v>28</v>
      </c>
      <c r="J538" s="17">
        <f>IFERROR(Tabela32[[#This Row],[Valor Frete]]/Tabela32[[#This Row],[Valor Mercadoria]],"")</f>
        <v>6.1447935016637305E-2</v>
      </c>
      <c r="K538" s="11">
        <v>0.34027777777777779</v>
      </c>
      <c r="L538" s="15">
        <v>0.5</v>
      </c>
      <c r="M538" s="15">
        <f>Tabela32[[#This Row],[Hr Chegada]]-Tabela32[[#This Row],[Hr Saida]]</f>
        <v>0.15972222222222221</v>
      </c>
      <c r="N538" s="4">
        <v>64003</v>
      </c>
      <c r="O538" s="4">
        <v>64090</v>
      </c>
      <c r="P538" s="4">
        <f>Tabela32[[#This Row],[Km Chegada]]-Tabela32[[#This Row],[Km Saída]]</f>
        <v>87</v>
      </c>
      <c r="Q538" s="4">
        <v>4</v>
      </c>
      <c r="R538" s="4">
        <v>1</v>
      </c>
      <c r="S538" s="4">
        <v>1</v>
      </c>
      <c r="T538" s="12">
        <f>Tabela32[[#This Row],[Entregas]]-Tabela32[[#This Row],[Realizadas]]</f>
        <v>0</v>
      </c>
      <c r="U538" s="18">
        <f>Tabela32[[#This Row],[Realizadas]]/Tabela32[[#This Row],[Entregas]]</f>
        <v>1</v>
      </c>
      <c r="V538" s="19" t="str">
        <f>IF(Tabela32[[#This Row],[% Entrega]]&gt;=96%,"Atendeu a Meta","Não Atendeu a Meta")</f>
        <v>Atendeu a Meta</v>
      </c>
      <c r="W538" s="4" t="s">
        <v>91</v>
      </c>
      <c r="X538" s="4">
        <v>0</v>
      </c>
      <c r="Y538" s="5">
        <v>0</v>
      </c>
    </row>
    <row r="539" spans="1:25" x14ac:dyDescent="0.25">
      <c r="A539" s="8">
        <v>46309</v>
      </c>
      <c r="B539" s="16">
        <f>YEAR(Tabela32[[#This Row],[Data]])</f>
        <v>2026</v>
      </c>
      <c r="C539" s="16">
        <f>MONTH(Tabela32[[#This Row],[Data]])</f>
        <v>10</v>
      </c>
      <c r="D539" s="4" t="s">
        <v>35</v>
      </c>
      <c r="E539" s="4">
        <v>2</v>
      </c>
      <c r="F539" s="4" t="str">
        <f>IFERROR(VLOOKUP(Tabela32[[#This Row],[Placa]],Planilha2!$A$1:$B$12,2,0),"")</f>
        <v>Osvaldo</v>
      </c>
      <c r="G539" s="10">
        <v>14455.55</v>
      </c>
      <c r="H539" s="10">
        <v>238709.99</v>
      </c>
      <c r="I539" s="4">
        <v>309</v>
      </c>
      <c r="J539" s="17">
        <f>IFERROR(Tabela32[[#This Row],[Valor Frete]]/Tabela32[[#This Row],[Valor Mercadoria]],"")</f>
        <v>6.0556954486906893E-2</v>
      </c>
      <c r="K539" s="11">
        <v>0.27083333333333331</v>
      </c>
      <c r="L539" s="15">
        <v>0.72916666666666663</v>
      </c>
      <c r="M539" s="15">
        <f>Tabela32[[#This Row],[Hr Chegada]]-Tabela32[[#This Row],[Hr Saida]]</f>
        <v>0.45833333333333331</v>
      </c>
      <c r="N539" s="4">
        <v>144874</v>
      </c>
      <c r="O539" s="4">
        <v>144928</v>
      </c>
      <c r="P539" s="4">
        <f>Tabela32[[#This Row],[Km Chegada]]-Tabela32[[#This Row],[Km Saída]]</f>
        <v>54</v>
      </c>
      <c r="Q539" s="4">
        <v>309</v>
      </c>
      <c r="R539" s="4">
        <v>49</v>
      </c>
      <c r="S539" s="4">
        <v>32</v>
      </c>
      <c r="T539" s="12">
        <f>Tabela32[[#This Row],[Entregas]]-Tabela32[[#This Row],[Realizadas]]</f>
        <v>17</v>
      </c>
      <c r="U539" s="18">
        <f>Tabela32[[#This Row],[Realizadas]]/Tabela32[[#This Row],[Entregas]]</f>
        <v>0.65306122448979587</v>
      </c>
      <c r="V539" s="19" t="str">
        <f>IF(Tabela32[[#This Row],[% Entrega]]&gt;=96%,"Atendeu a Meta","Não Atendeu a Meta")</f>
        <v>Não Atendeu a Meta</v>
      </c>
      <c r="W539" s="4" t="s">
        <v>39</v>
      </c>
      <c r="X539" s="4">
        <v>17</v>
      </c>
      <c r="Y539" s="5" t="s">
        <v>101</v>
      </c>
    </row>
    <row r="540" spans="1:25" x14ac:dyDescent="0.25">
      <c r="A540" s="8">
        <v>46309</v>
      </c>
      <c r="B540" s="16">
        <f>YEAR(Tabela32[[#This Row],[Data]])</f>
        <v>2026</v>
      </c>
      <c r="C540" s="16">
        <f>MONTH(Tabela32[[#This Row],[Data]])</f>
        <v>10</v>
      </c>
      <c r="D540" s="4" t="s">
        <v>31</v>
      </c>
      <c r="E540" s="4">
        <v>3</v>
      </c>
      <c r="F540" s="4" t="str">
        <f>IFERROR(VLOOKUP(Tabela32[[#This Row],[Placa]],Planilha2!$A$1:$B$12,2,0),"")</f>
        <v>Jerson</v>
      </c>
      <c r="G540" s="10">
        <v>13122.86</v>
      </c>
      <c r="H540" s="10">
        <v>207843.31</v>
      </c>
      <c r="I540" s="4">
        <v>384</v>
      </c>
      <c r="J540" s="17">
        <f>IFERROR(Tabela32[[#This Row],[Valor Frete]]/Tabela32[[#This Row],[Valor Mercadoria]],"")</f>
        <v>6.3138236203031994E-2</v>
      </c>
      <c r="K540" s="11">
        <v>0.2951388888888889</v>
      </c>
      <c r="L540" s="15">
        <v>0.77083333333333337</v>
      </c>
      <c r="M540" s="15">
        <f>Tabela32[[#This Row],[Hr Chegada]]-Tabela32[[#This Row],[Hr Saida]]</f>
        <v>0.47569444444444448</v>
      </c>
      <c r="N540" s="4">
        <v>282092</v>
      </c>
      <c r="O540" s="4">
        <v>282155</v>
      </c>
      <c r="P540" s="4">
        <f>Tabela32[[#This Row],[Km Chegada]]-Tabela32[[#This Row],[Km Saída]]</f>
        <v>63</v>
      </c>
      <c r="Q540" s="4">
        <v>384</v>
      </c>
      <c r="R540" s="4">
        <v>23</v>
      </c>
      <c r="S540" s="4">
        <v>23</v>
      </c>
      <c r="T540" s="12">
        <f>Tabela32[[#This Row],[Entregas]]-Tabela32[[#This Row],[Realizadas]]</f>
        <v>0</v>
      </c>
      <c r="U540" s="18">
        <f>Tabela32[[#This Row],[Realizadas]]/Tabela32[[#This Row],[Entregas]]</f>
        <v>1</v>
      </c>
      <c r="V540" s="19" t="str">
        <f>IF(Tabela32[[#This Row],[% Entrega]]&gt;=96%,"Atendeu a Meta","Não Atendeu a Meta")</f>
        <v>Atendeu a Meta</v>
      </c>
      <c r="W540" s="4" t="s">
        <v>39</v>
      </c>
      <c r="X540" s="4">
        <v>0</v>
      </c>
      <c r="Y540" s="5">
        <v>38.380000000000003</v>
      </c>
    </row>
    <row r="541" spans="1:25" x14ac:dyDescent="0.25">
      <c r="A541" s="8">
        <v>46309</v>
      </c>
      <c r="B541" s="16">
        <f>YEAR(Tabela32[[#This Row],[Data]])</f>
        <v>2026</v>
      </c>
      <c r="C541" s="16">
        <f>MONTH(Tabela32[[#This Row],[Data]])</f>
        <v>10</v>
      </c>
      <c r="D541" s="4" t="s">
        <v>23</v>
      </c>
      <c r="E541" s="4">
        <v>5</v>
      </c>
      <c r="F541" s="4" t="str">
        <f>IFERROR(VLOOKUP(Tabela32[[#This Row],[Placa]],Planilha2!$A$1:$B$12,2,0),"")</f>
        <v>William</v>
      </c>
      <c r="G541" s="10">
        <v>7959.01</v>
      </c>
      <c r="H541" s="10">
        <v>154841.13</v>
      </c>
      <c r="I541" s="4">
        <v>1358</v>
      </c>
      <c r="J541" s="17">
        <f>IFERROR(Tabela32[[#This Row],[Valor Frete]]/Tabela32[[#This Row],[Valor Mercadoria]],"")</f>
        <v>5.140113611932437E-2</v>
      </c>
      <c r="K541" s="11">
        <v>0.29166666666666669</v>
      </c>
      <c r="L541" s="15">
        <v>0.82777777777777772</v>
      </c>
      <c r="M541" s="15">
        <f>Tabela32[[#This Row],[Hr Chegada]]-Tabela32[[#This Row],[Hr Saida]]</f>
        <v>0.53611111111111098</v>
      </c>
      <c r="N541" s="4">
        <v>127015</v>
      </c>
      <c r="O541" s="4">
        <v>127114</v>
      </c>
      <c r="P541" s="4">
        <f>Tabela32[[#This Row],[Km Chegada]]-Tabela32[[#This Row],[Km Saída]]</f>
        <v>99</v>
      </c>
      <c r="Q541" s="4">
        <v>206</v>
      </c>
      <c r="R541" s="4">
        <v>33</v>
      </c>
      <c r="S541" s="4">
        <v>33</v>
      </c>
      <c r="T541" s="12">
        <f>Tabela32[[#This Row],[Entregas]]-Tabela32[[#This Row],[Realizadas]]</f>
        <v>0</v>
      </c>
      <c r="U541" s="18">
        <f>Tabela32[[#This Row],[Realizadas]]/Tabela32[[#This Row],[Entregas]]</f>
        <v>1</v>
      </c>
      <c r="V541" s="19" t="str">
        <f>IF(Tabela32[[#This Row],[% Entrega]]&gt;=96%,"Atendeu a Meta","Não Atendeu a Meta")</f>
        <v>Atendeu a Meta</v>
      </c>
      <c r="W541" s="4" t="s">
        <v>39</v>
      </c>
      <c r="X541" s="4">
        <v>0</v>
      </c>
      <c r="Y541" s="5">
        <v>0</v>
      </c>
    </row>
    <row r="542" spans="1:25" x14ac:dyDescent="0.25">
      <c r="A542" s="8">
        <v>46309</v>
      </c>
      <c r="B542" s="16">
        <f>YEAR(Tabela32[[#This Row],[Data]])</f>
        <v>2026</v>
      </c>
      <c r="C542" s="16">
        <f>MONTH(Tabela32[[#This Row],[Data]])</f>
        <v>10</v>
      </c>
      <c r="D542" s="4" t="s">
        <v>28</v>
      </c>
      <c r="E542" s="4">
        <v>11</v>
      </c>
      <c r="F542" s="4" t="str">
        <f>IFERROR(VLOOKUP(Tabela32[[#This Row],[Placa]],Planilha2!$A$1:$B$12,2,0),"")</f>
        <v>Edilson</v>
      </c>
      <c r="G542" s="10">
        <v>14890.94</v>
      </c>
      <c r="H542" s="10">
        <v>233814.87</v>
      </c>
      <c r="I542" s="4">
        <v>1742</v>
      </c>
      <c r="J542" s="17">
        <f>IFERROR(Tabela32[[#This Row],[Valor Frete]]/Tabela32[[#This Row],[Valor Mercadoria]],"")</f>
        <v>6.3686881848019336E-2</v>
      </c>
      <c r="K542" s="11">
        <v>0.27083333333333331</v>
      </c>
      <c r="L542" s="15">
        <v>0.75416666666666665</v>
      </c>
      <c r="M542" s="15">
        <f>Tabela32[[#This Row],[Hr Chegada]]-Tabela32[[#This Row],[Hr Saida]]</f>
        <v>0.48333333333333334</v>
      </c>
      <c r="N542" s="4">
        <v>107222</v>
      </c>
      <c r="O542" s="4">
        <v>107359</v>
      </c>
      <c r="P542" s="4">
        <f>Tabela32[[#This Row],[Km Chegada]]-Tabela32[[#This Row],[Km Saída]]</f>
        <v>137</v>
      </c>
      <c r="Q542" s="4">
        <v>263</v>
      </c>
      <c r="R542" s="4">
        <v>55</v>
      </c>
      <c r="S542" s="4">
        <v>55</v>
      </c>
      <c r="T542" s="12">
        <f>Tabela32[[#This Row],[Entregas]]-Tabela32[[#This Row],[Realizadas]]</f>
        <v>0</v>
      </c>
      <c r="U542" s="18">
        <f>Tabela32[[#This Row],[Realizadas]]/Tabela32[[#This Row],[Entregas]]</f>
        <v>1</v>
      </c>
      <c r="V542" s="19" t="str">
        <f>IF(Tabela32[[#This Row],[% Entrega]]&gt;=96%,"Atendeu a Meta","Não Atendeu a Meta")</f>
        <v>Atendeu a Meta</v>
      </c>
      <c r="W542" s="4" t="s">
        <v>41</v>
      </c>
      <c r="X542" s="4">
        <v>0</v>
      </c>
      <c r="Y542" s="5">
        <v>0</v>
      </c>
    </row>
    <row r="543" spans="1:25" x14ac:dyDescent="0.25">
      <c r="A543" s="8">
        <v>46309</v>
      </c>
      <c r="B543" s="16">
        <f>YEAR(Tabela32[[#This Row],[Data]])</f>
        <v>2026</v>
      </c>
      <c r="C543" s="16">
        <f>MONTH(Tabela32[[#This Row],[Data]])</f>
        <v>10</v>
      </c>
      <c r="D543" s="4" t="s">
        <v>53</v>
      </c>
      <c r="E543" s="4">
        <v>1</v>
      </c>
      <c r="F543" s="4" t="str">
        <f>IFERROR(VLOOKUP(Tabela32[[#This Row],[Placa]],Planilha2!$A$1:$B$12,2,0),"")</f>
        <v>Arnaldo</v>
      </c>
      <c r="G543" s="10">
        <v>6968.18</v>
      </c>
      <c r="H543" s="10">
        <v>127048</v>
      </c>
      <c r="I543" s="4">
        <v>1036</v>
      </c>
      <c r="J543" s="17">
        <f>IFERROR(Tabela32[[#This Row],[Valor Frete]]/Tabela32[[#This Row],[Valor Mercadoria]],"")</f>
        <v>5.4846829544738997E-2</v>
      </c>
      <c r="K543" s="11">
        <v>0.31805555555555554</v>
      </c>
      <c r="L543" s="15">
        <v>0.77569444444444446</v>
      </c>
      <c r="M543" s="15">
        <f>Tabela32[[#This Row],[Hr Chegada]]-Tabela32[[#This Row],[Hr Saida]]</f>
        <v>0.45763888888888893</v>
      </c>
      <c r="N543" s="4">
        <v>14836</v>
      </c>
      <c r="O543" s="4">
        <v>14887</v>
      </c>
      <c r="P543" s="4">
        <f>Tabela32[[#This Row],[Km Chegada]]-Tabela32[[#This Row],[Km Saída]]</f>
        <v>51</v>
      </c>
      <c r="Q543" s="4">
        <v>128</v>
      </c>
      <c r="R543" s="4">
        <v>20</v>
      </c>
      <c r="S543" s="4">
        <v>20</v>
      </c>
      <c r="T543" s="12">
        <f>Tabela32[[#This Row],[Entregas]]-Tabela32[[#This Row],[Realizadas]]</f>
        <v>0</v>
      </c>
      <c r="U543" s="18">
        <f>Tabela32[[#This Row],[Realizadas]]/Tabela32[[#This Row],[Entregas]]</f>
        <v>1</v>
      </c>
      <c r="V543" s="19" t="str">
        <f>IF(Tabela32[[#This Row],[% Entrega]]&gt;=96%,"Atendeu a Meta","Não Atendeu a Meta")</f>
        <v>Atendeu a Meta</v>
      </c>
      <c r="W543" s="4" t="s">
        <v>43</v>
      </c>
      <c r="X543" s="4">
        <v>0</v>
      </c>
      <c r="Y543" s="5">
        <v>0</v>
      </c>
    </row>
    <row r="544" spans="1:25" x14ac:dyDescent="0.25">
      <c r="A544" s="8">
        <v>46309</v>
      </c>
      <c r="B544" s="16">
        <f>YEAR(Tabela32[[#This Row],[Data]])</f>
        <v>2026</v>
      </c>
      <c r="C544" s="16">
        <f>MONTH(Tabela32[[#This Row],[Data]])</f>
        <v>10</v>
      </c>
      <c r="D544" s="4" t="s">
        <v>25</v>
      </c>
      <c r="E544" s="4">
        <v>5</v>
      </c>
      <c r="F544" s="4" t="str">
        <f>IFERROR(VLOOKUP(Tabela32[[#This Row],[Placa]],Planilha2!$A$1:$B$12,2,0),"")</f>
        <v>Gilberto</v>
      </c>
      <c r="G544" s="10">
        <v>6502.31</v>
      </c>
      <c r="H544" s="10">
        <v>265619.03000000003</v>
      </c>
      <c r="I544" s="4">
        <v>1193</v>
      </c>
      <c r="J544" s="17">
        <f>IFERROR(Tabela32[[#This Row],[Valor Frete]]/Tabela32[[#This Row],[Valor Mercadoria]],"")</f>
        <v>2.447983489737162E-2</v>
      </c>
      <c r="K544" s="11">
        <v>0.33333333333333331</v>
      </c>
      <c r="L544" s="15">
        <v>0.74305555555555558</v>
      </c>
      <c r="M544" s="15">
        <f>Tabela32[[#This Row],[Hr Chegada]]-Tabela32[[#This Row],[Hr Saida]]</f>
        <v>0.40972222222222227</v>
      </c>
      <c r="N544" s="4">
        <v>120995</v>
      </c>
      <c r="O544" s="4">
        <v>121026</v>
      </c>
      <c r="P544" s="4">
        <f>Tabela32[[#This Row],[Km Chegada]]-Tabela32[[#This Row],[Km Saída]]</f>
        <v>31</v>
      </c>
      <c r="Q544" s="4">
        <v>90</v>
      </c>
      <c r="R544" s="4">
        <v>6</v>
      </c>
      <c r="S544" s="4">
        <v>6</v>
      </c>
      <c r="T544" s="12">
        <f>Tabela32[[#This Row],[Entregas]]-Tabela32[[#This Row],[Realizadas]]</f>
        <v>0</v>
      </c>
      <c r="U544" s="18">
        <f>Tabela32[[#This Row],[Realizadas]]/Tabela32[[#This Row],[Entregas]]</f>
        <v>1</v>
      </c>
      <c r="V544" s="19" t="str">
        <f>IF(Tabela32[[#This Row],[% Entrega]]&gt;=96%,"Atendeu a Meta","Não Atendeu a Meta")</f>
        <v>Atendeu a Meta</v>
      </c>
      <c r="W544" s="4" t="s">
        <v>39</v>
      </c>
      <c r="X544" s="4">
        <v>0</v>
      </c>
      <c r="Y544" s="5">
        <v>0</v>
      </c>
    </row>
    <row r="545" spans="1:25" x14ac:dyDescent="0.25">
      <c r="A545" s="8">
        <v>46309</v>
      </c>
      <c r="B545" s="16">
        <f>YEAR(Tabela32[[#This Row],[Data]])</f>
        <v>2026</v>
      </c>
      <c r="C545" s="16">
        <f>MONTH(Tabela32[[#This Row],[Data]])</f>
        <v>10</v>
      </c>
      <c r="D545" s="4" t="s">
        <v>22</v>
      </c>
      <c r="E545" s="4">
        <v>1</v>
      </c>
      <c r="F545" s="4" t="str">
        <f>IFERROR(VLOOKUP(Tabela32[[#This Row],[Placa]],Planilha2!$A$1:$B$12,2,0),"")</f>
        <v>Wesley</v>
      </c>
      <c r="G545" s="10">
        <v>3867.98</v>
      </c>
      <c r="H545" s="10">
        <v>64157.66</v>
      </c>
      <c r="I545" s="4">
        <v>614</v>
      </c>
      <c r="J545" s="17">
        <f>IFERROR(Tabela32[[#This Row],[Valor Frete]]/Tabela32[[#This Row],[Valor Mercadoria]],"")</f>
        <v>6.0288670129178649E-2</v>
      </c>
      <c r="K545" s="11">
        <v>0.3125</v>
      </c>
      <c r="L545" s="15">
        <v>0.78263888888888888</v>
      </c>
      <c r="M545" s="15">
        <f>Tabela32[[#This Row],[Hr Chegada]]-Tabela32[[#This Row],[Hr Saida]]</f>
        <v>0.47013888888888888</v>
      </c>
      <c r="N545" s="4">
        <v>306371</v>
      </c>
      <c r="O545" s="4">
        <v>306473</v>
      </c>
      <c r="P545" s="4">
        <f>Tabela32[[#This Row],[Km Chegada]]-Tabela32[[#This Row],[Km Saída]]</f>
        <v>102</v>
      </c>
      <c r="Q545" s="4">
        <v>68</v>
      </c>
      <c r="R545" s="4">
        <v>11</v>
      </c>
      <c r="S545" s="4">
        <v>11</v>
      </c>
      <c r="T545" s="12">
        <f>Tabela32[[#This Row],[Entregas]]-Tabela32[[#This Row],[Realizadas]]</f>
        <v>0</v>
      </c>
      <c r="U545" s="18">
        <f>Tabela32[[#This Row],[Realizadas]]/Tabela32[[#This Row],[Entregas]]</f>
        <v>1</v>
      </c>
      <c r="V545" s="19" t="str">
        <f>IF(Tabela32[[#This Row],[% Entrega]]&gt;=96%,"Atendeu a Meta","Não Atendeu a Meta")</f>
        <v>Atendeu a Meta</v>
      </c>
      <c r="W545" s="4" t="s">
        <v>43</v>
      </c>
      <c r="X545" s="4">
        <v>0</v>
      </c>
      <c r="Y545" s="5">
        <v>0</v>
      </c>
    </row>
    <row r="546" spans="1:25" x14ac:dyDescent="0.25">
      <c r="A546" s="8">
        <v>46309</v>
      </c>
      <c r="B546" s="16">
        <f>YEAR(Tabela32[[#This Row],[Data]])</f>
        <v>2026</v>
      </c>
      <c r="C546" s="16">
        <f>MONTH(Tabela32[[#This Row],[Data]])</f>
        <v>10</v>
      </c>
      <c r="D546" s="4" t="s">
        <v>27</v>
      </c>
      <c r="E546" s="4">
        <v>1</v>
      </c>
      <c r="F546" s="4" t="str">
        <f>IFERROR(VLOOKUP(Tabela32[[#This Row],[Placa]],Planilha2!$A$1:$B$12,2,0),"")</f>
        <v>Rosinaldo</v>
      </c>
      <c r="G546" s="10">
        <v>4424.1499999999996</v>
      </c>
      <c r="H546" s="10">
        <v>63867.06</v>
      </c>
      <c r="I546" s="4">
        <v>1147</v>
      </c>
      <c r="J546" s="17">
        <f>IFERROR(Tabela32[[#This Row],[Valor Frete]]/Tabela32[[#This Row],[Valor Mercadoria]],"")</f>
        <v>6.9271233089483061E-2</v>
      </c>
      <c r="K546" s="11">
        <v>0.3125</v>
      </c>
      <c r="L546" s="15">
        <v>0.70138888888888884</v>
      </c>
      <c r="M546" s="15">
        <f>Tabela32[[#This Row],[Hr Chegada]]-Tabela32[[#This Row],[Hr Saida]]</f>
        <v>0.38888888888888884</v>
      </c>
      <c r="N546" s="4">
        <v>292552</v>
      </c>
      <c r="O546" s="4">
        <v>292587</v>
      </c>
      <c r="P546" s="4">
        <f>Tabela32[[#This Row],[Km Chegada]]-Tabela32[[#This Row],[Km Saída]]</f>
        <v>35</v>
      </c>
      <c r="Q546" s="4">
        <v>132</v>
      </c>
      <c r="R546" s="4">
        <v>13</v>
      </c>
      <c r="S546" s="4">
        <v>13</v>
      </c>
      <c r="T546" s="12">
        <f>Tabela32[[#This Row],[Entregas]]-Tabela32[[#This Row],[Realizadas]]</f>
        <v>0</v>
      </c>
      <c r="U546" s="18">
        <f>Tabela32[[#This Row],[Realizadas]]/Tabela32[[#This Row],[Entregas]]</f>
        <v>1</v>
      </c>
      <c r="V546" s="19" t="str">
        <f>IF(Tabela32[[#This Row],[% Entrega]]&gt;=96%,"Atendeu a Meta","Não Atendeu a Meta")</f>
        <v>Atendeu a Meta</v>
      </c>
      <c r="W546" s="4" t="s">
        <v>43</v>
      </c>
      <c r="X546" s="4">
        <v>0</v>
      </c>
      <c r="Y546" s="5">
        <v>0</v>
      </c>
    </row>
    <row r="547" spans="1:25" x14ac:dyDescent="0.25">
      <c r="A547" s="8">
        <v>46310</v>
      </c>
      <c r="B547" s="26">
        <f>YEAR(Tabela32[[#This Row],[Data]])</f>
        <v>2026</v>
      </c>
      <c r="C547" s="26">
        <f>MONTH(Tabela32[[#This Row],[Data]])</f>
        <v>10</v>
      </c>
      <c r="D547" s="4" t="s">
        <v>33</v>
      </c>
      <c r="E547" s="4">
        <v>1</v>
      </c>
      <c r="F547" s="4" t="str">
        <f>IFERROR(VLOOKUP(Tabela32[[#This Row],[Placa]],Planilha2!$A$1:$B$12,2,0),"")</f>
        <v>Paulo</v>
      </c>
      <c r="G547" s="10">
        <v>3401.16</v>
      </c>
      <c r="H547" s="10">
        <v>57085.32</v>
      </c>
      <c r="I547" s="4">
        <v>463</v>
      </c>
      <c r="J547" s="17">
        <f>IFERROR(Tabela32[[#This Row],[Valor Frete]]/Tabela32[[#This Row],[Valor Mercadoria]],"")</f>
        <v>5.9580291395406035E-2</v>
      </c>
      <c r="K547" s="11">
        <v>0.3125</v>
      </c>
      <c r="L547" s="15">
        <v>0.76666666666666672</v>
      </c>
      <c r="M547" s="15">
        <f>Tabela32[[#This Row],[Hr Chegada]]-Tabela32[[#This Row],[Hr Saida]]</f>
        <v>0.45416666666666672</v>
      </c>
      <c r="N547" s="4">
        <v>157271</v>
      </c>
      <c r="O547" s="4">
        <v>157454</v>
      </c>
      <c r="P547" s="4">
        <f>Tabela32[[#This Row],[Km Chegada]]-Tabela32[[#This Row],[Km Saída]]</f>
        <v>183</v>
      </c>
      <c r="Q547" s="4">
        <v>76</v>
      </c>
      <c r="R547" s="4">
        <v>13</v>
      </c>
      <c r="S547" s="4">
        <v>13</v>
      </c>
      <c r="T547" s="12">
        <f>Tabela32[[#This Row],[Entregas]]-Tabela32[[#This Row],[Realizadas]]</f>
        <v>0</v>
      </c>
      <c r="U547" s="18">
        <f>Tabela32[[#This Row],[Realizadas]]/Tabela32[[#This Row],[Entregas]]</f>
        <v>1</v>
      </c>
      <c r="V547" s="19" t="str">
        <f>IF(Tabela32[[#This Row],[% Entrega]]&gt;=96%,"Atendeu a Meta","Não Atendeu a Meta")</f>
        <v>Atendeu a Meta</v>
      </c>
      <c r="W547" s="4" t="s">
        <v>40</v>
      </c>
      <c r="X547" s="4">
        <v>0</v>
      </c>
      <c r="Y547" s="5">
        <v>0</v>
      </c>
    </row>
    <row r="548" spans="1:25" x14ac:dyDescent="0.25">
      <c r="A548" s="8">
        <v>46310</v>
      </c>
      <c r="B548" s="26">
        <f>YEAR(Tabela32[[#This Row],[Data]])</f>
        <v>2026</v>
      </c>
      <c r="C548" s="26">
        <f>MONTH(Tabela32[[#This Row],[Data]])</f>
        <v>10</v>
      </c>
      <c r="D548" s="4" t="s">
        <v>29</v>
      </c>
      <c r="E548" s="4">
        <v>1</v>
      </c>
      <c r="F548" s="4" t="str">
        <f>IFERROR(VLOOKUP(Tabela32[[#This Row],[Placa]],Planilha2!$A$1:$B$12,2,0),"")</f>
        <v>Sandro</v>
      </c>
      <c r="G548" s="10">
        <v>5719.08</v>
      </c>
      <c r="H548" s="10">
        <v>171535.65</v>
      </c>
      <c r="I548" s="4">
        <v>1197</v>
      </c>
      <c r="J548" s="17">
        <f>IFERROR(Tabela32[[#This Row],[Valor Frete]]/Tabela32[[#This Row],[Valor Mercadoria]],"")</f>
        <v>3.3340474705986771E-2</v>
      </c>
      <c r="K548" s="11">
        <v>0.29166666666666669</v>
      </c>
      <c r="L548" s="15">
        <v>0.69791666666666663</v>
      </c>
      <c r="M548" s="15">
        <f>Tabela32[[#This Row],[Hr Chegada]]-Tabela32[[#This Row],[Hr Saida]]</f>
        <v>0.40624999999999994</v>
      </c>
      <c r="N548" s="4">
        <v>277016</v>
      </c>
      <c r="O548" s="4">
        <v>277067</v>
      </c>
      <c r="P548" s="4">
        <f>Tabela32[[#This Row],[Km Chegada]]-Tabela32[[#This Row],[Km Saída]]</f>
        <v>51</v>
      </c>
      <c r="Q548" s="4">
        <v>2</v>
      </c>
      <c r="R548" s="4">
        <v>1</v>
      </c>
      <c r="S548" s="4">
        <v>1</v>
      </c>
      <c r="T548" s="12">
        <f>Tabela32[[#This Row],[Entregas]]-Tabela32[[#This Row],[Realizadas]]</f>
        <v>0</v>
      </c>
      <c r="U548" s="18">
        <f>Tabela32[[#This Row],[Realizadas]]/Tabela32[[#This Row],[Entregas]]</f>
        <v>1</v>
      </c>
      <c r="V548" s="19" t="str">
        <f>IF(Tabela32[[#This Row],[% Entrega]]&gt;=96%,"Atendeu a Meta","Não Atendeu a Meta")</f>
        <v>Atendeu a Meta</v>
      </c>
      <c r="W548" s="4" t="s">
        <v>40</v>
      </c>
      <c r="X548" s="4">
        <v>0</v>
      </c>
      <c r="Y548" s="5">
        <v>0</v>
      </c>
    </row>
    <row r="549" spans="1:25" x14ac:dyDescent="0.25">
      <c r="A549" s="8">
        <v>46310</v>
      </c>
      <c r="B549" s="26">
        <f>YEAR(Tabela32[[#This Row],[Data]])</f>
        <v>2026</v>
      </c>
      <c r="C549" s="26">
        <f>MONTH(Tabela32[[#This Row],[Data]])</f>
        <v>10</v>
      </c>
      <c r="D549" s="4" t="s">
        <v>33</v>
      </c>
      <c r="E549" s="4">
        <v>1</v>
      </c>
      <c r="F549" s="4" t="str">
        <f>IFERROR(VLOOKUP(Tabela32[[#This Row],[Placa]],Planilha2!$A$1:$B$12,2,0),"")</f>
        <v>Paulo</v>
      </c>
      <c r="G549" s="10">
        <v>544.91</v>
      </c>
      <c r="H549" s="10">
        <v>21965.86</v>
      </c>
      <c r="I549" s="4">
        <v>55</v>
      </c>
      <c r="J549" s="17">
        <f>IFERROR(Tabela32[[#This Row],[Valor Frete]]/Tabela32[[#This Row],[Valor Mercadoria]],"")</f>
        <v>2.480713252292421E-2</v>
      </c>
      <c r="K549" s="11">
        <v>0.66249999999999998</v>
      </c>
      <c r="L549" s="15">
        <v>0.76666666666666672</v>
      </c>
      <c r="M549" s="15">
        <f>Tabela32[[#This Row],[Hr Chegada]]-Tabela32[[#This Row],[Hr Saida]]</f>
        <v>0.10416666666666674</v>
      </c>
      <c r="N549" s="4">
        <v>157454</v>
      </c>
      <c r="O549" s="4">
        <v>157483</v>
      </c>
      <c r="P549" s="4">
        <f>Tabela32[[#This Row],[Km Chegada]]-Tabela32[[#This Row],[Km Saída]]</f>
        <v>29</v>
      </c>
      <c r="Q549" s="4">
        <v>16</v>
      </c>
      <c r="R549" s="4">
        <v>2</v>
      </c>
      <c r="S549" s="4">
        <v>2</v>
      </c>
      <c r="T549" s="12">
        <f>Tabela32[[#This Row],[Entregas]]-Tabela32[[#This Row],[Realizadas]]</f>
        <v>0</v>
      </c>
      <c r="U549" s="18">
        <f>Tabela32[[#This Row],[Realizadas]]/Tabela32[[#This Row],[Entregas]]</f>
        <v>1</v>
      </c>
      <c r="V549" s="19" t="str">
        <f>IF(Tabela32[[#This Row],[% Entrega]]&gt;=96%,"Atendeu a Meta","Não Atendeu a Meta")</f>
        <v>Atendeu a Meta</v>
      </c>
      <c r="W549" s="4" t="s">
        <v>43</v>
      </c>
      <c r="X549" s="4">
        <v>0</v>
      </c>
      <c r="Y549" s="5">
        <v>0</v>
      </c>
    </row>
    <row r="550" spans="1:25" x14ac:dyDescent="0.25">
      <c r="A550" s="8">
        <v>46310</v>
      </c>
      <c r="B550" s="26">
        <f>YEAR(Tabela32[[#This Row],[Data]])</f>
        <v>2026</v>
      </c>
      <c r="C550" s="26">
        <f>MONTH(Tabela32[[#This Row],[Data]])</f>
        <v>10</v>
      </c>
      <c r="D550" s="4" t="s">
        <v>97</v>
      </c>
      <c r="E550" s="4">
        <v>1</v>
      </c>
      <c r="F550" s="4" t="str">
        <f>IFERROR(VLOOKUP(Tabela32[[#This Row],[Placa]],Planilha2!$A$1:$B$12,2,0),"")</f>
        <v>Manoel</v>
      </c>
      <c r="G550" s="10">
        <v>312.38</v>
      </c>
      <c r="H550" s="10">
        <v>3803.2</v>
      </c>
      <c r="I550" s="4">
        <v>30</v>
      </c>
      <c r="J550" s="17">
        <f>IFERROR(Tabela32[[#This Row],[Valor Frete]]/Tabela32[[#This Row],[Valor Mercadoria]],"")</f>
        <v>8.2136095919225924E-2</v>
      </c>
      <c r="K550" s="11">
        <v>0.31944444444444442</v>
      </c>
      <c r="L550" s="15">
        <v>0.45833333333333331</v>
      </c>
      <c r="M550" s="15">
        <f>Tabela32[[#This Row],[Hr Chegada]]-Tabela32[[#This Row],[Hr Saida]]</f>
        <v>0.1388888888888889</v>
      </c>
      <c r="N550" s="4">
        <v>60148</v>
      </c>
      <c r="O550" s="4">
        <v>60192</v>
      </c>
      <c r="P550" s="4">
        <f>Tabela32[[#This Row],[Km Chegada]]-Tabela32[[#This Row],[Km Saída]]</f>
        <v>44</v>
      </c>
      <c r="Q550" s="4">
        <v>1</v>
      </c>
      <c r="R550" s="4">
        <v>1</v>
      </c>
      <c r="S550" s="4">
        <v>1</v>
      </c>
      <c r="T550" s="12">
        <f>Tabela32[[#This Row],[Entregas]]-Tabela32[[#This Row],[Realizadas]]</f>
        <v>0</v>
      </c>
      <c r="U550" s="18">
        <f>Tabela32[[#This Row],[Realizadas]]/Tabela32[[#This Row],[Entregas]]</f>
        <v>1</v>
      </c>
      <c r="V550" s="19" t="str">
        <f>IF(Tabela32[[#This Row],[% Entrega]]&gt;=96%,"Atendeu a Meta","Não Atendeu a Meta")</f>
        <v>Atendeu a Meta</v>
      </c>
      <c r="W550" s="4" t="s">
        <v>40</v>
      </c>
      <c r="X550" s="4">
        <v>0</v>
      </c>
      <c r="Y550" s="5">
        <v>0</v>
      </c>
    </row>
    <row r="551" spans="1:25" x14ac:dyDescent="0.25">
      <c r="A551" s="8">
        <v>46310</v>
      </c>
      <c r="B551" s="26">
        <f>YEAR(Tabela32[[#This Row],[Data]])</f>
        <v>2026</v>
      </c>
      <c r="C551" s="26">
        <f>MONTH(Tabela32[[#This Row],[Data]])</f>
        <v>10</v>
      </c>
      <c r="D551" s="4" t="s">
        <v>97</v>
      </c>
      <c r="E551" s="4">
        <v>3</v>
      </c>
      <c r="F551" s="4" t="str">
        <f>IFERROR(VLOOKUP(Tabela32[[#This Row],[Placa]],Planilha2!$A$1:$B$12,2,0),"")</f>
        <v>Manoel</v>
      </c>
      <c r="G551" s="10">
        <v>554.45000000000005</v>
      </c>
      <c r="H551" s="10">
        <v>11397.52</v>
      </c>
      <c r="I551" s="4">
        <v>103</v>
      </c>
      <c r="J551" s="17">
        <f>IFERROR(Tabela32[[#This Row],[Valor Frete]]/Tabela32[[#This Row],[Valor Mercadoria]],"")</f>
        <v>4.8646547670019448E-2</v>
      </c>
      <c r="K551" s="11">
        <v>0.5625</v>
      </c>
      <c r="L551" s="15">
        <v>0.72152777777777777</v>
      </c>
      <c r="M551" s="15">
        <f>Tabela32[[#This Row],[Hr Chegada]]-Tabela32[[#This Row],[Hr Saida]]</f>
        <v>0.15902777777777777</v>
      </c>
      <c r="N551" s="4">
        <v>60192</v>
      </c>
      <c r="O551" s="4">
        <v>60207</v>
      </c>
      <c r="P551" s="4">
        <f>Tabela32[[#This Row],[Km Chegada]]-Tabela32[[#This Row],[Km Saída]]</f>
        <v>15</v>
      </c>
      <c r="Q551" s="4">
        <v>22</v>
      </c>
      <c r="R551" s="4">
        <v>2</v>
      </c>
      <c r="S551" s="4">
        <v>2</v>
      </c>
      <c r="T551" s="12">
        <f>Tabela32[[#This Row],[Entregas]]-Tabela32[[#This Row],[Realizadas]]</f>
        <v>0</v>
      </c>
      <c r="U551" s="18">
        <f>Tabela32[[#This Row],[Realizadas]]/Tabela32[[#This Row],[Entregas]]</f>
        <v>1</v>
      </c>
      <c r="V551" s="19" t="str">
        <f>IF(Tabela32[[#This Row],[% Entrega]]&gt;=96%,"Atendeu a Meta","Não Atendeu a Meta")</f>
        <v>Atendeu a Meta</v>
      </c>
      <c r="W551" s="4" t="s">
        <v>39</v>
      </c>
      <c r="X551" s="4">
        <v>0</v>
      </c>
      <c r="Y551" s="5">
        <v>0</v>
      </c>
    </row>
    <row r="552" spans="1:25" x14ac:dyDescent="0.25">
      <c r="A552" s="8">
        <v>46310</v>
      </c>
      <c r="B552" s="26">
        <f>YEAR(Tabela32[[#This Row],[Data]])</f>
        <v>2026</v>
      </c>
      <c r="C552" s="26">
        <f>MONTH(Tabela32[[#This Row],[Data]])</f>
        <v>10</v>
      </c>
      <c r="D552" s="4" t="s">
        <v>35</v>
      </c>
      <c r="E552" s="4">
        <v>2</v>
      </c>
      <c r="F552" s="4" t="str">
        <f>IFERROR(VLOOKUP(Tabela32[[#This Row],[Placa]],Planilha2!$A$1:$B$12,2,0),"")</f>
        <v>Osvaldo</v>
      </c>
      <c r="G552" s="10">
        <v>12671.38</v>
      </c>
      <c r="H552" s="10">
        <v>232058.53</v>
      </c>
      <c r="I552" s="4">
        <v>1736</v>
      </c>
      <c r="J552" s="17">
        <f>IFERROR(Tabela32[[#This Row],[Valor Frete]]/Tabela32[[#This Row],[Valor Mercadoria]],"")</f>
        <v>5.4604241438571552E-2</v>
      </c>
      <c r="K552" s="11">
        <v>0.27083333333333331</v>
      </c>
      <c r="L552" s="15">
        <v>0.71597222222222223</v>
      </c>
      <c r="M552" s="15">
        <f>Tabela32[[#This Row],[Hr Chegada]]-Tabela32[[#This Row],[Hr Saida]]</f>
        <v>0.44513888888888892</v>
      </c>
      <c r="N552" s="4">
        <v>144928</v>
      </c>
      <c r="O552" s="4">
        <v>144998</v>
      </c>
      <c r="P552" s="4">
        <f>Tabela32[[#This Row],[Km Chegada]]-Tabela32[[#This Row],[Km Saída]]</f>
        <v>70</v>
      </c>
      <c r="Q552" s="4">
        <v>309</v>
      </c>
      <c r="R552" s="4">
        <v>47</v>
      </c>
      <c r="S552" s="4">
        <v>47</v>
      </c>
      <c r="T552" s="12">
        <f>Tabela32[[#This Row],[Entregas]]-Tabela32[[#This Row],[Realizadas]]</f>
        <v>0</v>
      </c>
      <c r="U552" s="18">
        <f>Tabela32[[#This Row],[Realizadas]]/Tabela32[[#This Row],[Entregas]]</f>
        <v>1</v>
      </c>
      <c r="V552" s="19" t="str">
        <f>IF(Tabela32[[#This Row],[% Entrega]]&gt;=96%,"Atendeu a Meta","Não Atendeu a Meta")</f>
        <v>Atendeu a Meta</v>
      </c>
      <c r="W552" s="4" t="s">
        <v>39</v>
      </c>
      <c r="X552" s="4">
        <v>0</v>
      </c>
      <c r="Y552" s="5">
        <v>0</v>
      </c>
    </row>
    <row r="553" spans="1:25" x14ac:dyDescent="0.25">
      <c r="A553" s="8">
        <v>46310</v>
      </c>
      <c r="B553" s="26">
        <f>YEAR(Tabela32[[#This Row],[Data]])</f>
        <v>2026</v>
      </c>
      <c r="C553" s="26">
        <f>MONTH(Tabela32[[#This Row],[Data]])</f>
        <v>10</v>
      </c>
      <c r="D553" s="4" t="s">
        <v>31</v>
      </c>
      <c r="E553" s="4">
        <v>3</v>
      </c>
      <c r="F553" s="4" t="str">
        <f>IFERROR(VLOOKUP(Tabela32[[#This Row],[Placa]],Planilha2!$A$1:$B$12,2,0),"")</f>
        <v>Jerson</v>
      </c>
      <c r="G553" s="10">
        <v>11255.22</v>
      </c>
      <c r="H553" s="10">
        <v>144639.26</v>
      </c>
      <c r="I553" s="4">
        <v>1186</v>
      </c>
      <c r="J553" s="17">
        <f>IFERROR(Tabela32[[#This Row],[Valor Frete]]/Tabela32[[#This Row],[Valor Mercadoria]],"")</f>
        <v>7.7815801878411153E-2</v>
      </c>
      <c r="K553" s="11">
        <v>0.3</v>
      </c>
      <c r="L553" s="15">
        <v>0.74236111111111114</v>
      </c>
      <c r="M553" s="15">
        <f>Tabela32[[#This Row],[Hr Chegada]]-Tabela32[[#This Row],[Hr Saida]]</f>
        <v>0.44236111111111115</v>
      </c>
      <c r="N553" s="4">
        <v>282155</v>
      </c>
      <c r="O553" s="4">
        <v>282196</v>
      </c>
      <c r="P553" s="4">
        <f>Tabela32[[#This Row],[Km Chegada]]-Tabela32[[#This Row],[Km Saída]]</f>
        <v>41</v>
      </c>
      <c r="Q553" s="4">
        <v>162</v>
      </c>
      <c r="R553" s="4">
        <v>42</v>
      </c>
      <c r="S553" s="4">
        <v>42</v>
      </c>
      <c r="T553" s="12">
        <f>Tabela32[[#This Row],[Entregas]]-Tabela32[[#This Row],[Realizadas]]</f>
        <v>0</v>
      </c>
      <c r="U553" s="18">
        <f>Tabela32[[#This Row],[Realizadas]]/Tabela32[[#This Row],[Entregas]]</f>
        <v>1</v>
      </c>
      <c r="V553" s="19" t="str">
        <f>IF(Tabela32[[#This Row],[% Entrega]]&gt;=96%,"Atendeu a Meta","Não Atendeu a Meta")</f>
        <v>Atendeu a Meta</v>
      </c>
      <c r="W553" s="4" t="s">
        <v>39</v>
      </c>
      <c r="X553" s="4">
        <v>0</v>
      </c>
      <c r="Y553" s="5" t="s">
        <v>102</v>
      </c>
    </row>
    <row r="554" spans="1:25" x14ac:dyDescent="0.25">
      <c r="A554" s="8">
        <v>46310</v>
      </c>
      <c r="B554" s="26">
        <f>YEAR(Tabela32[[#This Row],[Data]])</f>
        <v>2026</v>
      </c>
      <c r="C554" s="26">
        <f>MONTH(Tabela32[[#This Row],[Data]])</f>
        <v>10</v>
      </c>
      <c r="D554" s="4" t="s">
        <v>23</v>
      </c>
      <c r="E554" s="4">
        <v>5</v>
      </c>
      <c r="F554" s="4" t="str">
        <f>IFERROR(VLOOKUP(Tabela32[[#This Row],[Placa]],Planilha2!$A$1:$B$12,2,0),"")</f>
        <v>William</v>
      </c>
      <c r="G554" s="10">
        <v>13722.62</v>
      </c>
      <c r="H554" s="10">
        <v>195984.25</v>
      </c>
      <c r="I554" s="4">
        <v>2983</v>
      </c>
      <c r="J554" s="17">
        <f>IFERROR(Tabela32[[#This Row],[Valor Frete]]/Tabela32[[#This Row],[Valor Mercadoria]],"")</f>
        <v>7.0018993873232169E-2</v>
      </c>
      <c r="K554" s="11">
        <v>0.29166666666666669</v>
      </c>
      <c r="L554" s="15">
        <v>0.82291666666666663</v>
      </c>
      <c r="M554" s="15">
        <f>Tabela32[[#This Row],[Hr Chegada]]-Tabela32[[#This Row],[Hr Saida]]</f>
        <v>0.53125</v>
      </c>
      <c r="N554" s="4">
        <v>127114</v>
      </c>
      <c r="O554" s="4">
        <v>127217</v>
      </c>
      <c r="P554" s="4">
        <f>Tabela32[[#This Row],[Km Chegada]]-Tabela32[[#This Row],[Km Saída]]</f>
        <v>103</v>
      </c>
      <c r="Q554" s="4">
        <v>349</v>
      </c>
      <c r="R554" s="4">
        <v>29</v>
      </c>
      <c r="S554" s="4">
        <v>23</v>
      </c>
      <c r="T554" s="12">
        <f>Tabela32[[#This Row],[Entregas]]-Tabela32[[#This Row],[Realizadas]]</f>
        <v>6</v>
      </c>
      <c r="U554" s="18">
        <f>Tabela32[[#This Row],[Realizadas]]/Tabela32[[#This Row],[Entregas]]</f>
        <v>0.7931034482758621</v>
      </c>
      <c r="V554" s="19" t="str">
        <f>IF(Tabela32[[#This Row],[% Entrega]]&gt;=96%,"Atendeu a Meta","Não Atendeu a Meta")</f>
        <v>Não Atendeu a Meta</v>
      </c>
      <c r="W554" s="4" t="s">
        <v>39</v>
      </c>
      <c r="X554" s="4">
        <v>6</v>
      </c>
      <c r="Y554" s="5" t="s">
        <v>100</v>
      </c>
    </row>
    <row r="555" spans="1:25" x14ac:dyDescent="0.25">
      <c r="A555" s="8">
        <v>46310</v>
      </c>
      <c r="B555" s="26">
        <f>YEAR(Tabela32[[#This Row],[Data]])</f>
        <v>2026</v>
      </c>
      <c r="C555" s="26">
        <f>MONTH(Tabela32[[#This Row],[Data]])</f>
        <v>10</v>
      </c>
      <c r="D555" s="4" t="s">
        <v>28</v>
      </c>
      <c r="E555" s="4">
        <v>5</v>
      </c>
      <c r="F555" s="4" t="str">
        <f>IFERROR(VLOOKUP(Tabela32[[#This Row],[Placa]],Planilha2!$A$1:$B$12,2,0),"")</f>
        <v>Edilson</v>
      </c>
      <c r="G555" s="10">
        <v>23400.09</v>
      </c>
      <c r="H555" s="10">
        <v>555992.39</v>
      </c>
      <c r="I555" s="4">
        <v>5385</v>
      </c>
      <c r="J555" s="17">
        <f>IFERROR(Tabela32[[#This Row],[Valor Frete]]/Tabela32[[#This Row],[Valor Mercadoria]],"")</f>
        <v>4.2087068853586283E-2</v>
      </c>
      <c r="K555" s="11">
        <v>0.27083333333333331</v>
      </c>
      <c r="L555" s="15">
        <v>0.69791666666666663</v>
      </c>
      <c r="M555" s="15">
        <f>Tabela32[[#This Row],[Hr Chegada]]-Tabela32[[#This Row],[Hr Saida]]</f>
        <v>0.42708333333333331</v>
      </c>
      <c r="N555" s="4">
        <v>107359</v>
      </c>
      <c r="O555" s="4">
        <v>107388</v>
      </c>
      <c r="P555" s="4">
        <f>Tabela32[[#This Row],[Km Chegada]]-Tabela32[[#This Row],[Km Saída]]</f>
        <v>29</v>
      </c>
      <c r="Q555" s="4">
        <v>544</v>
      </c>
      <c r="R555" s="4">
        <v>31</v>
      </c>
      <c r="S555" s="4">
        <v>31</v>
      </c>
      <c r="T555" s="12">
        <f>Tabela32[[#This Row],[Entregas]]-Tabela32[[#This Row],[Realizadas]]</f>
        <v>0</v>
      </c>
      <c r="U555" s="18">
        <f>Tabela32[[#This Row],[Realizadas]]/Tabela32[[#This Row],[Entregas]]</f>
        <v>1</v>
      </c>
      <c r="V555" s="19" t="str">
        <f>IF(Tabela32[[#This Row],[% Entrega]]&gt;=96%,"Atendeu a Meta","Não Atendeu a Meta")</f>
        <v>Atendeu a Meta</v>
      </c>
      <c r="W555" s="4" t="s">
        <v>39</v>
      </c>
      <c r="X555" s="4">
        <v>0</v>
      </c>
      <c r="Y555" s="5">
        <v>0</v>
      </c>
    </row>
    <row r="556" spans="1:25" x14ac:dyDescent="0.25">
      <c r="A556" s="8">
        <v>46310</v>
      </c>
      <c r="B556" s="26">
        <f>YEAR(Tabela32[[#This Row],[Data]])</f>
        <v>2026</v>
      </c>
      <c r="C556" s="26">
        <f>MONTH(Tabela32[[#This Row],[Data]])</f>
        <v>10</v>
      </c>
      <c r="D556" s="4" t="s">
        <v>25</v>
      </c>
      <c r="E556" s="4">
        <v>11</v>
      </c>
      <c r="F556" s="4" t="str">
        <f>IFERROR(VLOOKUP(Tabela32[[#This Row],[Placa]],Planilha2!$A$1:$B$12,2,0),"")</f>
        <v>Gilberto</v>
      </c>
      <c r="G556" s="10">
        <v>15815.19</v>
      </c>
      <c r="H556" s="10">
        <v>247315.65</v>
      </c>
      <c r="I556" s="4">
        <v>2462</v>
      </c>
      <c r="J556" s="17">
        <f>IFERROR(Tabela32[[#This Row],[Valor Frete]]/Tabela32[[#This Row],[Valor Mercadoria]],"")</f>
        <v>6.3947388691334331E-2</v>
      </c>
      <c r="K556" s="11">
        <v>0.29166666666666669</v>
      </c>
      <c r="L556" s="15">
        <v>0.73611111111111116</v>
      </c>
      <c r="M556" s="15">
        <f>Tabela32[[#This Row],[Hr Chegada]]-Tabela32[[#This Row],[Hr Saida]]</f>
        <v>0.44444444444444448</v>
      </c>
      <c r="N556" s="4">
        <v>121036</v>
      </c>
      <c r="O556" s="4">
        <v>121162</v>
      </c>
      <c r="P556" s="4">
        <f>Tabela32[[#This Row],[Km Chegada]]-Tabela32[[#This Row],[Km Saída]]</f>
        <v>126</v>
      </c>
      <c r="Q556" s="4">
        <v>525</v>
      </c>
      <c r="R556" s="4">
        <v>32</v>
      </c>
      <c r="S556" s="4">
        <v>32</v>
      </c>
      <c r="T556" s="12">
        <f>Tabela32[[#This Row],[Entregas]]-Tabela32[[#This Row],[Realizadas]]</f>
        <v>0</v>
      </c>
      <c r="U556" s="18">
        <f>Tabela32[[#This Row],[Realizadas]]/Tabela32[[#This Row],[Entregas]]</f>
        <v>1</v>
      </c>
      <c r="V556" s="19" t="str">
        <f>IF(Tabela32[[#This Row],[% Entrega]]&gt;=96%,"Atendeu a Meta","Não Atendeu a Meta")</f>
        <v>Atendeu a Meta</v>
      </c>
      <c r="W556" s="4" t="s">
        <v>41</v>
      </c>
      <c r="X556" s="4">
        <v>0</v>
      </c>
      <c r="Y556" s="5">
        <v>38</v>
      </c>
    </row>
    <row r="557" spans="1:25" x14ac:dyDescent="0.25">
      <c r="A557" s="8">
        <v>46310</v>
      </c>
      <c r="B557" s="26">
        <f>YEAR(Tabela32[[#This Row],[Data]])</f>
        <v>2026</v>
      </c>
      <c r="C557" s="26">
        <f>MONTH(Tabela32[[#This Row],[Data]])</f>
        <v>10</v>
      </c>
      <c r="D557" s="4" t="s">
        <v>27</v>
      </c>
      <c r="E557" s="4">
        <v>1</v>
      </c>
      <c r="F557" s="4" t="str">
        <f>IFERROR(VLOOKUP(Tabela32[[#This Row],[Placa]],Planilha2!$A$1:$B$12,2,0),"")</f>
        <v>Rosinaldo</v>
      </c>
      <c r="G557" s="10">
        <v>5875.38</v>
      </c>
      <c r="H557" s="10">
        <v>107635.26</v>
      </c>
      <c r="I557" s="4">
        <v>1146</v>
      </c>
      <c r="J557" s="17">
        <f>IFERROR(Tabela32[[#This Row],[Valor Frete]]/Tabela32[[#This Row],[Valor Mercadoria]],"")</f>
        <v>5.4586015772154967E-2</v>
      </c>
      <c r="K557" s="11">
        <v>0.3125</v>
      </c>
      <c r="L557" s="15">
        <v>0.73124999999999996</v>
      </c>
      <c r="M557" s="15">
        <f>Tabela32[[#This Row],[Hr Chegada]]-Tabela32[[#This Row],[Hr Saida]]</f>
        <v>0.41874999999999996</v>
      </c>
      <c r="N557" s="4">
        <v>292587</v>
      </c>
      <c r="O557" s="4">
        <v>292657</v>
      </c>
      <c r="P557" s="4">
        <f>Tabela32[[#This Row],[Km Chegada]]-Tabela32[[#This Row],[Km Saída]]</f>
        <v>70</v>
      </c>
      <c r="Q557" s="4">
        <v>173</v>
      </c>
      <c r="R557" s="4">
        <v>21</v>
      </c>
      <c r="S557" s="4">
        <v>21</v>
      </c>
      <c r="T557" s="12">
        <f>Tabela32[[#This Row],[Entregas]]-Tabela32[[#This Row],[Realizadas]]</f>
        <v>0</v>
      </c>
      <c r="U557" s="18">
        <f>Tabela32[[#This Row],[Realizadas]]/Tabela32[[#This Row],[Entregas]]</f>
        <v>1</v>
      </c>
      <c r="V557" s="19" t="str">
        <f>IF(Tabela32[[#This Row],[% Entrega]]&gt;=96%,"Atendeu a Meta","Não Atendeu a Meta")</f>
        <v>Atendeu a Meta</v>
      </c>
      <c r="W557" s="4" t="s">
        <v>43</v>
      </c>
      <c r="X557" s="4">
        <v>0</v>
      </c>
      <c r="Y557" s="5">
        <v>0</v>
      </c>
    </row>
    <row r="558" spans="1:25" x14ac:dyDescent="0.25">
      <c r="A558" s="8">
        <v>46310</v>
      </c>
      <c r="B558" s="26">
        <f>YEAR(Tabela32[[#This Row],[Data]])</f>
        <v>2026</v>
      </c>
      <c r="C558" s="26">
        <f>MONTH(Tabela32[[#This Row],[Data]])</f>
        <v>10</v>
      </c>
      <c r="D558" s="4" t="s">
        <v>22</v>
      </c>
      <c r="E558" s="4">
        <v>1</v>
      </c>
      <c r="F558" s="4" t="str">
        <f>IFERROR(VLOOKUP(Tabela32[[#This Row],[Placa]],Planilha2!$A$1:$B$12,2,0),"")</f>
        <v>Wesley</v>
      </c>
      <c r="G558" s="10">
        <v>11616.88</v>
      </c>
      <c r="H558" s="10">
        <v>178265.55</v>
      </c>
      <c r="I558" s="4">
        <v>1767</v>
      </c>
      <c r="J558" s="17">
        <f>IFERROR(Tabela32[[#This Row],[Valor Frete]]/Tabela32[[#This Row],[Valor Mercadoria]],"")</f>
        <v>6.5166152405778902E-2</v>
      </c>
      <c r="K558" s="11">
        <v>0.3125</v>
      </c>
      <c r="L558" s="15">
        <v>0.67013888888888884</v>
      </c>
      <c r="M558" s="15">
        <f>Tabela32[[#This Row],[Hr Chegada]]-Tabela32[[#This Row],[Hr Saida]]</f>
        <v>0.35763888888888884</v>
      </c>
      <c r="N558" s="4">
        <v>306473</v>
      </c>
      <c r="O558" s="4">
        <v>306487</v>
      </c>
      <c r="P558" s="4">
        <f>Tabela32[[#This Row],[Km Chegada]]-Tabela32[[#This Row],[Km Saída]]</f>
        <v>14</v>
      </c>
      <c r="Q558" s="4">
        <v>288</v>
      </c>
      <c r="R558" s="4">
        <v>36</v>
      </c>
      <c r="S558" s="4">
        <v>36</v>
      </c>
      <c r="T558" s="12">
        <f>Tabela32[[#This Row],[Entregas]]-Tabela32[[#This Row],[Realizadas]]</f>
        <v>0</v>
      </c>
      <c r="U558" s="18">
        <f>Tabela32[[#This Row],[Realizadas]]/Tabela32[[#This Row],[Entregas]]</f>
        <v>1</v>
      </c>
      <c r="V558" s="19" t="str">
        <f>IF(Tabela32[[#This Row],[% Entrega]]&gt;=96%,"Atendeu a Meta","Não Atendeu a Meta")</f>
        <v>Atendeu a Meta</v>
      </c>
      <c r="W558" s="4" t="s">
        <v>43</v>
      </c>
      <c r="X558" s="4">
        <v>0</v>
      </c>
      <c r="Y558" s="5">
        <v>0</v>
      </c>
    </row>
    <row r="559" spans="1:25" x14ac:dyDescent="0.25">
      <c r="A559" s="8">
        <v>46310</v>
      </c>
      <c r="B559" s="26">
        <f>YEAR(Tabela32[[#This Row],[Data]])</f>
        <v>2026</v>
      </c>
      <c r="C559" s="26">
        <f>MONTH(Tabela32[[#This Row],[Data]])</f>
        <v>10</v>
      </c>
      <c r="D559" s="4" t="s">
        <v>53</v>
      </c>
      <c r="E559" s="4">
        <v>5</v>
      </c>
      <c r="F559" s="4" t="str">
        <f>IFERROR(VLOOKUP(Tabela32[[#This Row],[Placa]],Planilha2!$A$1:$B$12,2,0),"")</f>
        <v>Arnaldo</v>
      </c>
      <c r="G559" s="10">
        <v>7760.6</v>
      </c>
      <c r="H559" s="10">
        <v>89353.73</v>
      </c>
      <c r="I559" s="4">
        <v>1241</v>
      </c>
      <c r="J559" s="17">
        <f>IFERROR(Tabela32[[#This Row],[Valor Frete]]/Tabela32[[#This Row],[Valor Mercadoria]],"")</f>
        <v>8.6852557805924838E-2</v>
      </c>
      <c r="K559" s="11">
        <v>0.30555555555555558</v>
      </c>
      <c r="L559" s="15">
        <v>0.77777777777777779</v>
      </c>
      <c r="M559" s="15">
        <f>Tabela32[[#This Row],[Hr Chegada]]-Tabela32[[#This Row],[Hr Saida]]</f>
        <v>0.47222222222222221</v>
      </c>
      <c r="N559" s="4">
        <v>14890</v>
      </c>
      <c r="O559" s="4">
        <v>14920</v>
      </c>
      <c r="P559" s="4">
        <f>Tabela32[[#This Row],[Km Chegada]]-Tabela32[[#This Row],[Km Saída]]</f>
        <v>30</v>
      </c>
      <c r="Q559" s="4">
        <v>190</v>
      </c>
      <c r="R559" s="4">
        <v>7</v>
      </c>
      <c r="S559" s="4">
        <v>7</v>
      </c>
      <c r="T559" s="12">
        <f>Tabela32[[#This Row],[Entregas]]-Tabela32[[#This Row],[Realizadas]]</f>
        <v>0</v>
      </c>
      <c r="U559" s="18">
        <f>Tabela32[[#This Row],[Realizadas]]/Tabela32[[#This Row],[Entregas]]</f>
        <v>1</v>
      </c>
      <c r="V559" s="19" t="str">
        <f>IF(Tabela32[[#This Row],[% Entrega]]&gt;=96%,"Atendeu a Meta","Não Atendeu a Meta")</f>
        <v>Atendeu a Meta</v>
      </c>
      <c r="W559" s="4" t="s">
        <v>39</v>
      </c>
      <c r="X559" s="4">
        <v>0</v>
      </c>
      <c r="Y559" s="5">
        <v>0</v>
      </c>
    </row>
  </sheetData>
  <conditionalFormatting sqref="J2:J559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U2:U559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V2:V559">
    <cfRule type="expression" dxfId="78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77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D2:D559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2026-10-16T17:50:16Z</dcterms:modified>
</cp:coreProperties>
</file>