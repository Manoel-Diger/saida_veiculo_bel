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01163C64-4135-4095-9CB1-CCFE4BA08316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3" i="4" l="1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<sst xmlns="http://schemas.openxmlformats.org/spreadsheetml/2006/main" count="568" uniqueCount="76">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</sst>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44" dataDxfId="142" headerRowBorderDxfId="143" tableBorderDxfId="141" totalsRowBorderDxfId="140" headerRowCellStyle="Normal 2 2 2">
  <autoFilter ref="A1:V9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33" totalsRowShown="0" headerRowDxfId="40" dataDxfId="39" headerRowBorderDxfId="37" tableBorderDxfId="38" totalsRowBorderDxfId="36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Ro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/>
    <tableColumn id="7" xr3:uid="{7D623530-7EED-4526-B289-B392FA2EF883}" name="Valor Mercadoria" dataDxfId="28"/>
    <tableColumn id="8" xr3:uid="{3D927A69-B557-47A5-A269-05DEBEF85C73}" name="Peso" dataDxfId="27"/>
    <tableColumn id="9" xr3:uid="{69BC588C-6D01-4257-B2D9-CF2D843D1C40}" name="% Frete" dataDxfId="26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">
      <calculatedColumnFormula>Tabela32[[#This Row],[Realizadas]]/Tabela32[[#This Row],[Entregas]]</calculatedColumnFormula>
    </tableColumn>
    <tableColumn id="21" xr3:uid="{BB53A276-7721-4934-9C42-DB7E1D2740B3}" name="Meta" dataDxfId="14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A8" sqref="A8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9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9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33"/>
  <sheetViews>
    <sheetView showGridLines="0" tabSelected="1" workbookViewId="0">
      <pane xSplit="10" ySplit="1" topLeftCell="W215" activePane="bottomRight" state="frozen"/>
      <selection pane="topRight" activeCell="I1" sqref="I1"/>
      <selection pane="bottomLeft" activeCell="A2" sqref="A2"/>
      <selection pane="bottomRight" activeCell="Y233" sqref="Y233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75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>
        <v>3</v>
      </c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>
        <v>3</v>
      </c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>
        <v>3</v>
      </c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>
        <v>3</v>
      </c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>
        <v>1</v>
      </c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>
        <v>4</v>
      </c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>
        <v>1</v>
      </c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>
        <v>1</v>
      </c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>
        <v>11</v>
      </c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>
        <v>11</v>
      </c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>
        <v>4</v>
      </c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>
        <v>1</v>
      </c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>
        <v>2</v>
      </c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>
        <v>11</v>
      </c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>
        <v>5</v>
      </c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>
        <v>1</v>
      </c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>
        <v>1</v>
      </c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>
        <v>1</v>
      </c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>
        <v>5</v>
      </c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>
        <v>1</v>
      </c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>
        <v>1</v>
      </c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>
        <v>1</v>
      </c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>
        <v>4</v>
      </c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>
        <v>2</v>
      </c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>
        <v>0</v>
      </c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>
        <v>4</v>
      </c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26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36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30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34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26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26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40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36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40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29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42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45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30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41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30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40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32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40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28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41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24</v>
      </c>
      <c r="E211" s="4">
        <v>1</v>
      </c>
      <c r="F211" s="4" t="str">
        <f>IFERROR(VLOOKUP(Tabela32[[#This Row],[Placa]],Planilha2!$A$1:$B$12,2,0),"")</f>
        <v>Wesley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45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34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41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55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41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36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42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34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41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55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40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29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40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38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45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65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28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41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32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40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30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41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26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40</v>
      </c>
      <c r="X223" s="4">
        <v>0</v>
      </c>
      <c r="Y223" s="5">
        <v>0</v>
      </c>
    </row>
    <row r="224" spans="1:25" x14ac:dyDescent="0.25">
      <c r="A224" s="8">
        <v>46267</v>
      </c>
      <c r="B224" s="22">
        <f>YEAR(Tabela32[[#This Row],[Data]])</f>
        <v>2026</v>
      </c>
      <c r="C224" s="22">
        <f>MONTH(Tabela32[[#This Row],[Data]])</f>
        <v>9</v>
      </c>
      <c r="D224" s="4" t="s">
        <v>26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40</v>
      </c>
      <c r="X224" s="4">
        <v>0</v>
      </c>
      <c r="Y224" s="5">
        <v>0</v>
      </c>
    </row>
    <row r="225" spans="1:25" x14ac:dyDescent="0.25">
      <c r="A225" s="8">
        <v>46267</v>
      </c>
      <c r="B225" s="22">
        <f>YEAR(Tabela32[[#This Row],[Data]])</f>
        <v>2026</v>
      </c>
      <c r="C225" s="22">
        <f>MONTH(Tabela32[[#This Row],[Data]])</f>
        <v>9</v>
      </c>
      <c r="D225" s="4" t="s">
        <v>36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42</v>
      </c>
      <c r="X225" s="4">
        <v>0</v>
      </c>
      <c r="Y225" s="5">
        <v>0</v>
      </c>
    </row>
    <row r="226" spans="1:25" x14ac:dyDescent="0.25">
      <c r="A226" s="8">
        <v>46267</v>
      </c>
      <c r="B226" s="22">
        <f>YEAR(Tabela32[[#This Row],[Data]])</f>
        <v>2026</v>
      </c>
      <c r="C226" s="22">
        <f>MONTH(Tabela32[[#This Row],[Data]])</f>
        <v>9</v>
      </c>
      <c r="D226" s="4" t="s">
        <v>29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40</v>
      </c>
      <c r="X226" s="4">
        <v>0</v>
      </c>
      <c r="Y226" s="5">
        <v>0</v>
      </c>
    </row>
    <row r="227" spans="1:25" x14ac:dyDescent="0.25">
      <c r="A227" s="8">
        <v>46267</v>
      </c>
      <c r="B227" s="22">
        <f>YEAR(Tabela32[[#This Row],[Data]])</f>
        <v>2026</v>
      </c>
      <c r="C227" s="22">
        <f>MONTH(Tabela32[[#This Row],[Data]])</f>
        <v>9</v>
      </c>
      <c r="D227" s="4" t="s">
        <v>34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66</v>
      </c>
      <c r="X227" s="4">
        <v>0</v>
      </c>
      <c r="Y227" s="5">
        <v>0</v>
      </c>
    </row>
    <row r="228" spans="1:25" x14ac:dyDescent="0.25">
      <c r="A228" s="8">
        <v>46267</v>
      </c>
      <c r="B228" s="22">
        <f>YEAR(Tabela32[[#This Row],[Data]])</f>
        <v>2026</v>
      </c>
      <c r="C228" s="22">
        <f>MONTH(Tabela32[[#This Row],[Data]])</f>
        <v>9</v>
      </c>
      <c r="D228" s="4" t="s">
        <v>30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66</v>
      </c>
      <c r="X228" s="4">
        <v>0</v>
      </c>
      <c r="Y228" s="5">
        <v>0</v>
      </c>
    </row>
    <row r="229" spans="1:25" x14ac:dyDescent="0.25">
      <c r="A229" s="8">
        <v>46267</v>
      </c>
      <c r="B229" s="22">
        <f>YEAR(Tabela32[[#This Row],[Data]])</f>
        <v>2026</v>
      </c>
      <c r="C229" s="22">
        <f>MONTH(Tabela32[[#This Row],[Data]])</f>
        <v>9</v>
      </c>
      <c r="D229" s="4" t="s">
        <v>24</v>
      </c>
      <c r="E229" s="4">
        <v>5</v>
      </c>
      <c r="F229" s="4" t="str">
        <f>IFERROR(VLOOKUP(Tabela32[[#This Row],[Placa]],Planilha2!$A$1:$B$12,2,0),"")</f>
        <v>Wesley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40</v>
      </c>
      <c r="X229" s="4">
        <v>1</v>
      </c>
      <c r="Y229" s="5">
        <v>13</v>
      </c>
    </row>
    <row r="230" spans="1:25" x14ac:dyDescent="0.25">
      <c r="A230" s="8">
        <v>46267</v>
      </c>
      <c r="B230" s="22">
        <f>YEAR(Tabela32[[#This Row],[Data]])</f>
        <v>2026</v>
      </c>
      <c r="C230" s="22">
        <f>MONTH(Tabela32[[#This Row],[Data]])</f>
        <v>9</v>
      </c>
      <c r="D230" s="4" t="s">
        <v>32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40</v>
      </c>
      <c r="X230" s="4">
        <v>0</v>
      </c>
      <c r="Y230" s="5">
        <v>0</v>
      </c>
    </row>
    <row r="231" spans="1:25" x14ac:dyDescent="0.25">
      <c r="A231" s="8">
        <v>46267</v>
      </c>
      <c r="B231" s="22">
        <f>YEAR(Tabela32[[#This Row],[Data]])</f>
        <v>2026</v>
      </c>
      <c r="C231" s="22">
        <f>MONTH(Tabela32[[#This Row],[Data]])</f>
        <v>9</v>
      </c>
      <c r="D231" s="4" t="s">
        <v>32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45</v>
      </c>
      <c r="X231" s="4">
        <v>0</v>
      </c>
      <c r="Y231" s="5">
        <v>0</v>
      </c>
    </row>
    <row r="232" spans="1:25" x14ac:dyDescent="0.25">
      <c r="A232" s="8">
        <v>46267</v>
      </c>
      <c r="B232" s="22">
        <f>YEAR(Tabela32[[#This Row],[Data]])</f>
        <v>2026</v>
      </c>
      <c r="C232" s="22">
        <f>MONTH(Tabela32[[#This Row],[Data]])</f>
        <v>9</v>
      </c>
      <c r="D232" s="4" t="s">
        <v>28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40</v>
      </c>
      <c r="X232" s="4">
        <v>1</v>
      </c>
      <c r="Y232" s="5">
        <v>38</v>
      </c>
    </row>
    <row r="233" spans="1:25" x14ac:dyDescent="0.25">
      <c r="A233" s="8">
        <v>46267</v>
      </c>
      <c r="B233" s="22">
        <f>YEAR(Tabela32[[#This Row],[Data]])</f>
        <v>2026</v>
      </c>
      <c r="C233" s="22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45</v>
      </c>
      <c r="X233" s="4">
        <v>0</v>
      </c>
      <c r="Y233" s="5">
        <v>0</v>
      </c>
    </row>
  </sheetData>
  <conditionalFormatting sqref="J2:J233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233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233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D2:D233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2026-09-03T12:55:55Z</dcterms:modified>
</cp:coreProperties>
</file>