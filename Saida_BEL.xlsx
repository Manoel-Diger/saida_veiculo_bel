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F8D03638-7582-4130-9CE7-F89F2C599F4C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9" i="4" l="1"/>
  <c r="C479" i="4"/>
  <c r="F479" i="4"/>
  <c r="J479" i="4"/>
  <c r="M479" i="4"/>
  <c r="P479" i="4"/>
  <c r="T479" i="4"/>
  <c r="U479" i="4"/>
  <c r="V479" i="4" s="1"/>
  <c r="B478" i="4"/>
  <c r="C478" i="4"/>
  <c r="F478" i="4"/>
  <c r="J478" i="4"/>
  <c r="M478" i="4"/>
  <c r="P478" i="4"/>
  <c r="T478" i="4"/>
  <c r="U478" i="4"/>
  <c r="V478" i="4" s="1"/>
  <c r="B477" i="4"/>
  <c r="C477" i="4"/>
  <c r="F477" i="4"/>
  <c r="J477" i="4"/>
  <c r="M477" i="4"/>
  <c r="P477" i="4"/>
  <c r="T477" i="4"/>
  <c r="U477" i="4"/>
  <c r="V477" i="4" s="1"/>
  <c r="B476" i="4"/>
  <c r="C476" i="4"/>
  <c r="F476" i="4"/>
  <c r="J476" i="4"/>
  <c r="M476" i="4"/>
  <c r="P476" i="4"/>
  <c r="T476" i="4"/>
  <c r="U476" i="4"/>
  <c r="V476" i="4" s="1"/>
  <c r="B475" i="4"/>
  <c r="C475" i="4"/>
  <c r="F475" i="4"/>
  <c r="J475" i="4"/>
  <c r="M475" i="4"/>
  <c r="P475" i="4"/>
  <c r="T475" i="4"/>
  <c r="U475" i="4"/>
  <c r="V475" i="4" s="1"/>
  <c r="B474" i="4"/>
  <c r="C474" i="4"/>
  <c r="F474" i="4"/>
  <c r="J474" i="4"/>
  <c r="M474" i="4"/>
  <c r="P474" i="4"/>
  <c r="T474" i="4"/>
  <c r="U474" i="4"/>
  <c r="V474" i="4" s="1"/>
  <c r="B473" i="4"/>
  <c r="C473" i="4"/>
  <c r="F473" i="4"/>
  <c r="J473" i="4"/>
  <c r="M473" i="4"/>
  <c r="P473" i="4"/>
  <c r="T473" i="4"/>
  <c r="U473" i="4"/>
  <c r="V473" i="4" s="1"/>
  <c r="B472" i="4"/>
  <c r="C472" i="4"/>
  <c r="F472" i="4"/>
  <c r="J472" i="4"/>
  <c r="M472" i="4"/>
  <c r="P472" i="4"/>
  <c r="T472" i="4"/>
  <c r="U472" i="4"/>
  <c r="V472" i="4" s="1"/>
  <c r="B471" i="4"/>
  <c r="C471" i="4"/>
  <c r="F471" i="4"/>
  <c r="J471" i="4"/>
  <c r="M471" i="4"/>
  <c r="P471" i="4"/>
  <c r="T471" i="4"/>
  <c r="U471" i="4"/>
  <c r="V471" i="4" s="1"/>
  <c r="B470" i="4"/>
  <c r="C470" i="4"/>
  <c r="F470" i="4"/>
  <c r="J470" i="4"/>
  <c r="M470" i="4"/>
  <c r="P470" i="4"/>
  <c r="T470" i="4"/>
  <c r="U470" i="4"/>
  <c r="V470" i="4" s="1"/>
  <c r="B469" i="4"/>
  <c r="C469" i="4"/>
  <c r="F469" i="4"/>
  <c r="J469" i="4"/>
  <c r="M469" i="4"/>
  <c r="P469" i="4"/>
  <c r="T469" i="4"/>
  <c r="U469" i="4"/>
  <c r="V469" i="4" s="1"/>
  <c r="B468" i="4"/>
  <c r="C468" i="4"/>
  <c r="F468" i="4"/>
  <c r="J468" i="4"/>
  <c r="M468" i="4"/>
  <c r="P468" i="4"/>
  <c r="T468" i="4"/>
  <c r="U468" i="4"/>
  <c r="V468" i="4" s="1"/>
  <c r="B467" i="4"/>
  <c r="C467" i="4"/>
  <c r="F467" i="4"/>
  <c r="J467" i="4"/>
  <c r="M467" i="4"/>
  <c r="P467" i="4"/>
  <c r="T467" i="4"/>
  <c r="U467" i="4"/>
  <c r="V467" i="4" s="1"/>
  <c r="P466" i="4"/>
  <c r="B466" i="4"/>
  <c r="C466" i="4"/>
  <c r="F466" i="4"/>
  <c r="J466" i="4"/>
  <c r="M466" i="4"/>
  <c r="T466" i="4"/>
  <c r="U466" i="4"/>
  <c r="V466" i="4" s="1"/>
  <c r="B465" i="4"/>
  <c r="C465" i="4"/>
  <c r="F465" i="4"/>
  <c r="J465" i="4"/>
  <c r="M465" i="4"/>
  <c r="P465" i="4"/>
  <c r="T465" i="4"/>
  <c r="U465" i="4"/>
  <c r="V465" i="4" s="1"/>
  <c r="B464" i="4"/>
  <c r="C464" i="4"/>
  <c r="F464" i="4"/>
  <c r="J464" i="4"/>
  <c r="M464" i="4"/>
  <c r="P464" i="4"/>
  <c r="T464" i="4"/>
  <c r="U464" i="4"/>
  <c r="V464" i="4" s="1"/>
  <c r="B463" i="4"/>
  <c r="C463" i="4"/>
  <c r="F463" i="4"/>
  <c r="J463" i="4"/>
  <c r="M463" i="4"/>
  <c r="P463" i="4"/>
  <c r="T463" i="4"/>
  <c r="U463" i="4"/>
  <c r="V463" i="4" s="1"/>
  <c r="B462" i="4"/>
  <c r="C462" i="4"/>
  <c r="F462" i="4"/>
  <c r="J462" i="4"/>
  <c r="M462" i="4"/>
  <c r="P462" i="4"/>
  <c r="T462" i="4"/>
  <c r="U462" i="4"/>
  <c r="V462" i="4" s="1"/>
  <c r="B461" i="4"/>
  <c r="C461" i="4"/>
  <c r="F461" i="4"/>
  <c r="J461" i="4"/>
  <c r="M461" i="4"/>
  <c r="P461" i="4"/>
  <c r="T461" i="4"/>
  <c r="U461" i="4"/>
  <c r="V461" i="4" s="1"/>
  <c r="B460" i="4"/>
  <c r="C460" i="4"/>
  <c r="F460" i="4"/>
  <c r="J460" i="4"/>
  <c r="M460" i="4"/>
  <c r="P460" i="4"/>
  <c r="T460" i="4"/>
  <c r="U460" i="4"/>
  <c r="V460" i="4" s="1"/>
  <c r="B459" i="4"/>
  <c r="C459" i="4"/>
  <c r="F459" i="4"/>
  <c r="J459" i="4"/>
  <c r="M459" i="4"/>
  <c r="P459" i="4"/>
  <c r="T459" i="4"/>
  <c r="U459" i="4"/>
  <c r="V459" i="4" s="1"/>
  <c r="B458" i="4"/>
  <c r="C458" i="4"/>
  <c r="F458" i="4"/>
  <c r="J458" i="4"/>
  <c r="M458" i="4"/>
  <c r="P458" i="4"/>
  <c r="T458" i="4"/>
  <c r="U458" i="4"/>
  <c r="V458" i="4" s="1"/>
  <c r="B457" i="4"/>
  <c r="C457" i="4"/>
  <c r="F457" i="4"/>
  <c r="J457" i="4"/>
  <c r="M457" i="4"/>
  <c r="P457" i="4"/>
  <c r="T457" i="4"/>
  <c r="U457" i="4"/>
  <c r="V457" i="4" s="1"/>
  <c r="B456" i="4"/>
  <c r="C456" i="4"/>
  <c r="F456" i="4"/>
  <c r="J456" i="4"/>
  <c r="M456" i="4"/>
  <c r="P456" i="4"/>
  <c r="T456" i="4"/>
  <c r="U456" i="4"/>
  <c r="V456" i="4" s="1"/>
  <c r="H23" i="3"/>
  <c r="K23" i="3"/>
  <c r="M23" i="3"/>
  <c r="Q23" i="3"/>
  <c r="R23" i="3"/>
  <c r="S23" i="3" s="1"/>
  <c r="B455" i="4"/>
  <c r="C455" i="4"/>
  <c r="F455" i="4"/>
  <c r="J455" i="4"/>
  <c r="M455" i="4"/>
  <c r="P455" i="4"/>
  <c r="T455" i="4"/>
  <c r="U455" i="4"/>
  <c r="V455" i="4" s="1"/>
  <c r="B454" i="4"/>
  <c r="C454" i="4"/>
  <c r="F454" i="4"/>
  <c r="J454" i="4"/>
  <c r="M454" i="4"/>
  <c r="P454" i="4"/>
  <c r="T454" i="4"/>
  <c r="U454" i="4"/>
  <c r="V454" i="4" s="1"/>
  <c r="B453" i="4"/>
  <c r="C453" i="4"/>
  <c r="F453" i="4"/>
  <c r="J453" i="4"/>
  <c r="M453" i="4"/>
  <c r="P453" i="4"/>
  <c r="T453" i="4"/>
  <c r="U453" i="4"/>
  <c r="V453" i="4" s="1"/>
  <c r="B452" i="4"/>
  <c r="C452" i="4"/>
  <c r="F452" i="4"/>
  <c r="J452" i="4"/>
  <c r="M452" i="4"/>
  <c r="P452" i="4"/>
  <c r="T452" i="4"/>
  <c r="U452" i="4"/>
  <c r="V452" i="4" s="1"/>
  <c r="B451" i="4"/>
  <c r="C451" i="4"/>
  <c r="F451" i="4"/>
  <c r="J451" i="4"/>
  <c r="M451" i="4"/>
  <c r="P451" i="4"/>
  <c r="T451" i="4"/>
  <c r="U451" i="4"/>
  <c r="V451" i="4" s="1"/>
  <c r="B450" i="4"/>
  <c r="C450" i="4"/>
  <c r="F450" i="4"/>
  <c r="J450" i="4"/>
  <c r="M450" i="4"/>
  <c r="P450" i="4"/>
  <c r="T450" i="4"/>
  <c r="U450" i="4"/>
  <c r="V450" i="4" s="1"/>
  <c r="B449" i="4"/>
  <c r="C449" i="4"/>
  <c r="F449" i="4"/>
  <c r="J449" i="4"/>
  <c r="M449" i="4"/>
  <c r="P449" i="4"/>
  <c r="T449" i="4"/>
  <c r="U449" i="4"/>
  <c r="V449" i="4" s="1"/>
  <c r="B448" i="4"/>
  <c r="C448" i="4"/>
  <c r="F448" i="4"/>
  <c r="J448" i="4"/>
  <c r="M448" i="4"/>
  <c r="P448" i="4"/>
  <c r="T448" i="4"/>
  <c r="U448" i="4"/>
  <c r="V448" i="4" s="1"/>
  <c r="B447" i="4"/>
  <c r="C447" i="4"/>
  <c r="F447" i="4"/>
  <c r="J447" i="4"/>
  <c r="M447" i="4"/>
  <c r="P447" i="4"/>
  <c r="T447" i="4"/>
  <c r="U447" i="4"/>
  <c r="V447" i="4" s="1"/>
  <c r="B446" i="4"/>
  <c r="C446" i="4"/>
  <c r="F446" i="4"/>
  <c r="J446" i="4"/>
  <c r="M446" i="4"/>
  <c r="P446" i="4"/>
  <c r="T446" i="4"/>
  <c r="U446" i="4"/>
  <c r="V446" i="4" s="1"/>
  <c r="B445" i="4"/>
  <c r="C445" i="4"/>
  <c r="F445" i="4"/>
  <c r="J445" i="4"/>
  <c r="M445" i="4"/>
  <c r="P445" i="4"/>
  <c r="T445" i="4"/>
  <c r="U445" i="4"/>
  <c r="V445" i="4" s="1"/>
  <c r="H22" i="3"/>
  <c r="K22" i="3"/>
  <c r="M22" i="3"/>
  <c r="Q22" i="3"/>
  <c r="R22" i="3"/>
  <c r="S22" i="3" s="1"/>
  <c r="T444" i="4"/>
  <c r="B444" i="4"/>
  <c r="C444" i="4"/>
  <c r="F444" i="4"/>
  <c r="J444" i="4"/>
  <c r="M444" i="4"/>
  <c r="P444" i="4"/>
  <c r="U444" i="4"/>
  <c r="V444" i="4" s="1"/>
  <c r="B443" i="4"/>
  <c r="C443" i="4"/>
  <c r="F443" i="4"/>
  <c r="J443" i="4"/>
  <c r="M443" i="4"/>
  <c r="P443" i="4"/>
  <c r="T443" i="4"/>
  <c r="U443" i="4"/>
  <c r="V443" i="4" s="1"/>
  <c r="B442" i="4"/>
  <c r="C442" i="4"/>
  <c r="F442" i="4"/>
  <c r="J442" i="4"/>
  <c r="M442" i="4"/>
  <c r="P442" i="4"/>
  <c r="T442" i="4"/>
  <c r="U442" i="4"/>
  <c r="V442" i="4" s="1"/>
  <c r="B441" i="4"/>
  <c r="C441" i="4"/>
  <c r="F441" i="4"/>
  <c r="J441" i="4"/>
  <c r="M441" i="4"/>
  <c r="P441" i="4"/>
  <c r="T441" i="4"/>
  <c r="U441" i="4"/>
  <c r="V441" i="4" s="1"/>
  <c r="B440" i="4"/>
  <c r="C440" i="4"/>
  <c r="F440" i="4"/>
  <c r="J440" i="4"/>
  <c r="M440" i="4"/>
  <c r="P440" i="4"/>
  <c r="T440" i="4"/>
  <c r="U440" i="4"/>
  <c r="V440" i="4" s="1"/>
  <c r="B439" i="4"/>
  <c r="C439" i="4"/>
  <c r="F439" i="4"/>
  <c r="J439" i="4"/>
  <c r="M439" i="4"/>
  <c r="P439" i="4"/>
  <c r="T439" i="4"/>
  <c r="U439" i="4"/>
  <c r="V439" i="4" s="1"/>
  <c r="B438" i="4"/>
  <c r="C438" i="4"/>
  <c r="F438" i="4"/>
  <c r="J438" i="4"/>
  <c r="M438" i="4"/>
  <c r="P438" i="4"/>
  <c r="T438" i="4"/>
  <c r="U438" i="4"/>
  <c r="V438" i="4" s="1"/>
  <c r="B437" i="4"/>
  <c r="C437" i="4"/>
  <c r="F437" i="4"/>
  <c r="J437" i="4"/>
  <c r="M437" i="4"/>
  <c r="P437" i="4"/>
  <c r="T437" i="4"/>
  <c r="U437" i="4"/>
  <c r="V437" i="4" s="1"/>
  <c r="J436" i="4"/>
  <c r="B436" i="4"/>
  <c r="C436" i="4"/>
  <c r="F436" i="4"/>
  <c r="M436" i="4"/>
  <c r="P436" i="4"/>
  <c r="T436" i="4"/>
  <c r="U436" i="4"/>
  <c r="V436" i="4" s="1"/>
  <c r="B435" i="4"/>
  <c r="C435" i="4"/>
  <c r="F435" i="4"/>
  <c r="J435" i="4"/>
  <c r="M435" i="4"/>
  <c r="P435" i="4"/>
  <c r="T435" i="4"/>
  <c r="U435" i="4"/>
  <c r="V435" i="4" s="1"/>
  <c r="H21" i="3"/>
  <c r="K21" i="3"/>
  <c r="M21" i="3"/>
  <c r="Q21" i="3"/>
  <c r="R21" i="3"/>
  <c r="S21" i="3" s="1"/>
  <c r="B434" i="4"/>
  <c r="C434" i="4"/>
  <c r="F434" i="4"/>
  <c r="J434" i="4"/>
  <c r="M434" i="4"/>
  <c r="P434" i="4"/>
  <c r="T434" i="4"/>
  <c r="U434" i="4"/>
  <c r="V434" i="4" s="1"/>
  <c r="M433" i="4"/>
  <c r="B433" i="4"/>
  <c r="C433" i="4"/>
  <c r="F433" i="4"/>
  <c r="J433" i="4"/>
  <c r="P433" i="4"/>
  <c r="T433" i="4"/>
  <c r="U433" i="4"/>
  <c r="V433" i="4" s="1"/>
  <c r="T432" i="4"/>
  <c r="B432" i="4"/>
  <c r="C432" i="4"/>
  <c r="F432" i="4"/>
  <c r="J432" i="4"/>
  <c r="M432" i="4"/>
  <c r="P432" i="4"/>
  <c r="U432" i="4"/>
  <c r="V432" i="4" s="1"/>
  <c r="B431" i="4"/>
  <c r="C431" i="4"/>
  <c r="F431" i="4"/>
  <c r="J431" i="4"/>
  <c r="M431" i="4"/>
  <c r="P431" i="4"/>
  <c r="T431" i="4"/>
  <c r="U431" i="4"/>
  <c r="V431" i="4" s="1"/>
  <c r="B430" i="4"/>
  <c r="C430" i="4"/>
  <c r="F430" i="4"/>
  <c r="J430" i="4"/>
  <c r="M430" i="4"/>
  <c r="P430" i="4"/>
  <c r="T430" i="4"/>
  <c r="U430" i="4"/>
  <c r="V430" i="4" s="1"/>
  <c r="B429" i="4"/>
  <c r="C429" i="4"/>
  <c r="F429" i="4"/>
  <c r="J429" i="4"/>
  <c r="M429" i="4"/>
  <c r="P429" i="4"/>
  <c r="T429" i="4"/>
  <c r="U429" i="4"/>
  <c r="V429" i="4" s="1"/>
  <c r="B428" i="4"/>
  <c r="C428" i="4"/>
  <c r="F428" i="4"/>
  <c r="J428" i="4"/>
  <c r="M428" i="4"/>
  <c r="P428" i="4"/>
  <c r="T428" i="4"/>
  <c r="U428" i="4"/>
  <c r="V428" i="4" s="1"/>
  <c r="B427" i="4"/>
  <c r="C427" i="4"/>
  <c r="F427" i="4"/>
  <c r="J427" i="4"/>
  <c r="M427" i="4"/>
  <c r="P427" i="4"/>
  <c r="T427" i="4"/>
  <c r="U427" i="4"/>
  <c r="V427" i="4" s="1"/>
  <c r="B426" i="4"/>
  <c r="C426" i="4"/>
  <c r="F426" i="4"/>
  <c r="J426" i="4"/>
  <c r="M426" i="4"/>
  <c r="P426" i="4"/>
  <c r="T426" i="4"/>
  <c r="U426" i="4"/>
  <c r="V426" i="4" s="1"/>
  <c r="B425" i="4"/>
  <c r="C425" i="4"/>
  <c r="F425" i="4"/>
  <c r="J425" i="4"/>
  <c r="M425" i="4"/>
  <c r="P425" i="4"/>
  <c r="T425" i="4"/>
  <c r="U425" i="4"/>
  <c r="V425" i="4" s="1"/>
  <c r="B424" i="4"/>
  <c r="C424" i="4"/>
  <c r="F424" i="4"/>
  <c r="J424" i="4"/>
  <c r="M424" i="4"/>
  <c r="P424" i="4"/>
  <c r="T424" i="4"/>
  <c r="U424" i="4"/>
  <c r="V424" i="4" s="1"/>
  <c r="B423" i="4"/>
  <c r="C423" i="4"/>
  <c r="F423" i="4"/>
  <c r="J423" i="4"/>
  <c r="M423" i="4"/>
  <c r="P423" i="4"/>
  <c r="T423" i="4"/>
  <c r="U423" i="4"/>
  <c r="V423" i="4" s="1"/>
  <c r="B422" i="4"/>
  <c r="C422" i="4"/>
  <c r="F422" i="4"/>
  <c r="J422" i="4"/>
  <c r="M422" i="4"/>
  <c r="P422" i="4"/>
  <c r="T422" i="4"/>
  <c r="U422" i="4"/>
  <c r="V422" i="4" s="1"/>
  <c r="B421" i="4"/>
  <c r="C421" i="4"/>
  <c r="F421" i="4"/>
  <c r="J421" i="4"/>
  <c r="M421" i="4"/>
  <c r="P421" i="4"/>
  <c r="T421" i="4"/>
  <c r="U421" i="4"/>
  <c r="V421" i="4" s="1"/>
  <c r="B420" i="4"/>
  <c r="C420" i="4"/>
  <c r="F420" i="4"/>
  <c r="J420" i="4"/>
  <c r="M420" i="4"/>
  <c r="P420" i="4"/>
  <c r="T420" i="4"/>
  <c r="U420" i="4"/>
  <c r="V420" i="4" s="1"/>
  <c r="B419" i="4"/>
  <c r="C419" i="4"/>
  <c r="F419" i="4"/>
  <c r="J419" i="4"/>
  <c r="M419" i="4"/>
  <c r="P419" i="4"/>
  <c r="T419" i="4"/>
  <c r="U419" i="4"/>
  <c r="V419" i="4" s="1"/>
  <c r="B418" i="4"/>
  <c r="C418" i="4"/>
  <c r="F418" i="4"/>
  <c r="J418" i="4"/>
  <c r="M418" i="4"/>
  <c r="P418" i="4"/>
  <c r="T418" i="4"/>
  <c r="U418" i="4"/>
  <c r="V418" i="4" s="1"/>
  <c r="B417" i="4"/>
  <c r="C417" i="4"/>
  <c r="F417" i="4"/>
  <c r="J417" i="4"/>
  <c r="M417" i="4"/>
  <c r="P417" i="4"/>
  <c r="T417" i="4"/>
  <c r="U417" i="4"/>
  <c r="V417" i="4" s="1"/>
  <c r="B416" i="4"/>
  <c r="C416" i="4"/>
  <c r="F416" i="4"/>
  <c r="J416" i="4"/>
  <c r="M416" i="4"/>
  <c r="P416" i="4"/>
  <c r="T416" i="4"/>
  <c r="U416" i="4"/>
  <c r="V416" i="4" s="1"/>
  <c r="B415" i="4"/>
  <c r="C415" i="4"/>
  <c r="F415" i="4"/>
  <c r="J415" i="4"/>
  <c r="M415" i="4"/>
  <c r="P415" i="4"/>
  <c r="T415" i="4"/>
  <c r="U415" i="4"/>
  <c r="V415" i="4" s="1"/>
  <c r="B414" i="4"/>
  <c r="C414" i="4"/>
  <c r="F414" i="4"/>
  <c r="J414" i="4"/>
  <c r="M414" i="4"/>
  <c r="P414" i="4"/>
  <c r="T414" i="4"/>
  <c r="U414" i="4"/>
  <c r="V414" i="4" s="1"/>
  <c r="H20" i="3"/>
  <c r="K20" i="3"/>
  <c r="M20" i="3"/>
  <c r="Q20" i="3"/>
  <c r="R20" i="3"/>
  <c r="S20" i="3"/>
  <c r="B413" i="4"/>
  <c r="C413" i="4"/>
  <c r="F413" i="4"/>
  <c r="J413" i="4"/>
  <c r="M413" i="4"/>
  <c r="P413" i="4"/>
  <c r="T413" i="4"/>
  <c r="U413" i="4"/>
  <c r="V413" i="4" s="1"/>
  <c r="B412" i="4"/>
  <c r="C412" i="4"/>
  <c r="F412" i="4"/>
  <c r="J412" i="4"/>
  <c r="M412" i="4"/>
  <c r="P412" i="4"/>
  <c r="T412" i="4"/>
  <c r="U412" i="4"/>
  <c r="V412" i="4" s="1"/>
  <c r="B411" i="4"/>
  <c r="C411" i="4"/>
  <c r="F411" i="4"/>
  <c r="J411" i="4"/>
  <c r="M411" i="4"/>
  <c r="P411" i="4"/>
  <c r="T411" i="4"/>
  <c r="U411" i="4"/>
  <c r="V411" i="4" s="1"/>
  <c r="B410" i="4"/>
  <c r="C410" i="4"/>
  <c r="F410" i="4"/>
  <c r="J410" i="4"/>
  <c r="M410" i="4"/>
  <c r="P410" i="4"/>
  <c r="T410" i="4"/>
  <c r="U410" i="4"/>
  <c r="V410" i="4" s="1"/>
  <c r="B409" i="4"/>
  <c r="C409" i="4"/>
  <c r="F409" i="4"/>
  <c r="J409" i="4"/>
  <c r="M409" i="4"/>
  <c r="P409" i="4"/>
  <c r="T409" i="4"/>
  <c r="U409" i="4"/>
  <c r="V409" i="4" s="1"/>
  <c r="B408" i="4"/>
  <c r="C408" i="4"/>
  <c r="F408" i="4"/>
  <c r="J408" i="4"/>
  <c r="M408" i="4"/>
  <c r="P408" i="4"/>
  <c r="T408" i="4"/>
  <c r="U408" i="4"/>
  <c r="V408" i="4" s="1"/>
  <c r="B407" i="4"/>
  <c r="C407" i="4"/>
  <c r="F407" i="4"/>
  <c r="J407" i="4"/>
  <c r="M407" i="4"/>
  <c r="P407" i="4"/>
  <c r="T407" i="4"/>
  <c r="U407" i="4"/>
  <c r="V407" i="4" s="1"/>
  <c r="B406" i="4"/>
  <c r="C406" i="4"/>
  <c r="F406" i="4"/>
  <c r="J406" i="4"/>
  <c r="M406" i="4"/>
  <c r="P406" i="4"/>
  <c r="T406" i="4"/>
  <c r="U406" i="4"/>
  <c r="V406" i="4" s="1"/>
  <c r="B405" i="4"/>
  <c r="C405" i="4"/>
  <c r="F405" i="4"/>
  <c r="J405" i="4"/>
  <c r="M405" i="4"/>
  <c r="P405" i="4"/>
  <c r="T405" i="4"/>
  <c r="U405" i="4"/>
  <c r="V405" i="4" s="1"/>
  <c r="B404" i="4"/>
  <c r="C404" i="4"/>
  <c r="F404" i="4"/>
  <c r="J404" i="4"/>
  <c r="M404" i="4"/>
  <c r="P404" i="4"/>
  <c r="T404" i="4"/>
  <c r="U404" i="4"/>
  <c r="V404" i="4" s="1"/>
  <c r="T403" i="4"/>
  <c r="B403" i="4"/>
  <c r="C403" i="4"/>
  <c r="F403" i="4"/>
  <c r="J403" i="4"/>
  <c r="M403" i="4"/>
  <c r="P403" i="4"/>
  <c r="U403" i="4"/>
  <c r="V403" i="4" s="1"/>
  <c r="H19" i="3"/>
  <c r="K19" i="3"/>
  <c r="M19" i="3"/>
  <c r="Q19" i="3"/>
  <c r="R19" i="3"/>
  <c r="S19" i="3" s="1"/>
  <c r="J402" i="4"/>
  <c r="B402" i="4"/>
  <c r="C402" i="4"/>
  <c r="F402" i="4"/>
  <c r="M402" i="4"/>
  <c r="P402" i="4"/>
  <c r="T402" i="4"/>
  <c r="U402" i="4"/>
  <c r="V402" i="4" s="1"/>
  <c r="B401" i="4"/>
  <c r="C401" i="4"/>
  <c r="F401" i="4"/>
  <c r="J401" i="4"/>
  <c r="M401" i="4"/>
  <c r="P401" i="4"/>
  <c r="T401" i="4"/>
  <c r="U401" i="4"/>
  <c r="V401" i="4" s="1"/>
  <c r="B400" i="4"/>
  <c r="C400" i="4"/>
  <c r="F400" i="4"/>
  <c r="J400" i="4"/>
  <c r="M400" i="4"/>
  <c r="P400" i="4"/>
  <c r="T400" i="4"/>
  <c r="U400" i="4"/>
  <c r="V400" i="4" s="1"/>
  <c r="B399" i="4"/>
  <c r="C399" i="4"/>
  <c r="F399" i="4"/>
  <c r="J399" i="4"/>
  <c r="M399" i="4"/>
  <c r="P399" i="4"/>
  <c r="T399" i="4"/>
  <c r="U399" i="4"/>
  <c r="V399" i="4" s="1"/>
  <c r="B398" i="4"/>
  <c r="C398" i="4"/>
  <c r="F398" i="4"/>
  <c r="J398" i="4"/>
  <c r="M398" i="4"/>
  <c r="P398" i="4"/>
  <c r="T398" i="4"/>
  <c r="U398" i="4"/>
  <c r="V398" i="4" s="1"/>
  <c r="B397" i="4"/>
  <c r="C397" i="4"/>
  <c r="F397" i="4"/>
  <c r="J397" i="4"/>
  <c r="M397" i="4"/>
  <c r="P397" i="4"/>
  <c r="T397" i="4"/>
  <c r="U397" i="4"/>
  <c r="V397" i="4" s="1"/>
  <c r="B396" i="4"/>
  <c r="C396" i="4"/>
  <c r="F396" i="4"/>
  <c r="J396" i="4"/>
  <c r="M396" i="4"/>
  <c r="P396" i="4"/>
  <c r="T396" i="4"/>
  <c r="U396" i="4"/>
  <c r="V396" i="4" s="1"/>
  <c r="B395" i="4"/>
  <c r="C395" i="4"/>
  <c r="F395" i="4"/>
  <c r="J395" i="4"/>
  <c r="M395" i="4"/>
  <c r="P395" i="4"/>
  <c r="T395" i="4"/>
  <c r="U395" i="4"/>
  <c r="V395" i="4" s="1"/>
  <c r="B394" i="4"/>
  <c r="C394" i="4"/>
  <c r="F394" i="4"/>
  <c r="J394" i="4"/>
  <c r="M394" i="4"/>
  <c r="P394" i="4"/>
  <c r="T394" i="4"/>
  <c r="U394" i="4"/>
  <c r="V394" i="4" s="1"/>
  <c r="B393" i="4"/>
  <c r="C393" i="4"/>
  <c r="F393" i="4"/>
  <c r="J393" i="4"/>
  <c r="M393" i="4"/>
  <c r="P393" i="4"/>
  <c r="T393" i="4"/>
  <c r="U393" i="4"/>
  <c r="V393" i="4" s="1"/>
  <c r="H18" i="3"/>
  <c r="K18" i="3"/>
  <c r="M18" i="3"/>
  <c r="Q18" i="3"/>
  <c r="R18" i="3"/>
  <c r="S18" i="3" s="1"/>
  <c r="B392" i="4"/>
  <c r="C392" i="4"/>
  <c r="F392" i="4"/>
  <c r="J392" i="4"/>
  <c r="M392" i="4"/>
  <c r="P392" i="4"/>
  <c r="T392" i="4"/>
  <c r="U392" i="4"/>
  <c r="V392" i="4" s="1"/>
  <c r="B391" i="4"/>
  <c r="C391" i="4"/>
  <c r="F391" i="4"/>
  <c r="J391" i="4"/>
  <c r="M391" i="4"/>
  <c r="P391" i="4"/>
  <c r="T391" i="4"/>
  <c r="U391" i="4"/>
  <c r="V391" i="4" s="1"/>
  <c r="F390" i="4"/>
  <c r="B390" i="4"/>
  <c r="C390" i="4"/>
  <c r="J390" i="4"/>
  <c r="M390" i="4"/>
  <c r="P390" i="4"/>
  <c r="T390" i="4"/>
  <c r="U390" i="4"/>
  <c r="V390" i="4" s="1"/>
  <c r="B389" i="4"/>
  <c r="C389" i="4"/>
  <c r="F389" i="4"/>
  <c r="J389" i="4"/>
  <c r="M389" i="4"/>
  <c r="P389" i="4"/>
  <c r="T389" i="4"/>
  <c r="U389" i="4"/>
  <c r="V389" i="4" s="1"/>
  <c r="B388" i="4"/>
  <c r="C388" i="4"/>
  <c r="F388" i="4"/>
  <c r="J388" i="4"/>
  <c r="M388" i="4"/>
  <c r="P388" i="4"/>
  <c r="T388" i="4"/>
  <c r="U388" i="4"/>
  <c r="V388" i="4" s="1"/>
  <c r="B387" i="4"/>
  <c r="C387" i="4"/>
  <c r="F387" i="4"/>
  <c r="J387" i="4"/>
  <c r="M387" i="4"/>
  <c r="P387" i="4"/>
  <c r="T387" i="4"/>
  <c r="U387" i="4"/>
  <c r="V387" i="4" s="1"/>
  <c r="B386" i="4" l="1"/>
  <c r="C386" i="4"/>
  <c r="F386" i="4"/>
  <c r="J386" i="4"/>
  <c r="M386" i="4"/>
  <c r="P386" i="4"/>
  <c r="T386" i="4"/>
  <c r="U386" i="4"/>
  <c r="V386" i="4" s="1"/>
  <c r="F385" i="4"/>
  <c r="B385" i="4"/>
  <c r="C385" i="4"/>
  <c r="J385" i="4"/>
  <c r="M385" i="4"/>
  <c r="P385" i="4"/>
  <c r="T385" i="4"/>
  <c r="U385" i="4"/>
  <c r="V385" i="4" s="1"/>
  <c r="M384" i="4"/>
  <c r="B384" i="4"/>
  <c r="C384" i="4"/>
  <c r="F384" i="4"/>
  <c r="J384" i="4"/>
  <c r="P384" i="4"/>
  <c r="T384" i="4"/>
  <c r="U384" i="4"/>
  <c r="V384" i="4" s="1"/>
  <c r="B383" i="4"/>
  <c r="C383" i="4"/>
  <c r="F383" i="4"/>
  <c r="J383" i="4"/>
  <c r="M383" i="4"/>
  <c r="P383" i="4"/>
  <c r="T383" i="4"/>
  <c r="U383" i="4"/>
  <c r="V383" i="4" s="1"/>
  <c r="B382" i="4"/>
  <c r="C382" i="4"/>
  <c r="F382" i="4"/>
  <c r="J382" i="4"/>
  <c r="M382" i="4"/>
  <c r="P382" i="4"/>
  <c r="T382" i="4"/>
  <c r="U382" i="4"/>
  <c r="V382" i="4" s="1"/>
  <c r="H17" i="3"/>
  <c r="K17" i="3"/>
  <c r="M17" i="3"/>
  <c r="Q17" i="3"/>
  <c r="R17" i="3"/>
  <c r="S17" i="3" s="1"/>
  <c r="H16" i="3"/>
  <c r="K16" i="3"/>
  <c r="M16" i="3"/>
  <c r="Q16" i="3"/>
  <c r="R16" i="3"/>
  <c r="S16" i="3" s="1"/>
  <c r="B381" i="4"/>
  <c r="C381" i="4"/>
  <c r="F381" i="4"/>
  <c r="J381" i="4"/>
  <c r="M381" i="4"/>
  <c r="P381" i="4"/>
  <c r="T381" i="4"/>
  <c r="U381" i="4"/>
  <c r="V381" i="4" s="1"/>
  <c r="B380" i="4"/>
  <c r="C380" i="4"/>
  <c r="F380" i="4"/>
  <c r="J380" i="4"/>
  <c r="M380" i="4"/>
  <c r="P380" i="4"/>
  <c r="T380" i="4"/>
  <c r="U380" i="4"/>
  <c r="V380" i="4" s="1"/>
  <c r="B379" i="4"/>
  <c r="C379" i="4"/>
  <c r="F379" i="4"/>
  <c r="J379" i="4"/>
  <c r="M379" i="4"/>
  <c r="P379" i="4"/>
  <c r="T379" i="4"/>
  <c r="U379" i="4"/>
  <c r="V379" i="4" s="1"/>
  <c r="B378" i="4"/>
  <c r="C378" i="4"/>
  <c r="F378" i="4"/>
  <c r="J378" i="4"/>
  <c r="M378" i="4"/>
  <c r="P378" i="4"/>
  <c r="T378" i="4"/>
  <c r="U378" i="4"/>
  <c r="V378" i="4" s="1"/>
  <c r="B377" i="4"/>
  <c r="C377" i="4"/>
  <c r="F377" i="4"/>
  <c r="J377" i="4"/>
  <c r="M377" i="4"/>
  <c r="P377" i="4"/>
  <c r="T377" i="4"/>
  <c r="U377" i="4"/>
  <c r="V377" i="4" s="1"/>
  <c r="B376" i="4"/>
  <c r="C376" i="4"/>
  <c r="F376" i="4"/>
  <c r="J376" i="4"/>
  <c r="M376" i="4"/>
  <c r="P376" i="4"/>
  <c r="T376" i="4"/>
  <c r="U376" i="4"/>
  <c r="V376" i="4" s="1"/>
  <c r="B375" i="4"/>
  <c r="C375" i="4"/>
  <c r="F375" i="4"/>
  <c r="J375" i="4"/>
  <c r="M375" i="4"/>
  <c r="P375" i="4"/>
  <c r="T375" i="4"/>
  <c r="U375" i="4"/>
  <c r="V375" i="4" s="1"/>
  <c r="B374" i="4"/>
  <c r="C374" i="4"/>
  <c r="F374" i="4"/>
  <c r="J374" i="4"/>
  <c r="M374" i="4"/>
  <c r="P374" i="4"/>
  <c r="T374" i="4"/>
  <c r="U374" i="4"/>
  <c r="V374" i="4" s="1"/>
  <c r="B373" i="4"/>
  <c r="C373" i="4"/>
  <c r="F373" i="4"/>
  <c r="J373" i="4"/>
  <c r="M373" i="4"/>
  <c r="P373" i="4"/>
  <c r="T373" i="4"/>
  <c r="U373" i="4"/>
  <c r="V373" i="4" s="1"/>
  <c r="B372" i="4"/>
  <c r="C372" i="4"/>
  <c r="F372" i="4"/>
  <c r="J372" i="4"/>
  <c r="M372" i="4"/>
  <c r="P372" i="4"/>
  <c r="T372" i="4"/>
  <c r="U372" i="4"/>
  <c r="V372" i="4" s="1"/>
  <c r="B371" i="4"/>
  <c r="C371" i="4"/>
  <c r="F371" i="4"/>
  <c r="J371" i="4"/>
  <c r="M371" i="4"/>
  <c r="P371" i="4"/>
  <c r="T371" i="4"/>
  <c r="U371" i="4"/>
  <c r="V371" i="4" s="1"/>
  <c r="B370" i="4"/>
  <c r="C370" i="4"/>
  <c r="F370" i="4"/>
  <c r="J370" i="4"/>
  <c r="M370" i="4"/>
  <c r="P370" i="4"/>
  <c r="T370" i="4"/>
  <c r="U370" i="4"/>
  <c r="V370" i="4" s="1"/>
  <c r="B369" i="4"/>
  <c r="C369" i="4"/>
  <c r="F369" i="4"/>
  <c r="J369" i="4"/>
  <c r="M369" i="4"/>
  <c r="P369" i="4"/>
  <c r="T369" i="4"/>
  <c r="U369" i="4"/>
  <c r="V369" i="4" s="1"/>
  <c r="B368" i="4"/>
  <c r="C368" i="4"/>
  <c r="F368" i="4"/>
  <c r="J368" i="4"/>
  <c r="M368" i="4"/>
  <c r="P368" i="4"/>
  <c r="T368" i="4"/>
  <c r="U368" i="4"/>
  <c r="V368" i="4" s="1"/>
  <c r="B367" i="4"/>
  <c r="C367" i="4"/>
  <c r="F367" i="4"/>
  <c r="J367" i="4"/>
  <c r="M367" i="4"/>
  <c r="P367" i="4"/>
  <c r="T367" i="4"/>
  <c r="U367" i="4"/>
  <c r="V367" i="4" s="1"/>
  <c r="B366" i="4"/>
  <c r="C366" i="4"/>
  <c r="F366" i="4"/>
  <c r="J366" i="4"/>
  <c r="M366" i="4"/>
  <c r="P366" i="4"/>
  <c r="T366" i="4"/>
  <c r="U366" i="4"/>
  <c r="V366" i="4" s="1"/>
  <c r="B365" i="4"/>
  <c r="C365" i="4"/>
  <c r="F365" i="4"/>
  <c r="J365" i="4"/>
  <c r="M365" i="4"/>
  <c r="P365" i="4"/>
  <c r="T365" i="4"/>
  <c r="U365" i="4"/>
  <c r="V365" i="4" s="1"/>
  <c r="B364" i="4"/>
  <c r="C364" i="4"/>
  <c r="F364" i="4"/>
  <c r="J364" i="4"/>
  <c r="M364" i="4"/>
  <c r="P364" i="4"/>
  <c r="T364" i="4"/>
  <c r="U364" i="4"/>
  <c r="V364" i="4" s="1"/>
  <c r="B363" i="4"/>
  <c r="C363" i="4"/>
  <c r="F363" i="4"/>
  <c r="J363" i="4"/>
  <c r="M363" i="4"/>
  <c r="P363" i="4"/>
  <c r="T363" i="4"/>
  <c r="U363" i="4"/>
  <c r="V363" i="4" s="1"/>
  <c r="B362" i="4"/>
  <c r="C362" i="4"/>
  <c r="F362" i="4"/>
  <c r="J362" i="4"/>
  <c r="M362" i="4"/>
  <c r="P362" i="4"/>
  <c r="T362" i="4"/>
  <c r="U362" i="4"/>
  <c r="V362" i="4" s="1"/>
  <c r="B361" i="4"/>
  <c r="C361" i="4"/>
  <c r="F361" i="4"/>
  <c r="J361" i="4"/>
  <c r="M361" i="4"/>
  <c r="P361" i="4"/>
  <c r="T361" i="4"/>
  <c r="U361" i="4"/>
  <c r="V361" i="4" s="1"/>
  <c r="B360" i="4"/>
  <c r="C360" i="4"/>
  <c r="F360" i="4"/>
  <c r="J360" i="4"/>
  <c r="M360" i="4"/>
  <c r="P360" i="4"/>
  <c r="T360" i="4"/>
  <c r="U360" i="4"/>
  <c r="V360" i="4" s="1"/>
  <c r="B359" i="4"/>
  <c r="C359" i="4"/>
  <c r="F359" i="4"/>
  <c r="J359" i="4"/>
  <c r="M359" i="4"/>
  <c r="P359" i="4"/>
  <c r="T359" i="4"/>
  <c r="U359" i="4"/>
  <c r="V359" i="4" s="1"/>
  <c r="B358" i="4"/>
  <c r="C358" i="4"/>
  <c r="F358" i="4"/>
  <c r="J358" i="4"/>
  <c r="M358" i="4"/>
  <c r="P358" i="4"/>
  <c r="T358" i="4"/>
  <c r="U358" i="4"/>
  <c r="V358" i="4" s="1"/>
  <c r="B357" i="4"/>
  <c r="C357" i="4"/>
  <c r="F357" i="4"/>
  <c r="J357" i="4"/>
  <c r="M357" i="4"/>
  <c r="P357" i="4"/>
  <c r="T357" i="4"/>
  <c r="U357" i="4"/>
  <c r="V357" i="4" s="1"/>
  <c r="B356" i="4"/>
  <c r="C356" i="4"/>
  <c r="F356" i="4"/>
  <c r="J356" i="4"/>
  <c r="M356" i="4"/>
  <c r="P356" i="4"/>
  <c r="T356" i="4"/>
  <c r="U356" i="4"/>
  <c r="V356" i="4" s="1"/>
  <c r="B355" i="4"/>
  <c r="C355" i="4"/>
  <c r="F355" i="4"/>
  <c r="J355" i="4"/>
  <c r="M355" i="4"/>
  <c r="P355" i="4"/>
  <c r="T355" i="4"/>
  <c r="U355" i="4"/>
  <c r="V355" i="4" s="1"/>
  <c r="H15" i="3"/>
  <c r="K15" i="3"/>
  <c r="M15" i="3"/>
  <c r="Q15" i="3"/>
  <c r="R15" i="3"/>
  <c r="S15" i="3" s="1"/>
  <c r="B354" i="4"/>
  <c r="C354" i="4"/>
  <c r="F354" i="4"/>
  <c r="J354" i="4"/>
  <c r="M354" i="4"/>
  <c r="P354" i="4"/>
  <c r="T354" i="4"/>
  <c r="U354" i="4"/>
  <c r="V354" i="4" s="1"/>
  <c r="B353" i="4"/>
  <c r="C353" i="4"/>
  <c r="F353" i="4"/>
  <c r="J353" i="4"/>
  <c r="M353" i="4"/>
  <c r="P353" i="4"/>
  <c r="T353" i="4"/>
  <c r="U353" i="4"/>
  <c r="V353" i="4" s="1"/>
  <c r="B352" i="4"/>
  <c r="C352" i="4"/>
  <c r="F352" i="4"/>
  <c r="J352" i="4"/>
  <c r="M352" i="4"/>
  <c r="P352" i="4"/>
  <c r="T352" i="4"/>
  <c r="U352" i="4"/>
  <c r="V352" i="4" s="1"/>
  <c r="B351" i="4"/>
  <c r="C351" i="4"/>
  <c r="F351" i="4"/>
  <c r="J351" i="4"/>
  <c r="M351" i="4"/>
  <c r="P351" i="4"/>
  <c r="T351" i="4"/>
  <c r="U351" i="4"/>
  <c r="V351" i="4" s="1"/>
  <c r="B350" i="4"/>
  <c r="C350" i="4"/>
  <c r="F350" i="4"/>
  <c r="J350" i="4"/>
  <c r="M350" i="4"/>
  <c r="P350" i="4"/>
  <c r="T350" i="4"/>
  <c r="U350" i="4"/>
  <c r="V350" i="4" s="1"/>
  <c r="B349" i="4"/>
  <c r="C349" i="4"/>
  <c r="F349" i="4"/>
  <c r="J349" i="4"/>
  <c r="M349" i="4"/>
  <c r="P349" i="4"/>
  <c r="T349" i="4"/>
  <c r="U349" i="4"/>
  <c r="V349" i="4" s="1"/>
  <c r="B348" i="4"/>
  <c r="C348" i="4"/>
  <c r="F348" i="4"/>
  <c r="J348" i="4"/>
  <c r="M348" i="4"/>
  <c r="P348" i="4"/>
  <c r="T348" i="4"/>
  <c r="U348" i="4"/>
  <c r="V348" i="4" s="1"/>
  <c r="B347" i="4"/>
  <c r="C347" i="4"/>
  <c r="F347" i="4"/>
  <c r="J347" i="4"/>
  <c r="M347" i="4"/>
  <c r="P347" i="4"/>
  <c r="T347" i="4"/>
  <c r="U347" i="4"/>
  <c r="V347" i="4" s="1"/>
  <c r="B346" i="4"/>
  <c r="C346" i="4"/>
  <c r="F346" i="4"/>
  <c r="J346" i="4"/>
  <c r="M346" i="4"/>
  <c r="P346" i="4"/>
  <c r="T346" i="4"/>
  <c r="U346" i="4"/>
  <c r="V346" i="4" s="1"/>
  <c r="B345" i="4"/>
  <c r="C345" i="4"/>
  <c r="F345" i="4"/>
  <c r="J345" i="4"/>
  <c r="M345" i="4"/>
  <c r="P345" i="4"/>
  <c r="T345" i="4"/>
  <c r="U345" i="4"/>
  <c r="V345" i="4" s="1"/>
  <c r="B344" i="4"/>
  <c r="C344" i="4"/>
  <c r="F344" i="4"/>
  <c r="J344" i="4"/>
  <c r="M344" i="4"/>
  <c r="P344" i="4"/>
  <c r="T344" i="4"/>
  <c r="U344" i="4"/>
  <c r="V344" i="4" s="1"/>
  <c r="H14" i="3"/>
  <c r="K14" i="3"/>
  <c r="M14" i="3"/>
  <c r="Q14" i="3"/>
  <c r="R14" i="3"/>
  <c r="S14" i="3" s="1"/>
  <c r="B343" i="4"/>
  <c r="C343" i="4"/>
  <c r="F343" i="4"/>
  <c r="J343" i="4"/>
  <c r="M343" i="4"/>
  <c r="P343" i="4"/>
  <c r="T343" i="4"/>
  <c r="U343" i="4"/>
  <c r="V343" i="4" s="1"/>
  <c r="B342" i="4"/>
  <c r="C342" i="4"/>
  <c r="F342" i="4"/>
  <c r="J342" i="4"/>
  <c r="M342" i="4"/>
  <c r="P342" i="4"/>
  <c r="T342" i="4"/>
  <c r="U342" i="4"/>
  <c r="V342" i="4" s="1"/>
  <c r="B341" i="4"/>
  <c r="C341" i="4"/>
  <c r="F341" i="4"/>
  <c r="J341" i="4"/>
  <c r="M341" i="4"/>
  <c r="P341" i="4"/>
  <c r="T341" i="4"/>
  <c r="U341" i="4"/>
  <c r="V341" i="4" s="1"/>
  <c r="B340" i="4"/>
  <c r="C340" i="4"/>
  <c r="F340" i="4"/>
  <c r="J340" i="4"/>
  <c r="M340" i="4"/>
  <c r="P340" i="4"/>
  <c r="T340" i="4"/>
  <c r="U340" i="4"/>
  <c r="V340" i="4" s="1"/>
  <c r="B339" i="4"/>
  <c r="C339" i="4"/>
  <c r="F339" i="4"/>
  <c r="J339" i="4"/>
  <c r="M339" i="4"/>
  <c r="P339" i="4"/>
  <c r="T339" i="4"/>
  <c r="U339" i="4"/>
  <c r="V339" i="4" s="1"/>
  <c r="B338" i="4"/>
  <c r="C338" i="4"/>
  <c r="F338" i="4"/>
  <c r="J338" i="4"/>
  <c r="M338" i="4"/>
  <c r="P338" i="4"/>
  <c r="T338" i="4"/>
  <c r="U338" i="4"/>
  <c r="V338" i="4" s="1"/>
  <c r="B337" i="4"/>
  <c r="C337" i="4"/>
  <c r="F337" i="4"/>
  <c r="J337" i="4"/>
  <c r="M337" i="4"/>
  <c r="P337" i="4"/>
  <c r="T337" i="4"/>
  <c r="U337" i="4"/>
  <c r="V337" i="4" s="1"/>
  <c r="B336" i="4"/>
  <c r="C336" i="4"/>
  <c r="F336" i="4"/>
  <c r="J336" i="4"/>
  <c r="M336" i="4"/>
  <c r="P336" i="4"/>
  <c r="T336" i="4"/>
  <c r="U336" i="4"/>
  <c r="V336" i="4" s="1"/>
  <c r="B335" i="4"/>
  <c r="C335" i="4"/>
  <c r="F335" i="4"/>
  <c r="J335" i="4"/>
  <c r="M335" i="4"/>
  <c r="P335" i="4"/>
  <c r="T335" i="4"/>
  <c r="U335" i="4"/>
  <c r="V335" i="4" s="1"/>
  <c r="B334" i="4"/>
  <c r="C334" i="4"/>
  <c r="F334" i="4"/>
  <c r="J334" i="4"/>
  <c r="M334" i="4"/>
  <c r="P334" i="4"/>
  <c r="T334" i="4"/>
  <c r="U334" i="4"/>
  <c r="V334" i="4" s="1"/>
  <c r="B333" i="4"/>
  <c r="C333" i="4"/>
  <c r="F333" i="4"/>
  <c r="J333" i="4"/>
  <c r="M333" i="4"/>
  <c r="P333" i="4"/>
  <c r="T333" i="4"/>
  <c r="U333" i="4"/>
  <c r="V333" i="4" s="1"/>
  <c r="H13" i="3"/>
  <c r="K13" i="3"/>
  <c r="M13" i="3"/>
  <c r="Q13" i="3"/>
  <c r="R13" i="3"/>
  <c r="S13" i="3" s="1"/>
  <c r="B332" i="4"/>
  <c r="C332" i="4"/>
  <c r="F332" i="4"/>
  <c r="J332" i="4"/>
  <c r="M332" i="4"/>
  <c r="P332" i="4"/>
  <c r="T332" i="4"/>
  <c r="U332" i="4"/>
  <c r="V332" i="4" s="1"/>
  <c r="B331" i="4"/>
  <c r="C331" i="4"/>
  <c r="F331" i="4"/>
  <c r="J331" i="4"/>
  <c r="M331" i="4"/>
  <c r="P331" i="4"/>
  <c r="T331" i="4"/>
  <c r="U331" i="4"/>
  <c r="V331" i="4" s="1"/>
  <c r="B330" i="4"/>
  <c r="C330" i="4"/>
  <c r="F330" i="4"/>
  <c r="J330" i="4"/>
  <c r="M330" i="4"/>
  <c r="P330" i="4"/>
  <c r="T330" i="4"/>
  <c r="U330" i="4"/>
  <c r="V330" i="4" s="1"/>
  <c r="B329" i="4"/>
  <c r="C329" i="4"/>
  <c r="F329" i="4"/>
  <c r="J329" i="4"/>
  <c r="M329" i="4"/>
  <c r="P329" i="4"/>
  <c r="T329" i="4"/>
  <c r="U329" i="4"/>
  <c r="V329" i="4" s="1"/>
  <c r="F328" i="4"/>
  <c r="B328" i="4"/>
  <c r="C328" i="4"/>
  <c r="J328" i="4"/>
  <c r="M328" i="4"/>
  <c r="P328" i="4"/>
  <c r="T328" i="4"/>
  <c r="U328" i="4"/>
  <c r="V328" i="4" s="1"/>
  <c r="M327" i="4"/>
  <c r="B327" i="4"/>
  <c r="C327" i="4"/>
  <c r="F327" i="4"/>
  <c r="J327" i="4"/>
  <c r="P327" i="4"/>
  <c r="T327" i="4"/>
  <c r="U327" i="4"/>
  <c r="V327" i="4" s="1"/>
  <c r="B326" i="4"/>
  <c r="C326" i="4"/>
  <c r="F326" i="4"/>
  <c r="J326" i="4"/>
  <c r="M326" i="4"/>
  <c r="P326" i="4"/>
  <c r="T326" i="4"/>
  <c r="U326" i="4"/>
  <c r="V326" i="4" s="1"/>
  <c r="B325" i="4"/>
  <c r="C325" i="4"/>
  <c r="F325" i="4"/>
  <c r="J325" i="4"/>
  <c r="M325" i="4"/>
  <c r="P325" i="4"/>
  <c r="T325" i="4"/>
  <c r="U325" i="4"/>
  <c r="V325" i="4" s="1"/>
  <c r="B324" i="4"/>
  <c r="C324" i="4"/>
  <c r="F324" i="4"/>
  <c r="J324" i="4"/>
  <c r="M324" i="4"/>
  <c r="P324" i="4"/>
  <c r="T324" i="4"/>
  <c r="U324" i="4"/>
  <c r="V324" i="4" s="1"/>
  <c r="B323" i="4"/>
  <c r="C323" i="4"/>
  <c r="F323" i="4"/>
  <c r="J323" i="4"/>
  <c r="M323" i="4"/>
  <c r="P323" i="4"/>
  <c r="T323" i="4"/>
  <c r="U323" i="4"/>
  <c r="V323" i="4" s="1"/>
  <c r="K2" i="3"/>
  <c r="K3" i="3"/>
  <c r="K4" i="3"/>
  <c r="K5" i="3"/>
  <c r="K6" i="3"/>
  <c r="K7" i="3"/>
  <c r="K8" i="3"/>
  <c r="K9" i="3"/>
  <c r="K10" i="3"/>
  <c r="K11" i="3"/>
  <c r="K12" i="3"/>
  <c r="H12" i="3"/>
  <c r="M12" i="3"/>
  <c r="Q12" i="3"/>
  <c r="R12" i="3"/>
  <c r="S12" i="3" s="1"/>
  <c r="B322" i="4"/>
  <c r="C322" i="4"/>
  <c r="F322" i="4"/>
  <c r="J322" i="4"/>
  <c r="M322" i="4"/>
  <c r="P322" i="4"/>
  <c r="T322" i="4"/>
  <c r="U322" i="4"/>
  <c r="V322" i="4" s="1"/>
  <c r="B321" i="4"/>
  <c r="C321" i="4"/>
  <c r="F321" i="4"/>
  <c r="J321" i="4"/>
  <c r="M321" i="4"/>
  <c r="P321" i="4"/>
  <c r="T321" i="4"/>
  <c r="U321" i="4"/>
  <c r="V321" i="4" s="1"/>
  <c r="B320" i="4"/>
  <c r="C320" i="4"/>
  <c r="F320" i="4"/>
  <c r="J320" i="4"/>
  <c r="M320" i="4"/>
  <c r="P320" i="4"/>
  <c r="T320" i="4"/>
  <c r="U320" i="4"/>
  <c r="V320" i="4" s="1"/>
  <c r="B319" i="4"/>
  <c r="C319" i="4"/>
  <c r="F319" i="4"/>
  <c r="J319" i="4"/>
  <c r="M319" i="4"/>
  <c r="P319" i="4"/>
  <c r="T319" i="4"/>
  <c r="U319" i="4"/>
  <c r="V319" i="4" s="1"/>
  <c r="B318" i="4"/>
  <c r="C318" i="4"/>
  <c r="F318" i="4"/>
  <c r="J318" i="4"/>
  <c r="M318" i="4"/>
  <c r="P318" i="4"/>
  <c r="T318" i="4"/>
  <c r="U318" i="4"/>
  <c r="V318" i="4" s="1"/>
  <c r="B317" i="4"/>
  <c r="C317" i="4"/>
  <c r="F317" i="4"/>
  <c r="J317" i="4"/>
  <c r="M317" i="4"/>
  <c r="P317" i="4"/>
  <c r="T317" i="4"/>
  <c r="U317" i="4"/>
  <c r="V317" i="4" s="1"/>
  <c r="B316" i="4"/>
  <c r="C316" i="4"/>
  <c r="F316" i="4"/>
  <c r="J316" i="4"/>
  <c r="M316" i="4"/>
  <c r="P316" i="4"/>
  <c r="T316" i="4"/>
  <c r="U316" i="4"/>
  <c r="V316" i="4" s="1"/>
  <c r="B315" i="4"/>
  <c r="C315" i="4"/>
  <c r="F315" i="4"/>
  <c r="J315" i="4"/>
  <c r="M315" i="4"/>
  <c r="P315" i="4"/>
  <c r="T315" i="4"/>
  <c r="U315" i="4"/>
  <c r="V315" i="4" s="1"/>
  <c r="B314" i="4"/>
  <c r="C314" i="4"/>
  <c r="F314" i="4"/>
  <c r="J314" i="4"/>
  <c r="M314" i="4"/>
  <c r="P314" i="4"/>
  <c r="T314" i="4"/>
  <c r="U314" i="4"/>
  <c r="V314" i="4" s="1"/>
  <c r="B313" i="4"/>
  <c r="C313" i="4"/>
  <c r="F313" i="4"/>
  <c r="J313" i="4"/>
  <c r="M313" i="4"/>
  <c r="P313" i="4"/>
  <c r="T313" i="4"/>
  <c r="U313" i="4"/>
  <c r="V313" i="4" s="1"/>
  <c r="B312" i="4"/>
  <c r="C312" i="4"/>
  <c r="F312" i="4"/>
  <c r="J312" i="4"/>
  <c r="M312" i="4"/>
  <c r="P312" i="4"/>
  <c r="T312" i="4"/>
  <c r="U312" i="4"/>
  <c r="V312" i="4" s="1"/>
  <c r="B311" i="4"/>
  <c r="C311" i="4"/>
  <c r="F311" i="4"/>
  <c r="J311" i="4"/>
  <c r="M311" i="4"/>
  <c r="P311" i="4"/>
  <c r="T311" i="4"/>
  <c r="U311" i="4"/>
  <c r="V311" i="4" s="1"/>
  <c r="B310" i="4"/>
  <c r="C310" i="4"/>
  <c r="F310" i="4"/>
  <c r="J310" i="4"/>
  <c r="M310" i="4"/>
  <c r="P310" i="4"/>
  <c r="T310" i="4"/>
  <c r="U310" i="4"/>
  <c r="V310" i="4" s="1"/>
  <c r="B309" i="4"/>
  <c r="C309" i="4"/>
  <c r="F309" i="4"/>
  <c r="J309" i="4"/>
  <c r="M309" i="4"/>
  <c r="P309" i="4"/>
  <c r="T309" i="4"/>
  <c r="U309" i="4"/>
  <c r="V309" i="4" s="1"/>
  <c r="B308" i="4"/>
  <c r="C308" i="4"/>
  <c r="F308" i="4"/>
  <c r="J308" i="4"/>
  <c r="M308" i="4"/>
  <c r="P308" i="4"/>
  <c r="T308" i="4"/>
  <c r="U308" i="4"/>
  <c r="V308" i="4" s="1"/>
  <c r="B307" i="4"/>
  <c r="C307" i="4"/>
  <c r="F307" i="4"/>
  <c r="J307" i="4"/>
  <c r="M307" i="4"/>
  <c r="P307" i="4"/>
  <c r="T307" i="4"/>
  <c r="U307" i="4"/>
  <c r="V307" i="4" s="1"/>
  <c r="B306" i="4"/>
  <c r="C306" i="4"/>
  <c r="F306" i="4"/>
  <c r="J306" i="4"/>
  <c r="M306" i="4"/>
  <c r="P306" i="4"/>
  <c r="T306" i="4"/>
  <c r="U306" i="4"/>
  <c r="V306" i="4" s="1"/>
  <c r="B305" i="4"/>
  <c r="C305" i="4"/>
  <c r="F305" i="4"/>
  <c r="J305" i="4"/>
  <c r="M305" i="4"/>
  <c r="P305" i="4"/>
  <c r="T305" i="4"/>
  <c r="U305" i="4"/>
  <c r="V305" i="4" s="1"/>
  <c r="B304" i="4"/>
  <c r="C304" i="4"/>
  <c r="F304" i="4"/>
  <c r="J304" i="4"/>
  <c r="M304" i="4"/>
  <c r="P304" i="4"/>
  <c r="T304" i="4"/>
  <c r="U304" i="4"/>
  <c r="V304" i="4" s="1"/>
  <c r="B303" i="4"/>
  <c r="C303" i="4"/>
  <c r="F303" i="4"/>
  <c r="J303" i="4"/>
  <c r="M303" i="4"/>
  <c r="P303" i="4"/>
  <c r="T303" i="4"/>
  <c r="U303" i="4"/>
  <c r="V303" i="4" s="1"/>
  <c r="B302" i="4"/>
  <c r="C302" i="4"/>
  <c r="F302" i="4"/>
  <c r="J302" i="4"/>
  <c r="M302" i="4"/>
  <c r="P302" i="4"/>
  <c r="T302" i="4"/>
  <c r="U302" i="4"/>
  <c r="V302" i="4" s="1"/>
  <c r="B301" i="4"/>
  <c r="C301" i="4"/>
  <c r="F301" i="4"/>
  <c r="J301" i="4"/>
  <c r="M301" i="4"/>
  <c r="P301" i="4"/>
  <c r="T301" i="4"/>
  <c r="U301" i="4"/>
  <c r="V301" i="4" s="1"/>
  <c r="H11" i="3"/>
  <c r="M11" i="3"/>
  <c r="Q11" i="3"/>
  <c r="R11" i="3"/>
  <c r="S11" i="3" s="1"/>
  <c r="B300" i="4"/>
  <c r="C300" i="4"/>
  <c r="F300" i="4"/>
  <c r="J300" i="4"/>
  <c r="M300" i="4"/>
  <c r="P300" i="4"/>
  <c r="T300" i="4"/>
  <c r="U300" i="4"/>
  <c r="V300" i="4" s="1"/>
  <c r="B299" i="4"/>
  <c r="C299" i="4"/>
  <c r="F299" i="4"/>
  <c r="J299" i="4"/>
  <c r="M299" i="4"/>
  <c r="P299" i="4"/>
  <c r="T299" i="4"/>
  <c r="U299" i="4"/>
  <c r="V299" i="4" s="1"/>
  <c r="B298" i="4"/>
  <c r="C298" i="4"/>
  <c r="F298" i="4"/>
  <c r="J298" i="4"/>
  <c r="M298" i="4"/>
  <c r="P298" i="4"/>
  <c r="T298" i="4"/>
  <c r="U298" i="4"/>
  <c r="V298" i="4" s="1"/>
  <c r="F297" i="4"/>
  <c r="B297" i="4"/>
  <c r="C297" i="4"/>
  <c r="J297" i="4"/>
  <c r="M297" i="4"/>
  <c r="P297" i="4"/>
  <c r="T297" i="4"/>
  <c r="U297" i="4"/>
  <c r="V297" i="4" s="1"/>
  <c r="J296" i="4"/>
  <c r="B296" i="4"/>
  <c r="C296" i="4"/>
  <c r="F296" i="4"/>
  <c r="M296" i="4"/>
  <c r="P296" i="4"/>
  <c r="T296" i="4"/>
  <c r="U296" i="4"/>
  <c r="V296" i="4" s="1"/>
  <c r="B295" i="4"/>
  <c r="C295" i="4"/>
  <c r="F295" i="4"/>
  <c r="J295" i="4"/>
  <c r="M295" i="4"/>
  <c r="P295" i="4"/>
  <c r="T295" i="4"/>
  <c r="U295" i="4"/>
  <c r="V295" i="4" s="1"/>
  <c r="B294" i="4"/>
  <c r="C294" i="4"/>
  <c r="F294" i="4"/>
  <c r="J294" i="4"/>
  <c r="M294" i="4"/>
  <c r="P294" i="4"/>
  <c r="T294" i="4"/>
  <c r="U294" i="4"/>
  <c r="V294" i="4" s="1"/>
  <c r="B293" i="4"/>
  <c r="C293" i="4"/>
  <c r="F293" i="4"/>
  <c r="J293" i="4"/>
  <c r="M293" i="4"/>
  <c r="P293" i="4"/>
  <c r="T293" i="4"/>
  <c r="U293" i="4"/>
  <c r="V293" i="4" s="1"/>
  <c r="B292" i="4"/>
  <c r="C292" i="4"/>
  <c r="F292" i="4"/>
  <c r="J292" i="4"/>
  <c r="M292" i="4"/>
  <c r="P292" i="4"/>
  <c r="T292" i="4"/>
  <c r="U292" i="4"/>
  <c r="V292" i="4" s="1"/>
  <c r="B291" i="4"/>
  <c r="C291" i="4"/>
  <c r="F291" i="4"/>
  <c r="J291" i="4"/>
  <c r="M291" i="4"/>
  <c r="P291" i="4"/>
  <c r="T291" i="4"/>
  <c r="U291" i="4"/>
  <c r="V291" i="4" s="1"/>
  <c r="B290" i="4"/>
  <c r="C290" i="4"/>
  <c r="F290" i="4"/>
  <c r="J290" i="4"/>
  <c r="M290" i="4"/>
  <c r="P290" i="4"/>
  <c r="T290" i="4"/>
  <c r="U290" i="4"/>
  <c r="V290" i="4" s="1"/>
  <c r="B289" i="4"/>
  <c r="C289" i="4"/>
  <c r="F289" i="4"/>
  <c r="J289" i="4"/>
  <c r="M289" i="4"/>
  <c r="P289" i="4"/>
  <c r="T289" i="4"/>
  <c r="U289" i="4"/>
  <c r="V289" i="4" s="1"/>
  <c r="B288" i="4"/>
  <c r="C288" i="4"/>
  <c r="F288" i="4"/>
  <c r="J288" i="4"/>
  <c r="M288" i="4"/>
  <c r="P288" i="4"/>
  <c r="T288" i="4"/>
  <c r="U288" i="4"/>
  <c r="V288" i="4" s="1"/>
  <c r="B287" i="4"/>
  <c r="C287" i="4"/>
  <c r="F287" i="4"/>
  <c r="J287" i="4"/>
  <c r="M287" i="4"/>
  <c r="P287" i="4"/>
  <c r="T287" i="4"/>
  <c r="U287" i="4"/>
  <c r="V287" i="4" s="1"/>
  <c r="B286" i="4"/>
  <c r="C286" i="4"/>
  <c r="F286" i="4"/>
  <c r="J286" i="4"/>
  <c r="M286" i="4"/>
  <c r="P286" i="4"/>
  <c r="T286" i="4"/>
  <c r="U286" i="4"/>
  <c r="V286" i="4" s="1"/>
  <c r="B285" i="4"/>
  <c r="C285" i="4"/>
  <c r="F285" i="4"/>
  <c r="J285" i="4"/>
  <c r="M285" i="4"/>
  <c r="P285" i="4"/>
  <c r="T285" i="4"/>
  <c r="U285" i="4"/>
  <c r="V285" i="4" s="1"/>
  <c r="B284" i="4"/>
  <c r="C284" i="4"/>
  <c r="F284" i="4"/>
  <c r="J284" i="4"/>
  <c r="M284" i="4"/>
  <c r="P284" i="4"/>
  <c r="T284" i="4"/>
  <c r="U284" i="4"/>
  <c r="V284" i="4" s="1"/>
  <c r="B283" i="4"/>
  <c r="C283" i="4"/>
  <c r="F283" i="4"/>
  <c r="J283" i="4"/>
  <c r="M283" i="4"/>
  <c r="P283" i="4"/>
  <c r="T283" i="4"/>
  <c r="U283" i="4"/>
  <c r="V283" i="4" s="1"/>
  <c r="B282" i="4"/>
  <c r="C282" i="4"/>
  <c r="F282" i="4"/>
  <c r="J282" i="4"/>
  <c r="M282" i="4"/>
  <c r="P282" i="4"/>
  <c r="T282" i="4"/>
  <c r="U282" i="4"/>
  <c r="V282" i="4" s="1"/>
  <c r="B281" i="4"/>
  <c r="C281" i="4"/>
  <c r="F281" i="4"/>
  <c r="J281" i="4"/>
  <c r="M281" i="4"/>
  <c r="P281" i="4"/>
  <c r="T281" i="4"/>
  <c r="U281" i="4"/>
  <c r="V281" i="4" s="1"/>
  <c r="B280" i="4"/>
  <c r="C280" i="4"/>
  <c r="F280" i="4"/>
  <c r="J280" i="4"/>
  <c r="M280" i="4"/>
  <c r="P280" i="4"/>
  <c r="T280" i="4"/>
  <c r="U280" i="4"/>
  <c r="V280" i="4" s="1"/>
  <c r="B279" i="4"/>
  <c r="C279" i="4"/>
  <c r="F279" i="4"/>
  <c r="J279" i="4"/>
  <c r="M279" i="4"/>
  <c r="P279" i="4"/>
  <c r="T279" i="4"/>
  <c r="U279" i="4"/>
  <c r="V279" i="4" s="1"/>
  <c r="B278" i="4"/>
  <c r="C278" i="4"/>
  <c r="F278" i="4"/>
  <c r="J278" i="4"/>
  <c r="M278" i="4"/>
  <c r="P278" i="4"/>
  <c r="T278" i="4"/>
  <c r="U278" i="4"/>
  <c r="V278" i="4" s="1"/>
  <c r="B277" i="4"/>
  <c r="C277" i="4"/>
  <c r="F277" i="4"/>
  <c r="J277" i="4"/>
  <c r="M277" i="4"/>
  <c r="P277" i="4"/>
  <c r="T277" i="4"/>
  <c r="U277" i="4"/>
  <c r="V277" i="4" s="1"/>
  <c r="B276" i="4"/>
  <c r="C276" i="4"/>
  <c r="F276" i="4"/>
  <c r="J276" i="4"/>
  <c r="M276" i="4"/>
  <c r="P276" i="4"/>
  <c r="T276" i="4"/>
  <c r="U276" i="4"/>
  <c r="V276" i="4" s="1"/>
  <c r="B275" i="4"/>
  <c r="C275" i="4"/>
  <c r="F275" i="4"/>
  <c r="J275" i="4"/>
  <c r="M275" i="4"/>
  <c r="P275" i="4"/>
  <c r="T275" i="4"/>
  <c r="U275" i="4"/>
  <c r="V275" i="4" s="1"/>
  <c r="B274" i="4"/>
  <c r="C274" i="4"/>
  <c r="F274" i="4"/>
  <c r="J274" i="4"/>
  <c r="M274" i="4"/>
  <c r="P274" i="4"/>
  <c r="T274" i="4"/>
  <c r="U274" i="4"/>
  <c r="V274" i="4" s="1"/>
  <c r="B273" i="4"/>
  <c r="C273" i="4"/>
  <c r="F273" i="4"/>
  <c r="J273" i="4"/>
  <c r="M273" i="4"/>
  <c r="P273" i="4"/>
  <c r="T273" i="4"/>
  <c r="U273" i="4"/>
  <c r="V273" i="4" s="1"/>
  <c r="B272" i="4"/>
  <c r="C272" i="4"/>
  <c r="F272" i="4"/>
  <c r="J272" i="4"/>
  <c r="M272" i="4"/>
  <c r="P272" i="4"/>
  <c r="T272" i="4"/>
  <c r="U272" i="4"/>
  <c r="V272" i="4" s="1"/>
  <c r="B271" i="4"/>
  <c r="C271" i="4"/>
  <c r="F271" i="4"/>
  <c r="J271" i="4"/>
  <c r="M271" i="4"/>
  <c r="P271" i="4"/>
  <c r="T271" i="4"/>
  <c r="U271" i="4"/>
  <c r="V271" i="4" s="1"/>
  <c r="B270" i="4"/>
  <c r="C270" i="4"/>
  <c r="F270" i="4"/>
  <c r="J270" i="4"/>
  <c r="M270" i="4"/>
  <c r="P270" i="4"/>
  <c r="T270" i="4"/>
  <c r="U270" i="4"/>
  <c r="V270" i="4" s="1"/>
  <c r="B269" i="4"/>
  <c r="C269" i="4"/>
  <c r="F269" i="4"/>
  <c r="J269" i="4"/>
  <c r="M269" i="4"/>
  <c r="P269" i="4"/>
  <c r="T269" i="4"/>
  <c r="U269" i="4"/>
  <c r="V269" i="4" s="1"/>
  <c r="B268" i="4"/>
  <c r="C268" i="4"/>
  <c r="F268" i="4"/>
  <c r="J268" i="4"/>
  <c r="M268" i="4"/>
  <c r="P268" i="4"/>
  <c r="T268" i="4"/>
  <c r="U268" i="4"/>
  <c r="V268" i="4" s="1"/>
  <c r="B267" i="4"/>
  <c r="C267" i="4"/>
  <c r="F267" i="4"/>
  <c r="J267" i="4"/>
  <c r="M267" i="4"/>
  <c r="P267" i="4"/>
  <c r="T267" i="4"/>
  <c r="U267" i="4"/>
  <c r="V267" i="4" s="1"/>
  <c r="B266" i="4"/>
  <c r="C266" i="4"/>
  <c r="F266" i="4"/>
  <c r="J266" i="4"/>
  <c r="M266" i="4"/>
  <c r="P266" i="4"/>
  <c r="T266" i="4"/>
  <c r="U266" i="4"/>
  <c r="V266" i="4" s="1"/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M7" i="3"/>
  <c r="Q7" i="3"/>
  <c r="R7" i="3"/>
  <c r="S7" i="3" s="1"/>
  <c r="H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M5" i="3"/>
  <c r="Q5" i="3"/>
  <c r="R5" i="3"/>
  <c r="S5" i="3" s="1"/>
  <c r="H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<sst xmlns="http://schemas.openxmlformats.org/spreadsheetml/2006/main" count="1112" uniqueCount="95">
  <si>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</si>
  <si>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</si>
  <si>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</si>
  <si>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</si>
  <si>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</si>
  <si>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</si>
  <si>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</si>
  <si>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</si>
  <si>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</si>
  <si>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</si>
  <si>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</si>
  <si>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</si>
  <si>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</si>
  <si>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</si>
  <si>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</si>
  <si>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</si>
  <si>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</si>
  <si>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</si>
  <si>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</si>
  <si>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</si>
  <si>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</si>
  <si>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</si>
  <si>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</si>
  <si>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</si>
  <si>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</si>
  <si>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</si>
  <si>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</si>
  <si>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</si>
  <si>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</si>
  <si>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</si>
  <si>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</si>
  <si>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</si>
  <si>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</si>
  <si>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</si>
  <si>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</si>
  <si>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</si>
  <si>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</si>
  <si>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</si>
  <si>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</si>
  <si>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</si>
  <si>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</si>
  <si>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</si>
  <si>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</si>
  <si>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</si>
  <si>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</si>
  <si>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</si>
  <si>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</si>
  <si>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</si>
  <si>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</si>
  <si>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</si>
  <si>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</si>
  <si>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</si>
  <si>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</si>
  <si>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</si>
  <si>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</si>
  <si>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</si>
  <si>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</si>
  <si>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</si>
  <si>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</si>
  <si>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</si>
  <si>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</si>
  <si>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</si>
  <si>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</si>
  <si>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</si>
  <si>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</si>
  <si>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</si>
  <si>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</si>
  <si>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</si>
  <si>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</si>
  <si>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</si>
  <si>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</si>
  <si>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</si>
  <si>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</si>
  <si>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</si>
  <si>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</si>
  <si>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</si>
  <si>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</si>
  <si>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</si>
  <si>
    <t>William</t>
  </si>
  <si>
    <t>5,5,8,8</t>
  </si>
  <si>
    <t>13,27,27,27</t>
  </si>
  <si>
    <t>Heremilton</t>
  </si>
  <si>
    <t>38,38,38</t>
  </si>
  <si>
    <t>42,10,13,13</t>
  </si>
  <si>
    <t>42,9,9</t>
  </si>
  <si>
    <t>38,38,38,9,13,13,13</t>
  </si>
  <si>
    <t>10,9,42,9</t>
  </si>
  <si>
    <t>13,13,13,13,9</t>
  </si>
  <si>
    <t>27,27,27,27</t>
  </si>
  <si>
    <t>38,38,38,38</t>
  </si>
  <si>
    <t>13,13,8</t>
  </si>
  <si>
    <t>Mosqueiro</t>
  </si>
  <si>
    <t>38,38,38,8</t>
  </si>
  <si>
    <t>38,8,8</t>
  </si>
  <si>
    <t>9,9,9,9,38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</si>
</sst>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7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34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23" totalsRowShown="0" headerRowDxfId="133" dataDxfId="131" headerRowBorderDxfId="132" tableBorderDxfId="130" totalsRowBorderDxfId="129" headerRowCellStyle="Normal 2 2 2">
  <autoFilter ref="A1:V23" xr:uid="{DCE91C63-7150-4B05-9681-4C03C82B532C}"/>
  <tableColumns count="22">
    <tableColumn id="1" xr3:uid="{26A85748-1AED-4A71-96D3-23AF97AC5D2B}" name="Data" dataDxfId="128"/>
    <tableColumn id="25" xr3:uid="{D413966D-CDFC-4875-A3AE-6AE9D849E75F}" name="Placa" dataDxfId="127"/>
    <tableColumn id="3" xr3:uid="{D30CA2C3-D31F-4082-8392-1A98EB60EDD3}" name="Carreta" dataDxfId="126"/>
    <tableColumn id="4" xr3:uid="{758E5D51-7D49-4A69-8227-C9CE8E4A907A}" name="Motorista" dataDxfId="125"/>
    <tableColumn id="6" xr3:uid="{842361EA-39E1-4EF7-90A4-9BDC9C0966DF}" name="Valor Frete" dataDxfId="124" dataCellStyle="Moeda"/>
    <tableColumn id="7" xr3:uid="{D4C1D57F-C6B7-49EE-9F7B-47EBA6030041}" name="Valor Mercadoria" dataDxfId="123" dataCellStyle="Moeda"/>
    <tableColumn id="8" xr3:uid="{C79AB3D8-0BFF-4FFE-B20B-E81367BFEEFC}" name="Peso" dataDxfId="122"/>
    <tableColumn id="9" xr3:uid="{7D4ACBB5-8F17-463A-A61F-84A8EFF41604}" name="% Frete" dataDxfId="121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20"/>
    <tableColumn id="11" xr3:uid="{DC726A91-384E-47C4-A94A-9095E8138925}" name="Hr Chegada" dataDxfId="119"/>
    <tableColumn id="12" xr3:uid="{9A37D38C-D321-47A3-881E-B95F03E5DB0D}" name="Tempo" dataDxfId="118">
      <calculatedColumnFormula>Tabela35[[#This Row],[Hr Chegada]]-Tabela35[[#This Row],[Hr Saida]]</calculatedColumnFormula>
    </tableColumn>
    <tableColumn id="13" xr3:uid="{E5643091-5008-4800-BF73-88DFC566FBE9}" name="Frete" dataDxfId="117" dataCellStyle="Moeda"/>
    <tableColumn id="14" xr3:uid="{5E8F8636-0E97-4E52-8561-725D1AD8BAF1}" name="% Frete T" dataDxfId="116" dataCellStyle="Porcentagem">
      <calculatedColumnFormula>Tabela35[[#This Row],[Frete]]/Tabela35[[#This Row],[Valor Frete]]</calculatedColumnFormula>
    </tableColumn>
    <tableColumn id="16" xr3:uid="{F64AFFB0-A5D7-49FD-8B66-BD3FBD830A8C}" name="Vols" dataDxfId="115"/>
    <tableColumn id="17" xr3:uid="{36B8097A-82AA-4880-AA26-8A84D3BFDAE9}" name="Qtde Entregas" dataDxfId="114"/>
    <tableColumn id="18" xr3:uid="{8BF06732-0C91-4852-86A9-342D98B30169}" name="Entregas Realizadas" dataDxfId="113"/>
    <tableColumn id="19" xr3:uid="{20BD31A4-57AA-4F11-A73A-2B181C01798B}" name=" Retornadas" dataDxfId="112">
      <calculatedColumnFormula>Tabela35[[#This Row],[Qtde Entregas]]-Tabela35[[#This Row],[Entregas Realizadas]]</calculatedColumnFormula>
    </tableColumn>
    <tableColumn id="20" xr3:uid="{F3EDF45C-B4E9-4FE6-A74A-C49CA0273F75}" name="% Entrega" dataDxfId="111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10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09"/>
    <tableColumn id="23" xr3:uid="{D7BA1AAD-39A7-4F74-8E2B-3DAD30E78669}" name="Nfs Voltaram" dataDxfId="108"/>
    <tableColumn id="24" xr3:uid="{3938B063-E851-4B1A-B457-042DD7442897}" name="Código ocorrência" dataDxfId="1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479" totalsRowShown="0" headerRowDxfId="106" dataDxfId="104" headerRowBorderDxfId="105" tableBorderDxfId="103" totalsRowBorderDxfId="102">
  <tableColumns count="25">
    <tableColumn id="1" xr3:uid="{B118DAB0-A500-46F5-A61D-A15BA1838F69}" name="Data" dataDxfId="101"/>
    <tableColumn id="25" xr3:uid="{DAA903FE-736A-4CBF-95D8-B9E859203B97}" name="Ano" dataDxfId="100">
      <calculatedColumnFormula>YEAR(Tabela32[[#This Row],[Data]])</calculatedColumnFormula>
    </tableColumn>
    <tableColumn id="5" xr3:uid="{90D6CF8C-ACE3-46EA-828E-BB258996DD8F}" name="Mês" dataDxfId="99">
      <calculatedColumnFormula>MONTH(Tabela32[[#This Row],[Data]])</calculatedColumnFormula>
    </tableColumn>
    <tableColumn id="2" xr3:uid="{9E2D603E-103D-4F88-A5C8-5E9A03E2A3EE}" name="Placa" dataDxfId="98"/>
    <tableColumn id="3" xr3:uid="{7935B67B-4456-42E7-8B2D-EAF1D5C1B4F9}" name="Rota" dataDxfId="97"/>
    <tableColumn id="4" xr3:uid="{74C94A9C-B298-4701-847E-59C66BC8BBC2}" name="Motorista" dataDxfId="96">
      <calculatedColumnFormula>IFERROR(VLOOKUP(Tabela32[[#This Row],[Placa]],Planilha2!$A$1:$B$12,2,0),"")</calculatedColumnFormula>
    </tableColumn>
    <tableColumn id="6" xr3:uid="{694C94D7-8F01-480E-AA0C-B9B0FA8D2345}" name="Valor Frete" dataDxfId="95" dataCellStyle="Moeda"/>
    <tableColumn id="7" xr3:uid="{7D623530-7EED-4526-B289-B392FA2EF883}" name="Valor Mercadoria" dataDxfId="94" dataCellStyle="Moeda"/>
    <tableColumn id="8" xr3:uid="{3D927A69-B557-47A5-A269-05DEBEF85C73}" name="Peso" dataDxfId="93"/>
    <tableColumn id="9" xr3:uid="{69BC588C-6D01-4257-B2D9-CF2D843D1C40}" name="% Frete" dataDxfId="92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91"/>
    <tableColumn id="11" xr3:uid="{3B907CC4-B262-4107-87FF-1E75280AC1BF}" name="Hr Chegada" dataDxfId="90"/>
    <tableColumn id="12" xr3:uid="{ED725939-179A-4D21-873C-15774DD68F53}" name="Tempo" dataDxfId="89">
      <calculatedColumnFormula>Tabela32[[#This Row],[Hr Chegada]]-Tabela32[[#This Row],[Hr Saida]]</calculatedColumnFormula>
    </tableColumn>
    <tableColumn id="13" xr3:uid="{74EA350D-6976-4E2D-A058-0785043C5735}" name="Km Saída" dataDxfId="88"/>
    <tableColumn id="14" xr3:uid="{496AFEAD-5BFE-466C-B0AF-20375AAEECFC}" name="Km Chegada" dataDxfId="87"/>
    <tableColumn id="15" xr3:uid="{AB2841F1-639E-4525-98D9-0FAED04E102B}" name="Km/Dia" dataDxfId="86">
      <calculatedColumnFormula>Tabela32[[#This Row],[Km Chegada]]-Tabela32[[#This Row],[Km Saída]]</calculatedColumnFormula>
    </tableColumn>
    <tableColumn id="16" xr3:uid="{D83FBC01-4652-43E1-B278-CE34A958D106}" name="Vols" dataDxfId="85"/>
    <tableColumn id="17" xr3:uid="{CA7BF05C-1770-40EE-89A9-C80AA88EFC06}" name="Entregas" dataDxfId="84"/>
    <tableColumn id="18" xr3:uid="{037F6348-AFD4-431D-99B0-8147EA9E213B}" name="Realizadas" dataDxfId="83"/>
    <tableColumn id="19" xr3:uid="{196A1910-314C-450C-B67A-E51295FA6A18}" name=" Retornadas" dataDxfId="82">
      <calculatedColumnFormula>Tabela32[[#This Row],[Entregas]]-Tabela32[[#This Row],[Realizadas]]</calculatedColumnFormula>
    </tableColumn>
    <tableColumn id="20" xr3:uid="{F0BBC004-BAAB-43E2-A50E-1DD3FAEFD5F0}" name="% Entrega" dataDxfId="81" dataCellStyle="Moeda">
      <calculatedColumnFormula>Tabela32[[#This Row],[Realizadas]]/Tabela32[[#This Row],[Entregas]]</calculatedColumnFormula>
    </tableColumn>
    <tableColumn id="21" xr3:uid="{BB53A276-7721-4934-9C42-DB7E1D2740B3}" name="Meta" dataDxfId="80">
      <calculatedColumnFormula>IF(Tabela32[[#This Row],[% Entrega]]&gt;=96%,"Atendeu a Meta","Não Atendeu a Meta")</calculatedColumnFormula>
    </tableColumn>
    <tableColumn id="22" xr3:uid="{CE1DD687-26CA-4D2F-BCFC-661EB14CAD0F}" name="Cidade Destino" dataDxfId="79"/>
    <tableColumn id="23" xr3:uid="{F8FFD74E-1FF0-45CC-9EA9-8E8EA807957C}" name="Nfs Voltaram" dataDxfId="78"/>
    <tableColumn id="24" xr3:uid="{2EC98F08-AFB3-40A3-B3CE-1C9A788E39CD}" name="Ocorrência" dataDxfId="7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11" sqref="B11"/>
    </sheetView>
  </sheetViews>
  <sheetFormatPr defaultRowHeight="15" x14ac:dyDescent="0.25"/>
  <sheetData>
    <row r="1" spans="1:2" x14ac:dyDescent="0.25">
      <c r="A1" t="s">
        <v>22</v>
      </c>
      <c r="B1" t="s">
        <v>55</v>
      </c>
    </row>
    <row r="2" spans="1:2" x14ac:dyDescent="0.25">
      <c r="A2" t="s">
        <v>23</v>
      </c>
      <c r="B2" t="s">
        <v>78</v>
      </c>
    </row>
    <row r="3" spans="1:2" x14ac:dyDescent="0.25">
      <c r="A3" t="s">
        <v>25</v>
      </c>
      <c r="B3" t="s">
        <v>26</v>
      </c>
    </row>
    <row r="4" spans="1:2" x14ac:dyDescent="0.25">
      <c r="A4" t="s">
        <v>27</v>
      </c>
      <c r="B4" t="s">
        <v>62</v>
      </c>
    </row>
    <row r="5" spans="1:2" x14ac:dyDescent="0.25">
      <c r="A5" t="s">
        <v>28</v>
      </c>
      <c r="B5" t="s">
        <v>56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32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54</v>
      </c>
    </row>
    <row r="10" spans="1:2" x14ac:dyDescent="0.25">
      <c r="A10" t="s">
        <v>36</v>
      </c>
      <c r="B10" t="s">
        <v>81</v>
      </c>
    </row>
    <row r="11" spans="1:2" x14ac:dyDescent="0.25">
      <c r="A11" t="s">
        <v>37</v>
      </c>
      <c r="B11" t="s">
        <v>38</v>
      </c>
    </row>
    <row r="12" spans="1:2" x14ac:dyDescent="0.25">
      <c r="A12" t="s">
        <v>53</v>
      </c>
      <c r="B12" t="s">
        <v>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23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M23" sqref="M23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46</v>
      </c>
      <c r="M1" s="2" t="s">
        <v>47</v>
      </c>
      <c r="N1" s="2" t="s">
        <v>42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44</v>
      </c>
      <c r="C2" s="4"/>
      <c r="D2" s="4" t="s">
        <v>45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/>
      <c r="J2" s="11"/>
      <c r="K2" s="11">
        <f>Tabela35[[#This Row],[Hr Chegada]]-Tabela35[[#This Row],[Hr Saida]]</f>
        <v>0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39</v>
      </c>
      <c r="U2" s="4">
        <v>0</v>
      </c>
      <c r="V2" s="5">
        <v>0</v>
      </c>
    </row>
    <row r="3" spans="1:22" x14ac:dyDescent="0.25">
      <c r="A3" s="8">
        <v>46238</v>
      </c>
      <c r="B3" s="8" t="s">
        <v>57</v>
      </c>
      <c r="C3" s="4"/>
      <c r="D3" s="4" t="s">
        <v>58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44</v>
      </c>
      <c r="C4" s="4"/>
      <c r="D4" s="4" t="s">
        <v>45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39</v>
      </c>
      <c r="U4" s="4">
        <v>2</v>
      </c>
      <c r="V4" s="5">
        <v>0</v>
      </c>
    </row>
    <row r="5" spans="1:22" x14ac:dyDescent="0.25">
      <c r="A5" s="8">
        <v>46245</v>
      </c>
      <c r="B5" s="8" t="s">
        <v>44</v>
      </c>
      <c r="C5" s="4"/>
      <c r="D5" s="4" t="s">
        <v>45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43</v>
      </c>
      <c r="U5" s="4"/>
      <c r="V5" s="5"/>
    </row>
    <row r="6" spans="1:22" x14ac:dyDescent="0.25">
      <c r="A6" s="8">
        <v>46247</v>
      </c>
      <c r="B6" s="8" t="s">
        <v>44</v>
      </c>
      <c r="C6" s="4"/>
      <c r="D6" s="4" t="s">
        <v>45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39</v>
      </c>
      <c r="U6" s="4">
        <v>1</v>
      </c>
      <c r="V6" s="5">
        <v>10</v>
      </c>
    </row>
    <row r="7" spans="1:22" x14ac:dyDescent="0.25">
      <c r="A7" s="8">
        <v>46252</v>
      </c>
      <c r="B7" s="8" t="s">
        <v>44</v>
      </c>
      <c r="C7" s="4"/>
      <c r="D7" s="4" t="s">
        <v>45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43</v>
      </c>
      <c r="U7" s="4">
        <v>1</v>
      </c>
      <c r="V7" s="5">
        <v>9</v>
      </c>
    </row>
    <row r="8" spans="1:22" x14ac:dyDescent="0.25">
      <c r="A8" s="8">
        <v>46253</v>
      </c>
      <c r="B8" s="8" t="s">
        <v>65</v>
      </c>
      <c r="C8" s="4"/>
      <c r="D8" s="4" t="s">
        <v>66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57</v>
      </c>
      <c r="C9" s="4"/>
      <c r="D9" s="4" t="s">
        <v>45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57</v>
      </c>
      <c r="C10" s="4"/>
      <c r="D10" s="4" t="s">
        <v>45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  <row r="11" spans="1:22" x14ac:dyDescent="0.25">
      <c r="A11" s="8">
        <v>46276</v>
      </c>
      <c r="B11" s="8" t="s">
        <v>44</v>
      </c>
      <c r="C11" s="4"/>
      <c r="D11" s="4" t="s">
        <v>45</v>
      </c>
      <c r="E11" s="10">
        <v>4224.17</v>
      </c>
      <c r="F11" s="10">
        <v>96676.42</v>
      </c>
      <c r="G11" s="4">
        <v>879</v>
      </c>
      <c r="H11" s="9">
        <f>Tabela35[[#This Row],[Valor Frete]]/Tabela35[[#This Row],[Valor Mercadoria]]</f>
        <v>4.3693901780806531E-2</v>
      </c>
      <c r="I11" s="4"/>
      <c r="J11" s="4"/>
      <c r="K11" s="4">
        <f>Tabela35[[#This Row],[Hr Chegada]]-Tabela35[[#This Row],[Hr Saida]]</f>
        <v>0</v>
      </c>
      <c r="L11" s="10">
        <v>500</v>
      </c>
      <c r="M11" s="9">
        <f>Tabela35[[#This Row],[Frete]]/Tabela35[[#This Row],[Valor Frete]]</f>
        <v>0.11836644832002499</v>
      </c>
      <c r="N11" s="4"/>
      <c r="O11" s="4"/>
      <c r="P11" s="4"/>
      <c r="Q11" s="12">
        <f>Tabela35[[#This Row],[Qtde Entregas]]-Tabela35[[#This Row],[Entregas Realizadas]]</f>
        <v>0</v>
      </c>
      <c r="R11" s="13" t="e">
        <f>Tabela35[[#This Row],[Entregas Realizadas]]/Tabela35[[#This Row],[Qtde Entregas]]</f>
        <v>#DIV/0!</v>
      </c>
      <c r="S11" s="14" t="e">
        <f>IF(Tabela35[[#This Row],[% Entrega]]&gt;=96%,"Atendeu a Meta","Não Atendeu a Meta")</f>
        <v>#DIV/0!</v>
      </c>
      <c r="T11" s="4"/>
      <c r="U11" s="4"/>
      <c r="V11" s="5"/>
    </row>
    <row r="12" spans="1:22" x14ac:dyDescent="0.25">
      <c r="A12" s="8">
        <v>46280</v>
      </c>
      <c r="B12" s="8" t="s">
        <v>44</v>
      </c>
      <c r="C12" s="4"/>
      <c r="D12" s="4" t="s">
        <v>45</v>
      </c>
      <c r="E12" s="10">
        <v>3592.03</v>
      </c>
      <c r="F12" s="10">
        <v>44758.63</v>
      </c>
      <c r="G12" s="4"/>
      <c r="H12" s="9">
        <f>Tabela35[[#This Row],[Valor Frete]]/Tabela35[[#This Row],[Valor Mercadoria]]</f>
        <v>8.0253350024341683E-2</v>
      </c>
      <c r="I12" s="4"/>
      <c r="J12" s="4"/>
      <c r="K12" s="4">
        <f>Tabela35[[#This Row],[Hr Chegada]]-Tabela35[[#This Row],[Hr Saida]]</f>
        <v>0</v>
      </c>
      <c r="L12" s="10">
        <v>500</v>
      </c>
      <c r="M12" s="9">
        <f>Tabela35[[#This Row],[Frete]]/Tabela35[[#This Row],[Valor Frete]]</f>
        <v>0.13919705570387775</v>
      </c>
      <c r="N12" s="4"/>
      <c r="O12" s="4"/>
      <c r="P12" s="4"/>
      <c r="Q12" s="12">
        <f>Tabela35[[#This Row],[Qtde Entregas]]-Tabela35[[#This Row],[Entregas Realizadas]]</f>
        <v>0</v>
      </c>
      <c r="R12" s="13" t="e">
        <f>Tabela35[[#This Row],[Entregas Realizadas]]/Tabela35[[#This Row],[Qtde Entregas]]</f>
        <v>#DIV/0!</v>
      </c>
      <c r="S12" s="14" t="e">
        <f>IF(Tabela35[[#This Row],[% Entrega]]&gt;=96%,"Atendeu a Meta","Não Atendeu a Meta")</f>
        <v>#DIV/0!</v>
      </c>
      <c r="T12" s="4"/>
      <c r="U12" s="4"/>
      <c r="V12" s="5"/>
    </row>
    <row r="13" spans="1:22" x14ac:dyDescent="0.25">
      <c r="A13" s="8">
        <v>46281</v>
      </c>
      <c r="B13" s="8" t="s">
        <v>44</v>
      </c>
      <c r="C13" s="4"/>
      <c r="D13" s="4" t="s">
        <v>45</v>
      </c>
      <c r="E13" s="10">
        <v>4998.43</v>
      </c>
      <c r="F13" s="10">
        <v>82581.279999999999</v>
      </c>
      <c r="G13" s="4"/>
      <c r="H13" s="9">
        <f>Tabela35[[#This Row],[Valor Frete]]/Tabela35[[#This Row],[Valor Mercadoria]]</f>
        <v>6.0527397976878054E-2</v>
      </c>
      <c r="I13" s="4"/>
      <c r="J13" s="4"/>
      <c r="K13" s="4">
        <f>Tabela35[[#This Row],[Hr Chegada]]-Tabela35[[#This Row],[Hr Saida]]</f>
        <v>0</v>
      </c>
      <c r="L13" s="10">
        <v>500</v>
      </c>
      <c r="M13" s="9">
        <f>Tabela35[[#This Row],[Frete]]/Tabela35[[#This Row],[Valor Frete]]</f>
        <v>0.10003140986269689</v>
      </c>
      <c r="N13" s="4"/>
      <c r="O13" s="4"/>
      <c r="P13" s="4"/>
      <c r="Q13" s="12">
        <f>Tabela35[[#This Row],[Qtde Entregas]]-Tabela35[[#This Row],[Entregas Realizadas]]</f>
        <v>0</v>
      </c>
      <c r="R13" s="13" t="e">
        <f>Tabela35[[#This Row],[Entregas Realizadas]]/Tabela35[[#This Row],[Qtde Entregas]]</f>
        <v>#DIV/0!</v>
      </c>
      <c r="S13" s="14" t="e">
        <f>IF(Tabela35[[#This Row],[% Entrega]]&gt;=96%,"Atendeu a Meta","Não Atendeu a Meta")</f>
        <v>#DIV/0!</v>
      </c>
      <c r="T13" s="4"/>
      <c r="U13" s="4"/>
      <c r="V13" s="5"/>
    </row>
    <row r="14" spans="1:22" x14ac:dyDescent="0.25">
      <c r="A14" s="8">
        <v>46282</v>
      </c>
      <c r="B14" s="8" t="s">
        <v>44</v>
      </c>
      <c r="C14" s="4"/>
      <c r="D14" s="4" t="s">
        <v>45</v>
      </c>
      <c r="E14" s="10">
        <v>3850.15</v>
      </c>
      <c r="F14" s="10">
        <v>59193.01</v>
      </c>
      <c r="G14" s="4">
        <v>537</v>
      </c>
      <c r="H14" s="9">
        <f>Tabela35[[#This Row],[Valor Frete]]/Tabela35[[#This Row],[Valor Mercadoria]]</f>
        <v>6.5043997593634786E-2</v>
      </c>
      <c r="I14" s="4"/>
      <c r="J14" s="4"/>
      <c r="K14" s="4">
        <f>Tabela35[[#This Row],[Hr Chegada]]-Tabela35[[#This Row],[Hr Saida]]</f>
        <v>0</v>
      </c>
      <c r="L14" s="10">
        <v>500</v>
      </c>
      <c r="M14" s="9">
        <f>Tabela35[[#This Row],[Frete]]/Tabela35[[#This Row],[Valor Frete]]</f>
        <v>0.12986507019207044</v>
      </c>
      <c r="N14" s="4"/>
      <c r="O14" s="4">
        <v>16</v>
      </c>
      <c r="P14" s="4">
        <v>14</v>
      </c>
      <c r="Q14" s="12">
        <f>Tabela35[[#This Row],[Qtde Entregas]]-Tabela35[[#This Row],[Entregas Realizadas]]</f>
        <v>2</v>
      </c>
      <c r="R14" s="13">
        <f>Tabela35[[#This Row],[Entregas Realizadas]]/Tabela35[[#This Row],[Qtde Entregas]]</f>
        <v>0.875</v>
      </c>
      <c r="S14" s="14" t="str">
        <f>IF(Tabela35[[#This Row],[% Entrega]]&gt;=96%,"Atendeu a Meta","Não Atendeu a Meta")</f>
        <v>Não Atendeu a Meta</v>
      </c>
      <c r="T14" s="4" t="s">
        <v>39</v>
      </c>
      <c r="U14" s="4">
        <v>2</v>
      </c>
      <c r="V14" s="5"/>
    </row>
    <row r="15" spans="1:22" x14ac:dyDescent="0.25">
      <c r="A15" s="8">
        <v>46283</v>
      </c>
      <c r="B15" s="8" t="s">
        <v>44</v>
      </c>
      <c r="C15" s="4"/>
      <c r="D15" s="4" t="s">
        <v>45</v>
      </c>
      <c r="E15" s="10">
        <v>6994.8</v>
      </c>
      <c r="F15" s="10">
        <v>202752.86</v>
      </c>
      <c r="G15" s="4">
        <v>1833</v>
      </c>
      <c r="H15" s="9">
        <f>Tabela35[[#This Row],[Valor Frete]]/Tabela35[[#This Row],[Valor Mercadoria]]</f>
        <v>3.4499143439949503E-2</v>
      </c>
      <c r="I15" s="4"/>
      <c r="J15" s="4"/>
      <c r="K15" s="4">
        <f>Tabela35[[#This Row],[Hr Chegada]]-Tabela35[[#This Row],[Hr Saida]]</f>
        <v>0</v>
      </c>
      <c r="L15" s="10">
        <v>500</v>
      </c>
      <c r="M15" s="9">
        <f>Tabela35[[#This Row],[Frete]]/Tabela35[[#This Row],[Valor Frete]]</f>
        <v>7.1481672099273738E-2</v>
      </c>
      <c r="N15" s="4"/>
      <c r="O15" s="4"/>
      <c r="P15" s="4"/>
      <c r="Q15" s="12">
        <f>Tabela35[[#This Row],[Qtde Entregas]]-Tabela35[[#This Row],[Entregas Realizadas]]</f>
        <v>0</v>
      </c>
      <c r="R15" s="13" t="e">
        <f>Tabela35[[#This Row],[Entregas Realizadas]]/Tabela35[[#This Row],[Qtde Entregas]]</f>
        <v>#DIV/0!</v>
      </c>
      <c r="S15" s="14" t="e">
        <f>IF(Tabela35[[#This Row],[% Entrega]]&gt;=96%,"Atendeu a Meta","Não Atendeu a Meta")</f>
        <v>#DIV/0!</v>
      </c>
      <c r="T15" s="4"/>
      <c r="U15" s="4"/>
      <c r="V15" s="5"/>
    </row>
    <row r="16" spans="1:22" x14ac:dyDescent="0.25">
      <c r="A16" s="8">
        <v>46287</v>
      </c>
      <c r="B16" s="8" t="s">
        <v>44</v>
      </c>
      <c r="C16" s="4"/>
      <c r="D16" s="4" t="s">
        <v>45</v>
      </c>
      <c r="E16" s="10">
        <v>6537.08</v>
      </c>
      <c r="F16" s="10">
        <v>70656.17</v>
      </c>
      <c r="G16" s="4">
        <v>2255</v>
      </c>
      <c r="H16" s="9">
        <f>Tabela35[[#This Row],[Valor Frete]]/Tabela35[[#This Row],[Valor Mercadoria]]</f>
        <v>9.2519591707277651E-2</v>
      </c>
      <c r="I16" s="4"/>
      <c r="J16" s="4"/>
      <c r="K16" s="4">
        <f>Tabela35[[#This Row],[Hr Chegada]]-Tabela35[[#This Row],[Hr Saida]]</f>
        <v>0</v>
      </c>
      <c r="L16" s="10">
        <v>500</v>
      </c>
      <c r="M16" s="9">
        <f>Tabela35[[#This Row],[Frete]]/Tabela35[[#This Row],[Valor Frete]]</f>
        <v>7.6486749435527787E-2</v>
      </c>
      <c r="N16" s="4"/>
      <c r="O16" s="4">
        <v>11</v>
      </c>
      <c r="P16" s="4">
        <v>11</v>
      </c>
      <c r="Q16" s="12">
        <f>Tabela35[[#This Row],[Qtde Entregas]]-Tabela35[[#This Row],[Entregas Realizadas]]</f>
        <v>0</v>
      </c>
      <c r="R16" s="13">
        <f>Tabela35[[#This Row],[Entregas Realizadas]]/Tabela35[[#This Row],[Qtde Entregas]]</f>
        <v>1</v>
      </c>
      <c r="S16" s="14" t="str">
        <f>IF(Tabela35[[#This Row],[% Entrega]]&gt;=96%,"Atendeu a Meta","Não Atendeu a Meta")</f>
        <v>Atendeu a Meta</v>
      </c>
      <c r="T16" s="4"/>
      <c r="U16" s="4"/>
      <c r="V16" s="5"/>
    </row>
    <row r="17" spans="1:22" x14ac:dyDescent="0.25">
      <c r="A17" s="8">
        <v>46287</v>
      </c>
      <c r="B17" s="8" t="s">
        <v>65</v>
      </c>
      <c r="C17" s="4"/>
      <c r="D17" s="4" t="s">
        <v>66</v>
      </c>
      <c r="E17" s="10">
        <v>4118.54</v>
      </c>
      <c r="F17" s="10">
        <v>62885.27</v>
      </c>
      <c r="G17" s="4">
        <v>632</v>
      </c>
      <c r="H17" s="9">
        <f>Tabela35[[#This Row],[Valor Frete]]/Tabela35[[#This Row],[Valor Mercadoria]]</f>
        <v>6.5492920679198804E-2</v>
      </c>
      <c r="I17" s="4"/>
      <c r="J17" s="4"/>
      <c r="K17" s="4">
        <f>Tabela35[[#This Row],[Hr Chegada]]-Tabela35[[#This Row],[Hr Saida]]</f>
        <v>0</v>
      </c>
      <c r="L17" s="10">
        <v>500</v>
      </c>
      <c r="M17" s="9">
        <f>Tabela35[[#This Row],[Frete]]/Tabela35[[#This Row],[Valor Frete]]</f>
        <v>0.12140224448469604</v>
      </c>
      <c r="N17" s="4"/>
      <c r="O17" s="4">
        <v>5</v>
      </c>
      <c r="P17" s="4">
        <v>5</v>
      </c>
      <c r="Q17" s="12">
        <f>Tabela35[[#This Row],[Qtde Entregas]]-Tabela35[[#This Row],[Entregas Realizadas]]</f>
        <v>0</v>
      </c>
      <c r="R17" s="13">
        <f>Tabela35[[#This Row],[Entregas Realizadas]]/Tabela35[[#This Row],[Qtde Entregas]]</f>
        <v>1</v>
      </c>
      <c r="S17" s="14" t="str">
        <f>IF(Tabela35[[#This Row],[% Entrega]]&gt;=96%,"Atendeu a Meta","Não Atendeu a Meta")</f>
        <v>Atendeu a Meta</v>
      </c>
      <c r="T17" s="4"/>
      <c r="U17" s="4"/>
      <c r="V17" s="5"/>
    </row>
    <row r="18" spans="1:22" x14ac:dyDescent="0.25">
      <c r="A18" s="8">
        <v>46288</v>
      </c>
      <c r="B18" s="8" t="s">
        <v>44</v>
      </c>
      <c r="C18" s="4"/>
      <c r="D18" s="4" t="s">
        <v>45</v>
      </c>
      <c r="E18" s="10">
        <v>4151.1400000000003</v>
      </c>
      <c r="F18" s="10">
        <v>51812.79</v>
      </c>
      <c r="G18" s="4">
        <v>631</v>
      </c>
      <c r="H18" s="9">
        <f>Tabela35[[#This Row],[Valor Frete]]/Tabela35[[#This Row],[Valor Mercadoria]]</f>
        <v>8.0118055792787843E-2</v>
      </c>
      <c r="I18" s="4"/>
      <c r="J18" s="4"/>
      <c r="K18" s="4">
        <f>Tabela35[[#This Row],[Hr Chegada]]-Tabela35[[#This Row],[Hr Saida]]</f>
        <v>0</v>
      </c>
      <c r="L18" s="10">
        <v>500</v>
      </c>
      <c r="M18" s="9">
        <f>Tabela35[[#This Row],[Frete]]/Tabela35[[#This Row],[Valor Frete]]</f>
        <v>0.12044884055946077</v>
      </c>
      <c r="N18" s="4"/>
      <c r="O18" s="4">
        <v>11</v>
      </c>
      <c r="P18" s="4">
        <v>11</v>
      </c>
      <c r="Q18" s="12">
        <f>Tabela35[[#This Row],[Qtde Entregas]]-Tabela35[[#This Row],[Entregas Realizadas]]</f>
        <v>0</v>
      </c>
      <c r="R18" s="13">
        <f>Tabela35[[#This Row],[Entregas Realizadas]]/Tabela35[[#This Row],[Qtde Entregas]]</f>
        <v>1</v>
      </c>
      <c r="S18" s="14" t="str">
        <f>IF(Tabela35[[#This Row],[% Entrega]]&gt;=96%,"Atendeu a Meta","Não Atendeu a Meta")</f>
        <v>Atendeu a Meta</v>
      </c>
      <c r="T18" s="4"/>
      <c r="U18" s="4"/>
      <c r="V18" s="5"/>
    </row>
    <row r="19" spans="1:22" x14ac:dyDescent="0.25">
      <c r="A19" s="8">
        <v>46289</v>
      </c>
      <c r="B19" s="8" t="s">
        <v>44</v>
      </c>
      <c r="C19" s="4"/>
      <c r="D19" s="4" t="s">
        <v>45</v>
      </c>
      <c r="E19" s="10">
        <v>3779.58</v>
      </c>
      <c r="F19" s="10">
        <v>77696.94</v>
      </c>
      <c r="G19" s="4">
        <v>718</v>
      </c>
      <c r="H19" s="9">
        <f>Tabela35[[#This Row],[Valor Frete]]/Tabela35[[#This Row],[Valor Mercadoria]]</f>
        <v>4.864515899853971E-2</v>
      </c>
      <c r="I19" s="4"/>
      <c r="J19" s="4"/>
      <c r="K19" s="4">
        <f>Tabela35[[#This Row],[Hr Chegada]]-Tabela35[[#This Row],[Hr Saida]]</f>
        <v>0</v>
      </c>
      <c r="L19" s="10">
        <v>500</v>
      </c>
      <c r="M19" s="9">
        <f>Tabela35[[#This Row],[Frete]]/Tabela35[[#This Row],[Valor Frete]]</f>
        <v>0.13228983114525952</v>
      </c>
      <c r="N19" s="4"/>
      <c r="O19" s="4">
        <v>14</v>
      </c>
      <c r="P19" s="4">
        <v>14</v>
      </c>
      <c r="Q19" s="12">
        <f>Tabela35[[#This Row],[Qtde Entregas]]-Tabela35[[#This Row],[Entregas Realizadas]]</f>
        <v>0</v>
      </c>
      <c r="R19" s="13">
        <f>Tabela35[[#This Row],[Entregas Realizadas]]/Tabela35[[#This Row],[Qtde Entregas]]</f>
        <v>1</v>
      </c>
      <c r="S19" s="14" t="str">
        <f>IF(Tabela35[[#This Row],[% Entrega]]&gt;=96%,"Atendeu a Meta","Não Atendeu a Meta")</f>
        <v>Atendeu a Meta</v>
      </c>
      <c r="T19" s="4">
        <v>0</v>
      </c>
      <c r="U19" s="4">
        <v>38</v>
      </c>
      <c r="V19" s="5"/>
    </row>
    <row r="20" spans="1:22" x14ac:dyDescent="0.25">
      <c r="A20" s="8">
        <v>46290</v>
      </c>
      <c r="B20" s="8" t="s">
        <v>44</v>
      </c>
      <c r="C20" s="4"/>
      <c r="D20" s="4" t="s">
        <v>45</v>
      </c>
      <c r="E20" s="10">
        <v>10761.38</v>
      </c>
      <c r="F20" s="10">
        <v>181084.37</v>
      </c>
      <c r="G20" s="4">
        <v>2461</v>
      </c>
      <c r="H20" s="9">
        <f>Tabela35[[#This Row],[Valor Frete]]/Tabela35[[#This Row],[Valor Mercadoria]]</f>
        <v>5.9427437055997706E-2</v>
      </c>
      <c r="I20" s="4"/>
      <c r="J20" s="4"/>
      <c r="K20" s="4">
        <f>Tabela35[[#This Row],[Hr Chegada]]-Tabela35[[#This Row],[Hr Saida]]</f>
        <v>0</v>
      </c>
      <c r="L20" s="10">
        <v>500</v>
      </c>
      <c r="M20" s="9">
        <f>Tabela35[[#This Row],[Frete]]/Tabela35[[#This Row],[Valor Frete]]</f>
        <v>4.646244254918979E-2</v>
      </c>
      <c r="N20" s="4"/>
      <c r="O20" s="4">
        <v>28</v>
      </c>
      <c r="P20" s="4">
        <v>28</v>
      </c>
      <c r="Q20" s="12">
        <f>Tabela35[[#This Row],[Qtde Entregas]]-Tabela35[[#This Row],[Entregas Realizadas]]</f>
        <v>0</v>
      </c>
      <c r="R20" s="13">
        <f>Tabela35[[#This Row],[Entregas Realizadas]]/Tabela35[[#This Row],[Qtde Entregas]]</f>
        <v>1</v>
      </c>
      <c r="S20" s="14" t="str">
        <f>IF(Tabela35[[#This Row],[% Entrega]]&gt;=96%,"Atendeu a Meta","Não Atendeu a Meta")</f>
        <v>Atendeu a Meta</v>
      </c>
      <c r="T20" s="4">
        <v>0</v>
      </c>
      <c r="U20" s="4" t="s">
        <v>82</v>
      </c>
      <c r="V20" s="5"/>
    </row>
    <row r="21" spans="1:22" x14ac:dyDescent="0.25">
      <c r="A21" s="8">
        <v>46294</v>
      </c>
      <c r="B21" s="8" t="s">
        <v>57</v>
      </c>
      <c r="C21" s="4"/>
      <c r="D21" s="4" t="s">
        <v>58</v>
      </c>
      <c r="E21" s="10"/>
      <c r="F21" s="10"/>
      <c r="G21" s="4"/>
      <c r="H21" s="9" t="e">
        <f>Tabela35[[#This Row],[Valor Frete]]/Tabela35[[#This Row],[Valor Mercadoria]]</f>
        <v>#DIV/0!</v>
      </c>
      <c r="I21" s="4"/>
      <c r="J21" s="4"/>
      <c r="K21" s="4">
        <f>Tabela35[[#This Row],[Hr Chegada]]-Tabela35[[#This Row],[Hr Saida]]</f>
        <v>0</v>
      </c>
      <c r="L21" s="10"/>
      <c r="M21" s="9" t="e">
        <f>Tabela35[[#This Row],[Frete]]/Tabela35[[#This Row],[Valor Frete]]</f>
        <v>#DIV/0!</v>
      </c>
      <c r="N21" s="4"/>
      <c r="O21" s="4"/>
      <c r="P21" s="4"/>
      <c r="Q21" s="12">
        <f>Tabela35[[#This Row],[Qtde Entregas]]-Tabela35[[#This Row],[Entregas Realizadas]]</f>
        <v>0</v>
      </c>
      <c r="R21" s="13" t="e">
        <f>Tabela35[[#This Row],[Entregas Realizadas]]/Tabela35[[#This Row],[Qtde Entregas]]</f>
        <v>#DIV/0!</v>
      </c>
      <c r="S21" s="14" t="e">
        <f>IF(Tabela35[[#This Row],[% Entrega]]&gt;=96%,"Atendeu a Meta","Não Atendeu a Meta")</f>
        <v>#DIV/0!</v>
      </c>
      <c r="T21" s="4"/>
      <c r="U21" s="4"/>
      <c r="V21" s="5"/>
    </row>
    <row r="22" spans="1:22" x14ac:dyDescent="0.25">
      <c r="A22" s="8">
        <v>46295</v>
      </c>
      <c r="B22" s="8" t="s">
        <v>57</v>
      </c>
      <c r="C22" s="4"/>
      <c r="D22" s="4" t="s">
        <v>58</v>
      </c>
      <c r="E22" s="10"/>
      <c r="F22" s="10"/>
      <c r="G22" s="4"/>
      <c r="H22" s="9" t="e">
        <f>Tabela35[[#This Row],[Valor Frete]]/Tabela35[[#This Row],[Valor Mercadoria]]</f>
        <v>#DIV/0!</v>
      </c>
      <c r="I22" s="4"/>
      <c r="J22" s="4"/>
      <c r="K22" s="4">
        <f>Tabela35[[#This Row],[Hr Chegada]]-Tabela35[[#This Row],[Hr Saida]]</f>
        <v>0</v>
      </c>
      <c r="L22" s="10"/>
      <c r="M22" s="9" t="e">
        <f>Tabela35[[#This Row],[Frete]]/Tabela35[[#This Row],[Valor Frete]]</f>
        <v>#DIV/0!</v>
      </c>
      <c r="N22" s="4"/>
      <c r="O22" s="4"/>
      <c r="P22" s="4"/>
      <c r="Q22" s="12">
        <f>Tabela35[[#This Row],[Qtde Entregas]]-Tabela35[[#This Row],[Entregas Realizadas]]</f>
        <v>0</v>
      </c>
      <c r="R22" s="13" t="e">
        <f>Tabela35[[#This Row],[Entregas Realizadas]]/Tabela35[[#This Row],[Qtde Entregas]]</f>
        <v>#DIV/0!</v>
      </c>
      <c r="S22" s="14" t="e">
        <f>IF(Tabela35[[#This Row],[% Entrega]]&gt;=96%,"Atendeu a Meta","Não Atendeu a Meta")</f>
        <v>#DIV/0!</v>
      </c>
      <c r="T22" s="4"/>
      <c r="U22" s="4"/>
      <c r="V22" s="5"/>
    </row>
    <row r="23" spans="1:22" x14ac:dyDescent="0.25">
      <c r="A23" s="8">
        <v>46296</v>
      </c>
      <c r="B23" s="8" t="s">
        <v>44</v>
      </c>
      <c r="C23" s="4"/>
      <c r="D23" s="4" t="s">
        <v>45</v>
      </c>
      <c r="E23" s="10">
        <v>9007.2099999999991</v>
      </c>
      <c r="F23" s="10">
        <v>179512.59</v>
      </c>
      <c r="G23" s="4">
        <v>2015</v>
      </c>
      <c r="H23" s="9">
        <f>Tabela35[[#This Row],[Valor Frete]]/Tabela35[[#This Row],[Valor Mercadoria]]</f>
        <v>5.0175923593994157E-2</v>
      </c>
      <c r="I23" s="4"/>
      <c r="J23" s="4"/>
      <c r="K23" s="4">
        <f>Tabela35[[#This Row],[Hr Chegada]]-Tabela35[[#This Row],[Hr Saida]]</f>
        <v>0</v>
      </c>
      <c r="L23" s="10">
        <v>500</v>
      </c>
      <c r="M23" s="9">
        <f>Tabela35[[#This Row],[Frete]]/Tabela35[[#This Row],[Valor Frete]]</f>
        <v>5.5511085008565365E-2</v>
      </c>
      <c r="N23" s="4"/>
      <c r="O23" s="4"/>
      <c r="P23" s="4"/>
      <c r="Q23" s="12">
        <f>Tabela35[[#This Row],[Qtde Entregas]]-Tabela35[[#This Row],[Entregas Realizadas]]</f>
        <v>0</v>
      </c>
      <c r="R23" s="13" t="e">
        <f>Tabela35[[#This Row],[Entregas Realizadas]]/Tabela35[[#This Row],[Qtde Entregas]]</f>
        <v>#DIV/0!</v>
      </c>
      <c r="S23" s="14" t="e">
        <f>IF(Tabela35[[#This Row],[% Entrega]]&gt;=96%,"Atendeu a Meta","Não Atendeu a Meta")</f>
        <v>#DIV/0!</v>
      </c>
      <c r="T23" s="4"/>
      <c r="U23" s="4"/>
      <c r="V23" s="5"/>
    </row>
  </sheetData>
  <conditionalFormatting sqref="H2:H23">
    <cfRule type="cellIs" dxfId="76" priority="1" operator="lessThan">
      <formula>0.05</formula>
    </cfRule>
    <cfRule type="cellIs" dxfId="75" priority="2" operator="greaterThanOrEqual">
      <formula>0.05</formula>
    </cfRule>
  </conditionalFormatting>
  <conditionalFormatting sqref="R2:R23">
    <cfRule type="cellIs" dxfId="74" priority="7" stopIfTrue="1" operator="lessThanOrEqual">
      <formula>0.949</formula>
    </cfRule>
    <cfRule type="cellIs" dxfId="73" priority="8" stopIfTrue="1" operator="greaterThanOrEqual">
      <formula>0.9</formula>
    </cfRule>
    <cfRule type="cellIs" dxfId="72" priority="9" stopIfTrue="1" operator="greaterThanOrEqual">
      <formula>90</formula>
    </cfRule>
    <cfRule type="cellIs" dxfId="71" priority="10" stopIfTrue="1" operator="lessThan">
      <formula>0</formula>
    </cfRule>
    <cfRule type="cellIs" dxfId="70" priority="11" stopIfTrue="1" operator="lessThan">
      <formula>1</formula>
    </cfRule>
    <cfRule type="cellIs" dxfId="69" priority="12" stopIfTrue="1" operator="greaterThan">
      <formula>100</formula>
    </cfRule>
    <cfRule type="cellIs" dxfId="68" priority="13" stopIfTrue="1" operator="greaterThan">
      <formula>1</formula>
    </cfRule>
  </conditionalFormatting>
  <conditionalFormatting sqref="S2:S23">
    <cfRule type="expression" dxfId="67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66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479"/>
  <sheetViews>
    <sheetView showGridLines="0" tabSelected="1" workbookViewId="0">
      <pane xSplit="10" ySplit="1" topLeftCell="W451" activePane="bottomRight" state="frozen"/>
      <selection pane="topRight" activeCell="I1" sqref="I1"/>
      <selection pane="bottomLeft" activeCell="A2" sqref="A2"/>
      <selection pane="bottomRight" activeCell="Y478" sqref="Y478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52</v>
      </c>
      <c r="C1" s="1" t="s">
        <v>51</v>
      </c>
      <c r="D1" s="2" t="s">
        <v>1</v>
      </c>
      <c r="E1" s="2" t="s">
        <v>73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42</v>
      </c>
      <c r="R1" s="2" t="s">
        <v>48</v>
      </c>
      <c r="S1" s="2" t="s">
        <v>49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50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23</v>
      </c>
      <c r="E2" s="4">
        <v>3</v>
      </c>
      <c r="F2" s="4" t="str">
        <f>IFERROR(VLOOKUP(Tabela32[[#This Row],[Placa]],Planilha2!$A$1:$B$12,2,0),"")</f>
        <v>William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39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33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39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53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39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25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39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35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39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31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43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29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39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Wesley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41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36</v>
      </c>
      <c r="E10" s="4">
        <v>1</v>
      </c>
      <c r="F10" s="4" t="str">
        <f>IFERROR(VLOOKUP(Tabela32[[#This Row],[Placa]],Planilha2!$A$1:$B$12,2,0),"")</f>
        <v>Heremilton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41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27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39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28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40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25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39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Wesley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41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53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40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35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39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28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40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23</v>
      </c>
      <c r="E18" s="4">
        <v>3</v>
      </c>
      <c r="F18" s="4" t="str">
        <f>IFERROR(VLOOKUP(Tabela32[[#This Row],[Placa]],Planilha2!$A$1:$B$12,2,0),"")</f>
        <v>William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39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33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40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33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39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31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43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25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39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29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40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27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41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28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43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25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39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29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39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Wesley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41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23</v>
      </c>
      <c r="E29" s="4">
        <v>3</v>
      </c>
      <c r="F29" s="4" t="str">
        <f>IFERROR(VLOOKUP(Tabela32[[#This Row],[Placa]],Planilha2!$A$1:$B$12,2,0),"")</f>
        <v>William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39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53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40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28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39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27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41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31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43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33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43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33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39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28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41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23</v>
      </c>
      <c r="E37" s="4">
        <v>3</v>
      </c>
      <c r="F37" s="4" t="str">
        <f>IFERROR(VLOOKUP(Tabela32[[#This Row],[Placa]],Planilha2!$A$1:$B$12,2,0),"")</f>
        <v>William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39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27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43</v>
      </c>
      <c r="X38" s="4">
        <v>2</v>
      </c>
      <c r="Y38" s="5" t="s">
        <v>59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35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39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31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43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Wesley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41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53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39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25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39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25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39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33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40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28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43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33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43</v>
      </c>
      <c r="X47" s="4">
        <v>2</v>
      </c>
      <c r="Y47" s="5" t="s">
        <v>60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Wesley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39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53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39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31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39</v>
      </c>
      <c r="X50" s="4">
        <v>2</v>
      </c>
      <c r="Y50" s="5" t="s">
        <v>61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25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41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35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40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27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40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23</v>
      </c>
      <c r="E54" s="4">
        <v>1</v>
      </c>
      <c r="F54" s="4" t="str">
        <f>IFERROR(VLOOKUP(Tabela32[[#This Row],[Placa]],Planilha2!$A$1:$B$12,2,0),"")</f>
        <v>William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43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36</v>
      </c>
      <c r="E55" s="4">
        <v>1</v>
      </c>
      <c r="F55" s="4" t="str">
        <f>IFERROR(VLOOKUP(Tabela32[[#This Row],[Placa]],Planilha2!$A$1:$B$12,2,0),"")</f>
        <v>Heremilton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39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53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39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27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39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Wesley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39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35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40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33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40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31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39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23</v>
      </c>
      <c r="E62" s="4">
        <v>4</v>
      </c>
      <c r="F62" s="4" t="str">
        <f>IFERROR(VLOOKUP(Tabela32[[#This Row],[Placa]],Planilha2!$A$1:$B$12,2,0),"")</f>
        <v>William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39</v>
      </c>
      <c r="X62" s="4">
        <v>3</v>
      </c>
      <c r="Y62" s="5" t="s">
        <v>69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25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41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28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41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27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41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Wesley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39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28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41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23</v>
      </c>
      <c r="E68" s="4">
        <v>1</v>
      </c>
      <c r="F68" s="4" t="str">
        <f>IFERROR(VLOOKUP(Tabela32[[#This Row],[Placa]],Planilha2!$A$1:$B$12,2,0),"")</f>
        <v>William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39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35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43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33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43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25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41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53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39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31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39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35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43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33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39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Wesley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39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23</v>
      </c>
      <c r="E77" s="4">
        <v>1</v>
      </c>
      <c r="F77" s="4" t="str">
        <f>IFERROR(VLOOKUP(Tabela32[[#This Row],[Placa]],Planilha2!$A$1:$B$12,2,0),"")</f>
        <v>William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39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25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39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27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40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33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40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28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39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31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39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53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41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23</v>
      </c>
      <c r="E84" s="4">
        <v>11</v>
      </c>
      <c r="F84" s="4" t="str">
        <f>IFERROR(VLOOKUP(Tabela32[[#This Row],[Placa]],Planilha2!$A$1:$B$12,2,0),"")</f>
        <v>William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41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35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43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25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39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31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39</v>
      </c>
      <c r="X87" s="4">
        <v>3</v>
      </c>
      <c r="Y87" s="5" t="s">
        <v>69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Wesley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39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53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41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28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40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27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39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25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39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29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39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33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40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53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39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33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63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27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43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29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41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28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39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35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43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Wesley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39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25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39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23</v>
      </c>
      <c r="E103" s="4">
        <v>11</v>
      </c>
      <c r="F103" s="4" t="str">
        <f>IFERROR(VLOOKUP(Tabela32[[#This Row],[Placa]],Planilha2!$A$1:$B$12,2,0),"")</f>
        <v>William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41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31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40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33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40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29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41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35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40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23</v>
      </c>
      <c r="E108" s="4">
        <v>4</v>
      </c>
      <c r="F108" s="4" t="str">
        <f>IFERROR(VLOOKUP(Tabela32[[#This Row],[Placa]],Planilha2!$A$1:$B$12,2,0),"")</f>
        <v>William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39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27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40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Wesley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39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53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39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28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41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25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39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33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43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Wesley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39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33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40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35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40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23</v>
      </c>
      <c r="E118" s="4">
        <v>5</v>
      </c>
      <c r="F118" s="4" t="str">
        <f>IFERROR(VLOOKUP(Tabela32[[#This Row],[Placa]],Planilha2!$A$1:$B$12,2,0),"")</f>
        <v>William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63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25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39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29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41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28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41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37</v>
      </c>
      <c r="E122" s="4">
        <v>1</v>
      </c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40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36</v>
      </c>
      <c r="E123" s="4">
        <v>1</v>
      </c>
      <c r="F123" s="4" t="str">
        <f>IFERROR(VLOOKUP(Tabela32[[#This Row],[Placa]],Planilha2!$A$1:$B$12,2,0),"")</f>
        <v>Heremilton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39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27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40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35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43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53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39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33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64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29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40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23</v>
      </c>
      <c r="E129" s="4">
        <v>1</v>
      </c>
      <c r="F129" s="4" t="str">
        <f>IFERROR(VLOOKUP(Tabela32[[#This Row],[Placa]],Planilha2!$A$1:$B$12,2,0),"")</f>
        <v>William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39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Wesley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39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28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41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35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39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33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43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27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43</v>
      </c>
      <c r="X134" s="4">
        <v>7</v>
      </c>
      <c r="Y134" s="5" t="s">
        <v>68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25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39</v>
      </c>
      <c r="X135" s="4">
        <v>3</v>
      </c>
      <c r="Y135" s="5" t="s">
        <v>69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53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39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29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39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28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41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53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39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29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40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25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39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35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43</v>
      </c>
      <c r="X142" s="4">
        <v>5</v>
      </c>
      <c r="Y142" s="5" t="s">
        <v>68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31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39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Wesley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39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33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40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23</v>
      </c>
      <c r="E146" s="4">
        <v>1</v>
      </c>
      <c r="F146" s="4" t="str">
        <f>IFERROR(VLOOKUP(Tabela32[[#This Row],[Placa]],Planilha2!$A$1:$B$12,2,0),"")</f>
        <v>William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43</v>
      </c>
      <c r="X146" s="4">
        <v>3</v>
      </c>
      <c r="Y146" s="5" t="s">
        <v>67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29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39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29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41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29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40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31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39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25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41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35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63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33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40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28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39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53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39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Wesley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39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27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43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23</v>
      </c>
      <c r="E158" s="4">
        <v>1</v>
      </c>
      <c r="F158" s="4" t="str">
        <f>IFERROR(VLOOKUP(Tabela32[[#This Row],[Placa]],Planilha2!$A$1:$B$12,2,0),"")</f>
        <v>William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43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25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41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Wesley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39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53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39</v>
      </c>
      <c r="X161" s="4">
        <v>3</v>
      </c>
      <c r="Y161" s="5" t="s">
        <v>70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31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39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23</v>
      </c>
      <c r="E163" s="4">
        <v>4</v>
      </c>
      <c r="F163" s="4" t="str">
        <f>IFERROR(VLOOKUP(Tabela32[[#This Row],[Placa]],Planilha2!$A$1:$B$12,2,0),"")</f>
        <v>William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39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33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40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35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43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28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41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27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43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29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40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29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43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53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39</v>
      </c>
      <c r="X170" s="4">
        <v>4</v>
      </c>
      <c r="Y170" s="5" t="s">
        <v>71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27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39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25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41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23</v>
      </c>
      <c r="E173" s="4">
        <v>2</v>
      </c>
      <c r="F173" s="4" t="str">
        <f>IFERROR(VLOOKUP(Tabela32[[#This Row],[Placa]],Planilha2!$A$1:$B$12,2,0),"")</f>
        <v>William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39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Wesley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39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28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39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31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39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35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43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33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43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53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39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28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41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33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43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35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43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27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40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Wesley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39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23</v>
      </c>
      <c r="E185" s="4">
        <v>0</v>
      </c>
      <c r="F185" s="4" t="str">
        <f>IFERROR(VLOOKUP(Tabela32[[#This Row],[Placa]],Planilha2!$A$1:$B$12,2,0),"")</f>
        <v>William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39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29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40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31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39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31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39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25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43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Wesley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39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28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41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29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43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33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40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27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43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23</v>
      </c>
      <c r="E195" s="4">
        <v>4</v>
      </c>
      <c r="F195" s="4" t="str">
        <f>IFERROR(VLOOKUP(Tabela32[[#This Row],[Placa]],Planilha2!$A$1:$B$12,2,0),"")</f>
        <v>William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39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31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39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53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39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25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43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35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43</v>
      </c>
      <c r="X199" s="4">
        <v>14</v>
      </c>
      <c r="Y199" s="5" t="s">
        <v>72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29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39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33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39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25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41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25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39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35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39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28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41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Wesley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43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29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40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29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39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31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39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27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40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23</v>
      </c>
      <c r="E211" s="4">
        <v>1</v>
      </c>
      <c r="F211" s="4" t="str">
        <f>IFERROR(VLOOKUP(Tabela32[[#This Row],[Placa]],Planilha2!$A$1:$B$12,2,0),"")</f>
        <v>William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43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33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40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53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40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35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41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33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40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53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39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28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39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37</v>
      </c>
      <c r="E218" s="4">
        <v>1</v>
      </c>
      <c r="F218" s="4" t="str">
        <f>IFERROR(VLOOKUP(Tabela32[[#This Row],[Placa]],Planilha2!$A$1:$B$12,2,0),"")</f>
        <v>Manoel</v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43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Wesley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63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27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40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31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39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29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40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25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39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25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39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35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41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28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39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33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64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29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64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23</v>
      </c>
      <c r="E229" s="4">
        <v>5</v>
      </c>
      <c r="F229" s="4" t="str">
        <f>IFERROR(VLOOKUP(Tabela32[[#This Row],[Placa]],Planilha2!$A$1:$B$12,2,0),"")</f>
        <v>William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39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31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39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31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43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27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39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Wesley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43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33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43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28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41</v>
      </c>
      <c r="X235" s="4">
        <v>8</v>
      </c>
      <c r="Y235" s="5" t="s">
        <v>74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Wesley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40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23</v>
      </c>
      <c r="E237" s="4">
        <v>5</v>
      </c>
      <c r="F237" s="4" t="str">
        <f>IFERROR(VLOOKUP(Tabela32[[#This Row],[Placa]],Planilha2!$A$1:$B$12,2,0),"")</f>
        <v>William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39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29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40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35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39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25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39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31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39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27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40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23</v>
      </c>
      <c r="E243" s="4">
        <v>4</v>
      </c>
      <c r="F243" s="4" t="str">
        <f>IFERROR(VLOOKUP(Tabela32[[#This Row],[Placa]],Planilha2!$A$1:$B$12,2,0),"")</f>
        <v>William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39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29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43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25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39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53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39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27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43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27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63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33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40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23</v>
      </c>
      <c r="E250" s="4">
        <v>11</v>
      </c>
      <c r="F250" s="4" t="str">
        <f>IFERROR(VLOOKUP(Tabela32[[#This Row],[Placa]],Planilha2!$A$1:$B$12,2,0),"")</f>
        <v>William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41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28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39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31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39</v>
      </c>
      <c r="X252" s="4">
        <v>2</v>
      </c>
      <c r="Y252" s="5" t="s">
        <v>75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25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41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53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39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28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41</v>
      </c>
      <c r="X255" s="4">
        <v>0</v>
      </c>
      <c r="Y255" s="5" t="s">
        <v>76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31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39</v>
      </c>
      <c r="X256" s="4">
        <v>9</v>
      </c>
      <c r="Y256" s="5" t="s">
        <v>77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33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40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33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39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27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39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Wesley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43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53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40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25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43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29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40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23</v>
      </c>
      <c r="E264" s="4">
        <v>5</v>
      </c>
      <c r="F264" s="4" t="str">
        <f>IFERROR(VLOOKUP(Tabela32[[#This Row],[Placa]],Planilha2!$A$1:$B$12,2,0),"")</f>
        <v>William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39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35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39</v>
      </c>
      <c r="X265" s="4">
        <v>0</v>
      </c>
      <c r="Y265" s="5">
        <v>0</v>
      </c>
    </row>
    <row r="266" spans="1:25" x14ac:dyDescent="0.25">
      <c r="A266" s="8">
        <v>46274</v>
      </c>
      <c r="B266" s="16">
        <f>YEAR(Tabela32[[#This Row],[Data]])</f>
        <v>2026</v>
      </c>
      <c r="C266" s="16">
        <f>MONTH(Tabela32[[#This Row],[Data]])</f>
        <v>9</v>
      </c>
      <c r="D266" s="4" t="s">
        <v>25</v>
      </c>
      <c r="E266" s="4">
        <v>3</v>
      </c>
      <c r="F266" s="4" t="str">
        <f>IFERROR(VLOOKUP(Tabela32[[#This Row],[Placa]],Planilha2!$A$1:$B$12,2,0),"")</f>
        <v>Gilberto</v>
      </c>
      <c r="G266" s="10">
        <v>6363.45</v>
      </c>
      <c r="H266" s="10">
        <v>192714.53</v>
      </c>
      <c r="I266" s="4">
        <v>1387</v>
      </c>
      <c r="J266" s="17">
        <f>IFERROR(Tabela32[[#This Row],[Valor Frete]]/Tabela32[[#This Row],[Valor Mercadoria]],"")</f>
        <v>3.3020084162828825E-2</v>
      </c>
      <c r="K266" s="11">
        <v>0.29166666666666669</v>
      </c>
      <c r="L266" s="15">
        <v>0.74305555555555558</v>
      </c>
      <c r="M266" s="15">
        <f>Tabela32[[#This Row],[Hr Chegada]]-Tabela32[[#This Row],[Hr Saida]]</f>
        <v>0.4513888888888889</v>
      </c>
      <c r="N266" s="4">
        <v>119633</v>
      </c>
      <c r="O266" s="4">
        <v>119690</v>
      </c>
      <c r="P266" s="4">
        <f>Tabela32[[#This Row],[Km Chegada]]-Tabela32[[#This Row],[Km Saída]]</f>
        <v>57</v>
      </c>
      <c r="Q266" s="4">
        <v>316</v>
      </c>
      <c r="R266" s="4">
        <v>16</v>
      </c>
      <c r="S266" s="4">
        <v>16</v>
      </c>
      <c r="T266" s="12">
        <f>Tabela32[[#This Row],[Entregas]]-Tabela32[[#This Row],[Realizadas]]</f>
        <v>0</v>
      </c>
      <c r="U266" s="18">
        <f>Tabela32[[#This Row],[Realizadas]]/Tabela32[[#This Row],[Entregas]]</f>
        <v>1</v>
      </c>
      <c r="V266" s="19" t="str">
        <f>IF(Tabela32[[#This Row],[% Entrega]]&gt;=96%,"Atendeu a Meta","Não Atendeu a Meta")</f>
        <v>Atendeu a Meta</v>
      </c>
      <c r="W266" s="4" t="s">
        <v>39</v>
      </c>
      <c r="X266" s="4">
        <v>0</v>
      </c>
      <c r="Y266" s="5">
        <v>0</v>
      </c>
    </row>
    <row r="267" spans="1:25" x14ac:dyDescent="0.25">
      <c r="A267" s="8">
        <v>46274</v>
      </c>
      <c r="B267" s="16">
        <f>YEAR(Tabela32[[#This Row],[Data]])</f>
        <v>2026</v>
      </c>
      <c r="C267" s="16">
        <f>MONTH(Tabela32[[#This Row],[Data]])</f>
        <v>9</v>
      </c>
      <c r="D267" s="4" t="s">
        <v>31</v>
      </c>
      <c r="E267" s="4">
        <v>5</v>
      </c>
      <c r="F267" s="4" t="str">
        <f>IFERROR(VLOOKUP(Tabela32[[#This Row],[Placa]],Planilha2!$A$1:$B$12,2,0),"")</f>
        <v>Jerson</v>
      </c>
      <c r="G267" s="10">
        <v>8630.99</v>
      </c>
      <c r="H267" s="10">
        <v>188763.4</v>
      </c>
      <c r="I267" s="4">
        <v>2529</v>
      </c>
      <c r="J267" s="17">
        <f>IFERROR(Tabela32[[#This Row],[Valor Frete]]/Tabela32[[#This Row],[Valor Mercadoria]],"")</f>
        <v>4.5723853246974783E-2</v>
      </c>
      <c r="K267" s="11">
        <v>0.30208333333333331</v>
      </c>
      <c r="L267" s="15">
        <v>0.72916666666666663</v>
      </c>
      <c r="M267" s="15">
        <f>Tabela32[[#This Row],[Hr Chegada]]-Tabela32[[#This Row],[Hr Saida]]</f>
        <v>0.42708333333333331</v>
      </c>
      <c r="N267" s="4">
        <v>280284</v>
      </c>
      <c r="O267" s="4">
        <v>280306</v>
      </c>
      <c r="P267" s="4">
        <f>Tabela32[[#This Row],[Km Chegada]]-Tabela32[[#This Row],[Km Saída]]</f>
        <v>22</v>
      </c>
      <c r="Q267" s="4">
        <v>415</v>
      </c>
      <c r="R267" s="4">
        <v>28</v>
      </c>
      <c r="S267" s="4">
        <v>28</v>
      </c>
      <c r="T267" s="12">
        <f>Tabela32[[#This Row],[Entregas]]-Tabela32[[#This Row],[Realizadas]]</f>
        <v>0</v>
      </c>
      <c r="U267" s="18">
        <f>Tabela32[[#This Row],[Realizadas]]/Tabela32[[#This Row],[Entregas]]</f>
        <v>1</v>
      </c>
      <c r="V267" s="19" t="str">
        <f>IF(Tabela32[[#This Row],[% Entrega]]&gt;=96%,"Atendeu a Meta","Não Atendeu a Meta")</f>
        <v>Atendeu a Meta</v>
      </c>
      <c r="W267" s="4" t="s">
        <v>39</v>
      </c>
      <c r="X267" s="4">
        <v>0</v>
      </c>
      <c r="Y267" s="5">
        <v>0</v>
      </c>
    </row>
    <row r="268" spans="1:25" x14ac:dyDescent="0.25">
      <c r="A268" s="8">
        <v>46274</v>
      </c>
      <c r="B268" s="16">
        <f>YEAR(Tabela32[[#This Row],[Data]])</f>
        <v>2026</v>
      </c>
      <c r="C268" s="16">
        <f>MONTH(Tabela32[[#This Row],[Data]])</f>
        <v>9</v>
      </c>
      <c r="D268" s="4" t="s">
        <v>28</v>
      </c>
      <c r="E268" s="4">
        <v>11</v>
      </c>
      <c r="F268" s="4" t="str">
        <f>IFERROR(VLOOKUP(Tabela32[[#This Row],[Placa]],Planilha2!$A$1:$B$12,2,0),"")</f>
        <v>Edilson</v>
      </c>
      <c r="G268" s="10">
        <v>23231.13</v>
      </c>
      <c r="H268" s="10">
        <v>568767.07999999996</v>
      </c>
      <c r="I268" s="4">
        <v>3937</v>
      </c>
      <c r="J268" s="17">
        <f>IFERROR(Tabela32[[#This Row],[Valor Frete]]/Tabela32[[#This Row],[Valor Mercadoria]],"")</f>
        <v>4.0844716258894596E-2</v>
      </c>
      <c r="K268" s="11">
        <v>0.27083333333333331</v>
      </c>
      <c r="L268" s="15">
        <v>0.79652777777777772</v>
      </c>
      <c r="M268" s="15">
        <f>Tabela32[[#This Row],[Hr Chegada]]-Tabela32[[#This Row],[Hr Saida]]</f>
        <v>0.52569444444444446</v>
      </c>
      <c r="N268" s="4">
        <v>105079</v>
      </c>
      <c r="O268" s="4">
        <v>105230</v>
      </c>
      <c r="P268" s="4">
        <f>Tabela32[[#This Row],[Km Chegada]]-Tabela32[[#This Row],[Km Saída]]</f>
        <v>151</v>
      </c>
      <c r="Q268" s="4">
        <v>219</v>
      </c>
      <c r="R268" s="4">
        <v>19</v>
      </c>
      <c r="S268" s="4">
        <v>19</v>
      </c>
      <c r="T268" s="12">
        <f>Tabela32[[#This Row],[Entregas]]-Tabela32[[#This Row],[Realizadas]]</f>
        <v>0</v>
      </c>
      <c r="U268" s="18">
        <f>Tabela32[[#This Row],[Realizadas]]/Tabela32[[#This Row],[Entregas]]</f>
        <v>1</v>
      </c>
      <c r="V268" s="19" t="str">
        <f>IF(Tabela32[[#This Row],[% Entrega]]&gt;=96%,"Atendeu a Meta","Não Atendeu a Meta")</f>
        <v>Atendeu a Meta</v>
      </c>
      <c r="W268" s="4" t="s">
        <v>41</v>
      </c>
      <c r="X268" s="4">
        <v>0</v>
      </c>
      <c r="Y268" s="5">
        <v>0</v>
      </c>
    </row>
    <row r="269" spans="1:25" x14ac:dyDescent="0.25">
      <c r="A269" s="8">
        <v>46274</v>
      </c>
      <c r="B269" s="16">
        <f>YEAR(Tabela32[[#This Row],[Data]])</f>
        <v>2026</v>
      </c>
      <c r="C269" s="16">
        <f>MONTH(Tabela32[[#This Row],[Data]])</f>
        <v>9</v>
      </c>
      <c r="D269" s="4" t="s">
        <v>53</v>
      </c>
      <c r="E269" s="4">
        <v>5</v>
      </c>
      <c r="F269" s="4" t="str">
        <f>IFERROR(VLOOKUP(Tabela32[[#This Row],[Placa]],Planilha2!$A$1:$B$12,2,0),"")</f>
        <v>Arnaldo</v>
      </c>
      <c r="G269" s="10">
        <v>6408.08</v>
      </c>
      <c r="H269" s="10">
        <v>114752.32000000001</v>
      </c>
      <c r="I269" s="4">
        <v>1427</v>
      </c>
      <c r="J269" s="17">
        <f>IFERROR(Tabela32[[#This Row],[Valor Frete]]/Tabela32[[#This Row],[Valor Mercadoria]],"")</f>
        <v>5.5842705402383147E-2</v>
      </c>
      <c r="K269" s="11">
        <v>0.2986111111111111</v>
      </c>
      <c r="L269" s="15">
        <v>0.78125</v>
      </c>
      <c r="M269" s="15">
        <f>Tabela32[[#This Row],[Hr Chegada]]-Tabela32[[#This Row],[Hr Saida]]</f>
        <v>0.4826388888888889</v>
      </c>
      <c r="N269" s="4">
        <v>13214</v>
      </c>
      <c r="O269" s="4">
        <v>13253</v>
      </c>
      <c r="P269" s="4">
        <f>Tabela32[[#This Row],[Km Chegada]]-Tabela32[[#This Row],[Km Saída]]</f>
        <v>39</v>
      </c>
      <c r="Q269" s="4">
        <v>599</v>
      </c>
      <c r="R269" s="4">
        <v>3</v>
      </c>
      <c r="S269" s="4">
        <v>3</v>
      </c>
      <c r="T269" s="12">
        <f>Tabela32[[#This Row],[Entregas]]-Tabela32[[#This Row],[Realizadas]]</f>
        <v>0</v>
      </c>
      <c r="U269" s="18">
        <f>Tabela32[[#This Row],[Realizadas]]/Tabela32[[#This Row],[Entregas]]</f>
        <v>1</v>
      </c>
      <c r="V269" s="19" t="str">
        <f>IF(Tabela32[[#This Row],[% Entrega]]&gt;=96%,"Atendeu a Meta","Não Atendeu a Meta")</f>
        <v>Atendeu a Meta</v>
      </c>
      <c r="W269" s="4" t="s">
        <v>39</v>
      </c>
      <c r="X269" s="4">
        <v>0</v>
      </c>
      <c r="Y269" s="5">
        <v>0</v>
      </c>
    </row>
    <row r="270" spans="1:25" x14ac:dyDescent="0.25">
      <c r="A270" s="8">
        <v>46274</v>
      </c>
      <c r="B270" s="16">
        <f>YEAR(Tabela32[[#This Row],[Data]])</f>
        <v>2026</v>
      </c>
      <c r="C270" s="16">
        <f>MONTH(Tabela32[[#This Row],[Data]])</f>
        <v>9</v>
      </c>
      <c r="D270" s="4" t="s">
        <v>22</v>
      </c>
      <c r="E270" s="4">
        <v>1</v>
      </c>
      <c r="F270" s="4" t="str">
        <f>IFERROR(VLOOKUP(Tabela32[[#This Row],[Placa]],Planilha2!$A$1:$B$12,2,0),"")</f>
        <v>Wesley</v>
      </c>
      <c r="G270" s="10">
        <v>12077</v>
      </c>
      <c r="H270" s="10">
        <v>194565.5</v>
      </c>
      <c r="I270" s="4">
        <v>2323</v>
      </c>
      <c r="J270" s="17">
        <f>IFERROR(Tabela32[[#This Row],[Valor Frete]]/Tabela32[[#This Row],[Valor Mercadoria]],"")</f>
        <v>6.2071641683648954E-2</v>
      </c>
      <c r="K270" s="11">
        <v>0.29166666666666669</v>
      </c>
      <c r="L270" s="15">
        <v>0.80763888888888891</v>
      </c>
      <c r="M270" s="15">
        <f>Tabela32[[#This Row],[Hr Chegada]]-Tabela32[[#This Row],[Hr Saida]]</f>
        <v>0.51597222222222228</v>
      </c>
      <c r="N270" s="4">
        <v>304242</v>
      </c>
      <c r="O270" s="4">
        <v>304326</v>
      </c>
      <c r="P270" s="4">
        <f>Tabela32[[#This Row],[Km Chegada]]-Tabela32[[#This Row],[Km Saída]]</f>
        <v>84</v>
      </c>
      <c r="Q270" s="4">
        <v>229</v>
      </c>
      <c r="R270" s="4">
        <v>41</v>
      </c>
      <c r="S270" s="4">
        <v>41</v>
      </c>
      <c r="T270" s="12">
        <f>Tabela32[[#This Row],[Entregas]]-Tabela32[[#This Row],[Realizadas]]</f>
        <v>0</v>
      </c>
      <c r="U270" s="18">
        <f>Tabela32[[#This Row],[Realizadas]]/Tabela32[[#This Row],[Entregas]]</f>
        <v>1</v>
      </c>
      <c r="V270" s="19" t="str">
        <f>IF(Tabela32[[#This Row],[% Entrega]]&gt;=96%,"Atendeu a Meta","Não Atendeu a Meta")</f>
        <v>Atendeu a Meta</v>
      </c>
      <c r="W270" s="4" t="s">
        <v>43</v>
      </c>
      <c r="X270" s="4">
        <v>0</v>
      </c>
      <c r="Y270" s="5">
        <v>0</v>
      </c>
    </row>
    <row r="271" spans="1:25" x14ac:dyDescent="0.25">
      <c r="A271" s="8">
        <v>46274</v>
      </c>
      <c r="B271" s="16">
        <f>YEAR(Tabela32[[#This Row],[Data]])</f>
        <v>2026</v>
      </c>
      <c r="C271" s="16">
        <f>MONTH(Tabela32[[#This Row],[Data]])</f>
        <v>9</v>
      </c>
      <c r="D271" s="4" t="s">
        <v>37</v>
      </c>
      <c r="E271" s="4">
        <v>1</v>
      </c>
      <c r="F271" s="4" t="str">
        <f>IFERROR(VLOOKUP(Tabela32[[#This Row],[Placa]],Planilha2!$A$1:$B$12,2,0),"")</f>
        <v>Manoel</v>
      </c>
      <c r="G271" s="10">
        <v>512.91</v>
      </c>
      <c r="H271" s="10">
        <v>4311.4799999999996</v>
      </c>
      <c r="I271" s="4">
        <v>9.1</v>
      </c>
      <c r="J271" s="17">
        <f>IFERROR(Tabela32[[#This Row],[Valor Frete]]/Tabela32[[#This Row],[Valor Mercadoria]],"")</f>
        <v>0.11896378969634558</v>
      </c>
      <c r="K271" s="11">
        <v>0.51041666666666663</v>
      </c>
      <c r="L271" s="15">
        <v>0.73124999999999996</v>
      </c>
      <c r="M271" s="15">
        <f>Tabela32[[#This Row],[Hr Chegada]]-Tabela32[[#This Row],[Hr Saida]]</f>
        <v>0.22083333333333333</v>
      </c>
      <c r="N271" s="4">
        <v>11930</v>
      </c>
      <c r="O271" s="4">
        <v>11968</v>
      </c>
      <c r="P271" s="4">
        <f>Tabela32[[#This Row],[Km Chegada]]-Tabela32[[#This Row],[Km Saída]]</f>
        <v>38</v>
      </c>
      <c r="Q271" s="4">
        <v>10</v>
      </c>
      <c r="R271" s="4">
        <v>1</v>
      </c>
      <c r="S271" s="4">
        <v>1</v>
      </c>
      <c r="T271" s="12">
        <f>Tabela32[[#This Row],[Entregas]]-Tabela32[[#This Row],[Realizadas]]</f>
        <v>0</v>
      </c>
      <c r="U271" s="18">
        <f>Tabela32[[#This Row],[Realizadas]]/Tabela32[[#This Row],[Entregas]]</f>
        <v>1</v>
      </c>
      <c r="V271" s="19" t="str">
        <f>IF(Tabela32[[#This Row],[% Entrega]]&gt;=96%,"Atendeu a Meta","Não Atendeu a Meta")</f>
        <v>Atendeu a Meta</v>
      </c>
      <c r="W271" s="4" t="s">
        <v>39</v>
      </c>
      <c r="X271" s="4">
        <v>0</v>
      </c>
      <c r="Y271" s="5">
        <v>0</v>
      </c>
    </row>
    <row r="272" spans="1:25" x14ac:dyDescent="0.25">
      <c r="A272" s="8">
        <v>46274</v>
      </c>
      <c r="B272" s="16">
        <f>YEAR(Tabela32[[#This Row],[Data]])</f>
        <v>2026</v>
      </c>
      <c r="C272" s="16">
        <f>MONTH(Tabela32[[#This Row],[Data]])</f>
        <v>9</v>
      </c>
      <c r="D272" s="4" t="s">
        <v>29</v>
      </c>
      <c r="E272" s="4">
        <v>1</v>
      </c>
      <c r="F272" s="4" t="str">
        <f>IFERROR(VLOOKUP(Tabela32[[#This Row],[Placa]],Planilha2!$A$1:$B$12,2,0),"")</f>
        <v>Sandro</v>
      </c>
      <c r="G272" s="10">
        <v>2603.98</v>
      </c>
      <c r="H272" s="10">
        <v>52384.78</v>
      </c>
      <c r="I272" s="4">
        <v>199</v>
      </c>
      <c r="J272" s="17">
        <f>IFERROR(Tabela32[[#This Row],[Valor Frete]]/Tabela32[[#This Row],[Valor Mercadoria]],"")</f>
        <v>4.9708713103309779E-2</v>
      </c>
      <c r="K272" s="11">
        <v>0.29166666666666669</v>
      </c>
      <c r="L272" s="15">
        <v>0.73958333333333337</v>
      </c>
      <c r="M272" s="15">
        <f>Tabela32[[#This Row],[Hr Chegada]]-Tabela32[[#This Row],[Hr Saida]]</f>
        <v>0.44791666666666669</v>
      </c>
      <c r="N272" s="4">
        <v>275543</v>
      </c>
      <c r="O272" s="4">
        <v>275573</v>
      </c>
      <c r="P272" s="4">
        <f>Tabela32[[#This Row],[Km Chegada]]-Tabela32[[#This Row],[Km Saída]]</f>
        <v>30</v>
      </c>
      <c r="Q272" s="4">
        <v>47</v>
      </c>
      <c r="R272" s="4">
        <v>2</v>
      </c>
      <c r="S272" s="4">
        <v>2</v>
      </c>
      <c r="T272" s="12">
        <f>Tabela32[[#This Row],[Entregas]]-Tabela32[[#This Row],[Realizadas]]</f>
        <v>0</v>
      </c>
      <c r="U272" s="18">
        <f>Tabela32[[#This Row],[Realizadas]]/Tabela32[[#This Row],[Entregas]]</f>
        <v>1</v>
      </c>
      <c r="V272" s="19" t="str">
        <f>IF(Tabela32[[#This Row],[% Entrega]]&gt;=96%,"Atendeu a Meta","Não Atendeu a Meta")</f>
        <v>Atendeu a Meta</v>
      </c>
      <c r="W272" s="4" t="s">
        <v>40</v>
      </c>
      <c r="X272" s="4">
        <v>0</v>
      </c>
      <c r="Y272" s="5">
        <v>0</v>
      </c>
    </row>
    <row r="273" spans="1:25" x14ac:dyDescent="0.25">
      <c r="A273" s="8">
        <v>46274</v>
      </c>
      <c r="B273" s="16">
        <f>YEAR(Tabela32[[#This Row],[Data]])</f>
        <v>2026</v>
      </c>
      <c r="C273" s="16">
        <f>MONTH(Tabela32[[#This Row],[Data]])</f>
        <v>9</v>
      </c>
      <c r="D273" s="4" t="s">
        <v>33</v>
      </c>
      <c r="E273" s="4">
        <v>1</v>
      </c>
      <c r="F273" s="4" t="str">
        <f>IFERROR(VLOOKUP(Tabela32[[#This Row],[Placa]],Planilha2!$A$1:$B$12,2,0),"")</f>
        <v>Paulo</v>
      </c>
      <c r="G273" s="10">
        <v>692.88</v>
      </c>
      <c r="H273" s="10">
        <v>7644</v>
      </c>
      <c r="I273" s="4">
        <v>51</v>
      </c>
      <c r="J273" s="17">
        <f>IFERROR(Tabela32[[#This Row],[Valor Frete]]/Tabela32[[#This Row],[Valor Mercadoria]],"")</f>
        <v>9.0643642072213496E-2</v>
      </c>
      <c r="K273" s="11">
        <v>0.29166666666666669</v>
      </c>
      <c r="L273" s="15">
        <v>0.72777777777777775</v>
      </c>
      <c r="M273" s="15">
        <f>Tabela32[[#This Row],[Hr Chegada]]-Tabela32[[#This Row],[Hr Saida]]</f>
        <v>0.43611111111111106</v>
      </c>
      <c r="N273" s="4">
        <v>155216</v>
      </c>
      <c r="O273" s="4">
        <v>155311</v>
      </c>
      <c r="P273" s="4">
        <f>Tabela32[[#This Row],[Km Chegada]]-Tabela32[[#This Row],[Km Saída]]</f>
        <v>95</v>
      </c>
      <c r="Q273" s="4">
        <v>1</v>
      </c>
      <c r="R273" s="4">
        <v>1</v>
      </c>
      <c r="S273" s="4">
        <v>1</v>
      </c>
      <c r="T273" s="12">
        <f>Tabela32[[#This Row],[Entregas]]-Tabela32[[#This Row],[Realizadas]]</f>
        <v>0</v>
      </c>
      <c r="U273" s="18">
        <f>Tabela32[[#This Row],[Realizadas]]/Tabela32[[#This Row],[Entregas]]</f>
        <v>1</v>
      </c>
      <c r="V273" s="19" t="str">
        <f>IF(Tabela32[[#This Row],[% Entrega]]&gt;=96%,"Atendeu a Meta","Não Atendeu a Meta")</f>
        <v>Atendeu a Meta</v>
      </c>
      <c r="W273" s="4" t="s">
        <v>40</v>
      </c>
      <c r="X273" s="4">
        <v>0</v>
      </c>
      <c r="Y273" s="5">
        <v>0</v>
      </c>
    </row>
    <row r="274" spans="1:25" x14ac:dyDescent="0.25">
      <c r="A274" s="8">
        <v>46274</v>
      </c>
      <c r="B274" s="16">
        <f>YEAR(Tabela32[[#This Row],[Data]])</f>
        <v>2026</v>
      </c>
      <c r="C274" s="16">
        <f>MONTH(Tabela32[[#This Row],[Data]])</f>
        <v>9</v>
      </c>
      <c r="D274" s="4" t="s">
        <v>23</v>
      </c>
      <c r="E274" s="4">
        <v>4</v>
      </c>
      <c r="F274" s="4" t="str">
        <f>IFERROR(VLOOKUP(Tabela32[[#This Row],[Placa]],Planilha2!$A$1:$B$12,2,0),"")</f>
        <v>William</v>
      </c>
      <c r="G274" s="10">
        <v>3712.6</v>
      </c>
      <c r="H274" s="10">
        <v>97729.68</v>
      </c>
      <c r="I274" s="4">
        <v>1241</v>
      </c>
      <c r="J274" s="17">
        <f>IFERROR(Tabela32[[#This Row],[Valor Frete]]/Tabela32[[#This Row],[Valor Mercadoria]],"")</f>
        <v>3.7988459595897583E-2</v>
      </c>
      <c r="K274" s="11">
        <v>0.29166666666666669</v>
      </c>
      <c r="L274" s="15">
        <v>0.73611111111111116</v>
      </c>
      <c r="M274" s="15">
        <f>Tabela32[[#This Row],[Hr Chegada]]-Tabela32[[#This Row],[Hr Saida]]</f>
        <v>0.44444444444444448</v>
      </c>
      <c r="N274" s="4">
        <v>124972</v>
      </c>
      <c r="O274" s="4">
        <v>125031</v>
      </c>
      <c r="P274" s="4">
        <f>Tabela32[[#This Row],[Km Chegada]]-Tabela32[[#This Row],[Km Saída]]</f>
        <v>59</v>
      </c>
      <c r="Q274" s="4">
        <v>227</v>
      </c>
      <c r="R274" s="4">
        <v>11</v>
      </c>
      <c r="S274" s="4">
        <v>11</v>
      </c>
      <c r="T274" s="12">
        <f>Tabela32[[#This Row],[Entregas]]-Tabela32[[#This Row],[Realizadas]]</f>
        <v>0</v>
      </c>
      <c r="U274" s="18">
        <f>Tabela32[[#This Row],[Realizadas]]/Tabela32[[#This Row],[Entregas]]</f>
        <v>1</v>
      </c>
      <c r="V274" s="19" t="str">
        <f>IF(Tabela32[[#This Row],[% Entrega]]&gt;=96%,"Atendeu a Meta","Não Atendeu a Meta")</f>
        <v>Atendeu a Meta</v>
      </c>
      <c r="W274" s="4" t="s">
        <v>39</v>
      </c>
      <c r="X274" s="4">
        <v>0</v>
      </c>
      <c r="Y274" s="5">
        <v>0</v>
      </c>
    </row>
    <row r="275" spans="1:25" x14ac:dyDescent="0.25">
      <c r="A275" s="8">
        <v>46274</v>
      </c>
      <c r="B275" s="16">
        <f>YEAR(Tabela32[[#This Row],[Data]])</f>
        <v>2026</v>
      </c>
      <c r="C275" s="16">
        <f>MONTH(Tabela32[[#This Row],[Data]])</f>
        <v>9</v>
      </c>
      <c r="D275" s="4" t="s">
        <v>35</v>
      </c>
      <c r="E275" s="4">
        <v>2</v>
      </c>
      <c r="F275" s="4" t="str">
        <f>IFERROR(VLOOKUP(Tabela32[[#This Row],[Placa]],Planilha2!$A$1:$B$12,2,0),"")</f>
        <v>Osvaldo</v>
      </c>
      <c r="G275" s="10">
        <v>11696.65</v>
      </c>
      <c r="H275" s="10">
        <v>239969.72</v>
      </c>
      <c r="I275" s="4">
        <v>1889</v>
      </c>
      <c r="J275" s="17">
        <f>IFERROR(Tabela32[[#This Row],[Valor Frete]]/Tabela32[[#This Row],[Valor Mercadoria]],"")</f>
        <v>4.8742191306469833E-2</v>
      </c>
      <c r="K275" s="11">
        <v>0.29166666666666669</v>
      </c>
      <c r="L275" s="15">
        <v>0.69791666666666663</v>
      </c>
      <c r="M275" s="15">
        <f>Tabela32[[#This Row],[Hr Chegada]]-Tabela32[[#This Row],[Hr Saida]]</f>
        <v>0.40624999999999994</v>
      </c>
      <c r="N275" s="4">
        <v>142979</v>
      </c>
      <c r="O275" s="4">
        <v>143039</v>
      </c>
      <c r="P275" s="4">
        <f>Tabela32[[#This Row],[Km Chegada]]-Tabela32[[#This Row],[Km Saída]]</f>
        <v>60</v>
      </c>
      <c r="Q275" s="4">
        <v>370</v>
      </c>
      <c r="R275" s="4">
        <v>31</v>
      </c>
      <c r="S275" s="4">
        <v>31</v>
      </c>
      <c r="T275" s="12">
        <f>Tabela32[[#This Row],[Entregas]]-Tabela32[[#This Row],[Realizadas]]</f>
        <v>0</v>
      </c>
      <c r="U275" s="18">
        <f>Tabela32[[#This Row],[Realizadas]]/Tabela32[[#This Row],[Entregas]]</f>
        <v>1</v>
      </c>
      <c r="V275" s="19" t="str">
        <f>IF(Tabela32[[#This Row],[% Entrega]]&gt;=96%,"Atendeu a Meta","Não Atendeu a Meta")</f>
        <v>Atendeu a Meta</v>
      </c>
      <c r="W275" s="4" t="s">
        <v>39</v>
      </c>
      <c r="X275" s="4">
        <v>0</v>
      </c>
      <c r="Y275" s="5">
        <v>0</v>
      </c>
    </row>
    <row r="276" spans="1:25" x14ac:dyDescent="0.25">
      <c r="A276" s="8">
        <v>46274</v>
      </c>
      <c r="B276" s="16">
        <f>YEAR(Tabela32[[#This Row],[Data]])</f>
        <v>2026</v>
      </c>
      <c r="C276" s="16">
        <f>MONTH(Tabela32[[#This Row],[Data]])</f>
        <v>9</v>
      </c>
      <c r="D276" s="4" t="s">
        <v>27</v>
      </c>
      <c r="E276" s="4">
        <v>2</v>
      </c>
      <c r="F276" s="4" t="str">
        <f>IFERROR(VLOOKUP(Tabela32[[#This Row],[Placa]],Planilha2!$A$1:$B$12,2,0),"")</f>
        <v>Rosinaldo</v>
      </c>
      <c r="G276" s="10">
        <v>7083.64</v>
      </c>
      <c r="H276" s="10">
        <v>128076.66</v>
      </c>
      <c r="I276" s="4">
        <v>2148</v>
      </c>
      <c r="J276" s="17">
        <f>IFERROR(Tabela32[[#This Row],[Valor Frete]]/Tabela32[[#This Row],[Valor Mercadoria]],"")</f>
        <v>5.5307813304937843E-2</v>
      </c>
      <c r="K276" s="11">
        <v>0.29166666666666669</v>
      </c>
      <c r="L276" s="15">
        <v>0.74305555555555558</v>
      </c>
      <c r="M276" s="15">
        <f>Tabela32[[#This Row],[Hr Chegada]]-Tabela32[[#This Row],[Hr Saida]]</f>
        <v>0.4513888888888889</v>
      </c>
      <c r="N276" s="4">
        <v>291172</v>
      </c>
      <c r="O276" s="4">
        <v>291225</v>
      </c>
      <c r="P276" s="4">
        <f>Tabela32[[#This Row],[Km Chegada]]-Tabela32[[#This Row],[Km Saída]]</f>
        <v>53</v>
      </c>
      <c r="Q276" s="4">
        <v>468</v>
      </c>
      <c r="R276" s="4">
        <v>26</v>
      </c>
      <c r="S276" s="4">
        <v>26</v>
      </c>
      <c r="T276" s="12">
        <f>Tabela32[[#This Row],[Entregas]]-Tabela32[[#This Row],[Realizadas]]</f>
        <v>0</v>
      </c>
      <c r="U276" s="18">
        <f>Tabela32[[#This Row],[Realizadas]]/Tabela32[[#This Row],[Entregas]]</f>
        <v>1</v>
      </c>
      <c r="V276" s="19" t="str">
        <f>IF(Tabela32[[#This Row],[% Entrega]]&gt;=96%,"Atendeu a Meta","Não Atendeu a Meta")</f>
        <v>Atendeu a Meta</v>
      </c>
      <c r="W276" s="4" t="s">
        <v>39</v>
      </c>
      <c r="X276" s="4">
        <v>0</v>
      </c>
      <c r="Y276" s="5">
        <v>0</v>
      </c>
    </row>
    <row r="277" spans="1:25" x14ac:dyDescent="0.25">
      <c r="A277" s="8">
        <v>46275</v>
      </c>
      <c r="B277" s="16">
        <f>YEAR(Tabela32[[#This Row],[Data]])</f>
        <v>2026</v>
      </c>
      <c r="C277" s="16">
        <f>MONTH(Tabela32[[#This Row],[Data]])</f>
        <v>9</v>
      </c>
      <c r="D277" s="4" t="s">
        <v>31</v>
      </c>
      <c r="E277" s="4">
        <v>5</v>
      </c>
      <c r="F277" s="4" t="str">
        <f>IFERROR(VLOOKUP(Tabela32[[#This Row],[Placa]],Planilha2!$A$1:$B$12,2,0),"")</f>
        <v>Jerson</v>
      </c>
      <c r="G277" s="10">
        <v>11188.55</v>
      </c>
      <c r="H277" s="10">
        <v>300110.93</v>
      </c>
      <c r="I277" s="4">
        <v>2883</v>
      </c>
      <c r="J277" s="17">
        <f>IFERROR(Tabela32[[#This Row],[Valor Frete]]/Tabela32[[#This Row],[Valor Mercadoria]],"")</f>
        <v>3.7281381254591427E-2</v>
      </c>
      <c r="K277" s="11">
        <v>0.29166666666666669</v>
      </c>
      <c r="L277" s="15">
        <v>0.74652777777777779</v>
      </c>
      <c r="M277" s="15">
        <f>Tabela32[[#This Row],[Hr Chegada]]-Tabela32[[#This Row],[Hr Saida]]</f>
        <v>0.4548611111111111</v>
      </c>
      <c r="N277" s="4">
        <v>280306</v>
      </c>
      <c r="O277" s="4">
        <v>280434</v>
      </c>
      <c r="P277" s="4">
        <f>Tabela32[[#This Row],[Km Chegada]]-Tabela32[[#This Row],[Km Saída]]</f>
        <v>128</v>
      </c>
      <c r="Q277" s="4">
        <v>549</v>
      </c>
      <c r="R277" s="4">
        <v>30</v>
      </c>
      <c r="S277" s="4">
        <v>30</v>
      </c>
      <c r="T277" s="12">
        <f>Tabela32[[#This Row],[Entregas]]-Tabela32[[#This Row],[Realizadas]]</f>
        <v>0</v>
      </c>
      <c r="U277" s="18">
        <f>Tabela32[[#This Row],[Realizadas]]/Tabela32[[#This Row],[Entregas]]</f>
        <v>1</v>
      </c>
      <c r="V277" s="19" t="str">
        <f>IF(Tabela32[[#This Row],[% Entrega]]&gt;=96%,"Atendeu a Meta","Não Atendeu a Meta")</f>
        <v>Atendeu a Meta</v>
      </c>
      <c r="W277" s="4" t="s">
        <v>39</v>
      </c>
      <c r="X277" s="4">
        <v>0</v>
      </c>
      <c r="Y277" s="5">
        <v>0</v>
      </c>
    </row>
    <row r="278" spans="1:25" x14ac:dyDescent="0.25">
      <c r="A278" s="8">
        <v>46275</v>
      </c>
      <c r="B278" s="16">
        <f>YEAR(Tabela32[[#This Row],[Data]])</f>
        <v>2026</v>
      </c>
      <c r="C278" s="16">
        <f>MONTH(Tabela32[[#This Row],[Data]])</f>
        <v>9</v>
      </c>
      <c r="D278" s="4" t="s">
        <v>22</v>
      </c>
      <c r="E278" s="4">
        <v>1</v>
      </c>
      <c r="F278" s="4" t="str">
        <f>IFERROR(VLOOKUP(Tabela32[[#This Row],[Placa]],Planilha2!$A$1:$B$12,2,0),"")</f>
        <v>Wesley</v>
      </c>
      <c r="G278" s="10">
        <v>11866.81</v>
      </c>
      <c r="H278" s="10">
        <v>161792.17000000001</v>
      </c>
      <c r="I278" s="4">
        <v>2922</v>
      </c>
      <c r="J278" s="17">
        <f>IFERROR(Tabela32[[#This Row],[Valor Frete]]/Tabela32[[#This Row],[Valor Mercadoria]],"")</f>
        <v>7.3346009266084991E-2</v>
      </c>
      <c r="K278" s="11">
        <v>0.29166666666666669</v>
      </c>
      <c r="L278" s="15">
        <v>0.76388888888888884</v>
      </c>
      <c r="M278" s="15">
        <f>Tabela32[[#This Row],[Hr Chegada]]-Tabela32[[#This Row],[Hr Saida]]</f>
        <v>0.47222222222222215</v>
      </c>
      <c r="N278" s="4">
        <v>304326</v>
      </c>
      <c r="O278" s="4">
        <v>304416</v>
      </c>
      <c r="P278" s="4">
        <f>Tabela32[[#This Row],[Km Chegada]]-Tabela32[[#This Row],[Km Saída]]</f>
        <v>90</v>
      </c>
      <c r="Q278" s="4">
        <v>382</v>
      </c>
      <c r="R278" s="4">
        <v>26</v>
      </c>
      <c r="S278" s="4">
        <v>26</v>
      </c>
      <c r="T278" s="12">
        <f>Tabela32[[#This Row],[Entregas]]-Tabela32[[#This Row],[Realizadas]]</f>
        <v>0</v>
      </c>
      <c r="U278" s="18">
        <f>Tabela32[[#This Row],[Realizadas]]/Tabela32[[#This Row],[Entregas]]</f>
        <v>1</v>
      </c>
      <c r="V278" s="19" t="str">
        <f>IF(Tabela32[[#This Row],[% Entrega]]&gt;=96%,"Atendeu a Meta","Não Atendeu a Meta")</f>
        <v>Atendeu a Meta</v>
      </c>
      <c r="W278" s="4" t="s">
        <v>43</v>
      </c>
      <c r="X278" s="4">
        <v>0</v>
      </c>
      <c r="Y278" s="5">
        <v>0</v>
      </c>
    </row>
    <row r="279" spans="1:25" x14ac:dyDescent="0.25">
      <c r="A279" s="8">
        <v>46275</v>
      </c>
      <c r="B279" s="16">
        <f>YEAR(Tabela32[[#This Row],[Data]])</f>
        <v>2026</v>
      </c>
      <c r="C279" s="16">
        <f>MONTH(Tabela32[[#This Row],[Data]])</f>
        <v>9</v>
      </c>
      <c r="D279" s="4" t="s">
        <v>28</v>
      </c>
      <c r="E279" s="4">
        <v>11</v>
      </c>
      <c r="F279" s="4" t="str">
        <f>IFERROR(VLOOKUP(Tabela32[[#This Row],[Placa]],Planilha2!$A$1:$B$12,2,0),"")</f>
        <v>Edilson</v>
      </c>
      <c r="G279" s="10">
        <v>15619.95</v>
      </c>
      <c r="H279" s="10">
        <v>325047.38</v>
      </c>
      <c r="I279" s="4">
        <v>2613</v>
      </c>
      <c r="J279" s="17">
        <f>IFERROR(Tabela32[[#This Row],[Valor Frete]]/Tabela32[[#This Row],[Valor Mercadoria]],"")</f>
        <v>4.8054379026220735E-2</v>
      </c>
      <c r="K279" s="11">
        <v>0.27083333333333331</v>
      </c>
      <c r="L279" s="15">
        <v>0.75763888888888886</v>
      </c>
      <c r="M279" s="15">
        <f>Tabela32[[#This Row],[Hr Chegada]]-Tabela32[[#This Row],[Hr Saida]]</f>
        <v>0.48680555555555555</v>
      </c>
      <c r="N279" s="4">
        <v>105230</v>
      </c>
      <c r="O279" s="4">
        <v>105359</v>
      </c>
      <c r="P279" s="4">
        <f>Tabela32[[#This Row],[Km Chegada]]-Tabela32[[#This Row],[Km Saída]]</f>
        <v>129</v>
      </c>
      <c r="Q279" s="4">
        <v>315</v>
      </c>
      <c r="R279" s="4">
        <v>37</v>
      </c>
      <c r="S279" s="4">
        <v>37</v>
      </c>
      <c r="T279" s="12">
        <f>Tabela32[[#This Row],[Entregas]]-Tabela32[[#This Row],[Realizadas]]</f>
        <v>0</v>
      </c>
      <c r="U279" s="18">
        <f>Tabela32[[#This Row],[Realizadas]]/Tabela32[[#This Row],[Entregas]]</f>
        <v>1</v>
      </c>
      <c r="V279" s="19" t="str">
        <f>IF(Tabela32[[#This Row],[% Entrega]]&gt;=96%,"Atendeu a Meta","Não Atendeu a Meta")</f>
        <v>Atendeu a Meta</v>
      </c>
      <c r="W279" s="4" t="s">
        <v>41</v>
      </c>
      <c r="X279" s="4">
        <v>0</v>
      </c>
      <c r="Y279" s="5">
        <v>0</v>
      </c>
    </row>
    <row r="280" spans="1:25" x14ac:dyDescent="0.25">
      <c r="A280" s="8">
        <v>46275</v>
      </c>
      <c r="B280" s="16">
        <f>YEAR(Tabela32[[#This Row],[Data]])</f>
        <v>2026</v>
      </c>
      <c r="C280" s="16">
        <f>MONTH(Tabela32[[#This Row],[Data]])</f>
        <v>9</v>
      </c>
      <c r="D280" s="4" t="s">
        <v>53</v>
      </c>
      <c r="E280" s="4">
        <v>11</v>
      </c>
      <c r="F280" s="4" t="str">
        <f>IFERROR(VLOOKUP(Tabela32[[#This Row],[Placa]],Planilha2!$A$1:$B$12,2,0),"")</f>
        <v>Arnaldo</v>
      </c>
      <c r="G280" s="10">
        <v>11376.6</v>
      </c>
      <c r="H280" s="10">
        <v>255027.26</v>
      </c>
      <c r="I280" s="4">
        <v>2886</v>
      </c>
      <c r="J280" s="17">
        <f>IFERROR(Tabela32[[#This Row],[Valor Frete]]/Tabela32[[#This Row],[Valor Mercadoria]],"")</f>
        <v>4.460934882020063E-2</v>
      </c>
      <c r="K280" s="11">
        <v>0.27430555555555558</v>
      </c>
      <c r="L280" s="15">
        <v>0.79374999999999996</v>
      </c>
      <c r="M280" s="15">
        <f>Tabela32[[#This Row],[Hr Chegada]]-Tabela32[[#This Row],[Hr Saida]]</f>
        <v>0.51944444444444438</v>
      </c>
      <c r="N280" s="4">
        <v>13253</v>
      </c>
      <c r="O280" s="4">
        <v>13402</v>
      </c>
      <c r="P280" s="4">
        <f>Tabela32[[#This Row],[Km Chegada]]-Tabela32[[#This Row],[Km Saída]]</f>
        <v>149</v>
      </c>
      <c r="Q280" s="4">
        <v>298</v>
      </c>
      <c r="R280" s="4">
        <v>20</v>
      </c>
      <c r="S280" s="4">
        <v>20</v>
      </c>
      <c r="T280" s="12">
        <f>Tabela32[[#This Row],[Entregas]]-Tabela32[[#This Row],[Realizadas]]</f>
        <v>0</v>
      </c>
      <c r="U280" s="18">
        <f>Tabela32[[#This Row],[Realizadas]]/Tabela32[[#This Row],[Entregas]]</f>
        <v>1</v>
      </c>
      <c r="V280" s="19" t="str">
        <f>IF(Tabela32[[#This Row],[% Entrega]]&gt;=96%,"Atendeu a Meta","Não Atendeu a Meta")</f>
        <v>Atendeu a Meta</v>
      </c>
      <c r="W280" s="4" t="s">
        <v>41</v>
      </c>
      <c r="X280" s="4">
        <v>0</v>
      </c>
      <c r="Y280" s="5">
        <v>0</v>
      </c>
    </row>
    <row r="281" spans="1:25" x14ac:dyDescent="0.25">
      <c r="A281" s="8">
        <v>46275</v>
      </c>
      <c r="B281" s="16">
        <f>YEAR(Tabela32[[#This Row],[Data]])</f>
        <v>2026</v>
      </c>
      <c r="C281" s="16">
        <f>MONTH(Tabela32[[#This Row],[Data]])</f>
        <v>9</v>
      </c>
      <c r="D281" s="4" t="s">
        <v>35</v>
      </c>
      <c r="E281" s="4">
        <v>2</v>
      </c>
      <c r="F281" s="4" t="str">
        <f>IFERROR(VLOOKUP(Tabela32[[#This Row],[Placa]],Planilha2!$A$1:$B$12,2,0),"")</f>
        <v>Osvaldo</v>
      </c>
      <c r="G281" s="10">
        <v>6643.12</v>
      </c>
      <c r="H281" s="10">
        <v>124444.41</v>
      </c>
      <c r="I281" s="4">
        <v>2173</v>
      </c>
      <c r="J281" s="17">
        <f>IFERROR(Tabela32[[#This Row],[Valor Frete]]/Tabela32[[#This Row],[Valor Mercadoria]],"")</f>
        <v>5.3382229061152683E-2</v>
      </c>
      <c r="K281" s="11">
        <v>0.27083333333333331</v>
      </c>
      <c r="L281" s="15">
        <v>0.69444444444444442</v>
      </c>
      <c r="M281" s="15">
        <f>Tabela32[[#This Row],[Hr Chegada]]-Tabela32[[#This Row],[Hr Saida]]</f>
        <v>0.4236111111111111</v>
      </c>
      <c r="N281" s="4">
        <v>143039</v>
      </c>
      <c r="O281" s="4">
        <v>143088</v>
      </c>
      <c r="P281" s="4">
        <f>Tabela32[[#This Row],[Km Chegada]]-Tabela32[[#This Row],[Km Saída]]</f>
        <v>49</v>
      </c>
      <c r="Q281" s="4">
        <v>405</v>
      </c>
      <c r="R281" s="4">
        <v>16</v>
      </c>
      <c r="S281" s="4">
        <v>16</v>
      </c>
      <c r="T281" s="12">
        <f>Tabela32[[#This Row],[Entregas]]-Tabela32[[#This Row],[Realizadas]]</f>
        <v>0</v>
      </c>
      <c r="U281" s="18">
        <f>Tabela32[[#This Row],[Realizadas]]/Tabela32[[#This Row],[Entregas]]</f>
        <v>1</v>
      </c>
      <c r="V281" s="19" t="str">
        <f>IF(Tabela32[[#This Row],[% Entrega]]&gt;=96%,"Atendeu a Meta","Não Atendeu a Meta")</f>
        <v>Atendeu a Meta</v>
      </c>
      <c r="W281" s="4" t="s">
        <v>39</v>
      </c>
      <c r="X281" s="4">
        <v>0</v>
      </c>
      <c r="Y281" s="5">
        <v>0</v>
      </c>
    </row>
    <row r="282" spans="1:25" x14ac:dyDescent="0.25">
      <c r="A282" s="8">
        <v>46275</v>
      </c>
      <c r="B282" s="16">
        <f>YEAR(Tabela32[[#This Row],[Data]])</f>
        <v>2026</v>
      </c>
      <c r="C282" s="16">
        <f>MONTH(Tabela32[[#This Row],[Data]])</f>
        <v>9</v>
      </c>
      <c r="D282" s="4" t="s">
        <v>29</v>
      </c>
      <c r="E282" s="4">
        <v>1</v>
      </c>
      <c r="F282" s="4" t="str">
        <f>IFERROR(VLOOKUP(Tabela32[[#This Row],[Placa]],Planilha2!$A$1:$B$12,2,0),"")</f>
        <v>Sandro</v>
      </c>
      <c r="G282" s="10">
        <v>3912.33</v>
      </c>
      <c r="H282" s="10">
        <v>99851.520000000004</v>
      </c>
      <c r="I282" s="4">
        <v>796</v>
      </c>
      <c r="J282" s="17">
        <f>IFERROR(Tabela32[[#This Row],[Valor Frete]]/Tabela32[[#This Row],[Valor Mercadoria]],"")</f>
        <v>3.9181476656539628E-2</v>
      </c>
      <c r="K282" s="11">
        <v>0.49305555555555558</v>
      </c>
      <c r="L282" s="15">
        <v>0.76111111111111107</v>
      </c>
      <c r="M282" s="15">
        <f>Tabela32[[#This Row],[Hr Chegada]]-Tabela32[[#This Row],[Hr Saida]]</f>
        <v>0.26805555555555549</v>
      </c>
      <c r="N282" s="4">
        <v>275543</v>
      </c>
      <c r="O282" s="4">
        <v>275626</v>
      </c>
      <c r="P282" s="4">
        <f>Tabela32[[#This Row],[Km Chegada]]-Tabela32[[#This Row],[Km Saída]]</f>
        <v>83</v>
      </c>
      <c r="Q282" s="4">
        <v>9</v>
      </c>
      <c r="R282" s="4">
        <v>4</v>
      </c>
      <c r="S282" s="4">
        <v>4</v>
      </c>
      <c r="T282" s="12">
        <f>Tabela32[[#This Row],[Entregas]]-Tabela32[[#This Row],[Realizadas]]</f>
        <v>0</v>
      </c>
      <c r="U282" s="18">
        <f>Tabela32[[#This Row],[Realizadas]]/Tabela32[[#This Row],[Entregas]]</f>
        <v>1</v>
      </c>
      <c r="V282" s="19" t="str">
        <f>IF(Tabela32[[#This Row],[% Entrega]]&gt;=96%,"Atendeu a Meta","Não Atendeu a Meta")</f>
        <v>Atendeu a Meta</v>
      </c>
      <c r="W282" s="4" t="s">
        <v>39</v>
      </c>
      <c r="X282" s="4">
        <v>0</v>
      </c>
      <c r="Y282" s="5">
        <v>0</v>
      </c>
    </row>
    <row r="283" spans="1:25" x14ac:dyDescent="0.25">
      <c r="A283" s="8">
        <v>46275</v>
      </c>
      <c r="B283" s="16">
        <f>YEAR(Tabela32[[#This Row],[Data]])</f>
        <v>2026</v>
      </c>
      <c r="C283" s="16">
        <f>MONTH(Tabela32[[#This Row],[Data]])</f>
        <v>9</v>
      </c>
      <c r="D283" s="4" t="s">
        <v>27</v>
      </c>
      <c r="E283" s="4">
        <v>1</v>
      </c>
      <c r="F283" s="4" t="str">
        <f>IFERROR(VLOOKUP(Tabela32[[#This Row],[Placa]],Planilha2!$A$1:$B$12,2,0),"")</f>
        <v>Rosinaldo</v>
      </c>
      <c r="G283" s="10">
        <v>3701.45</v>
      </c>
      <c r="H283" s="10">
        <v>123607.77</v>
      </c>
      <c r="I283" s="4">
        <v>168</v>
      </c>
      <c r="J283" s="17">
        <f>IFERROR(Tabela32[[#This Row],[Valor Frete]]/Tabela32[[#This Row],[Valor Mercadoria]],"")</f>
        <v>2.9945123999890941E-2</v>
      </c>
      <c r="K283" s="11">
        <v>0.29166666666666669</v>
      </c>
      <c r="L283" s="15">
        <v>0.70833333333333337</v>
      </c>
      <c r="M283" s="15">
        <f>Tabela32[[#This Row],[Hr Chegada]]-Tabela32[[#This Row],[Hr Saida]]</f>
        <v>0.41666666666666669</v>
      </c>
      <c r="N283" s="4">
        <v>291225</v>
      </c>
      <c r="O283" s="4">
        <v>291267</v>
      </c>
      <c r="P283" s="4">
        <f>Tabela32[[#This Row],[Km Chegada]]-Tabela32[[#This Row],[Km Saída]]</f>
        <v>42</v>
      </c>
      <c r="Q283" s="4">
        <v>156</v>
      </c>
      <c r="R283" s="4">
        <v>6</v>
      </c>
      <c r="S283" s="4">
        <v>6</v>
      </c>
      <c r="T283" s="12">
        <f>Tabela32[[#This Row],[Entregas]]-Tabela32[[#This Row],[Realizadas]]</f>
        <v>0</v>
      </c>
      <c r="U283" s="18">
        <f>Tabela32[[#This Row],[Realizadas]]/Tabela32[[#This Row],[Entregas]]</f>
        <v>1</v>
      </c>
      <c r="V283" s="19" t="str">
        <f>IF(Tabela32[[#This Row],[% Entrega]]&gt;=96%,"Atendeu a Meta","Não Atendeu a Meta")</f>
        <v>Atendeu a Meta</v>
      </c>
      <c r="W283" s="4" t="s">
        <v>40</v>
      </c>
      <c r="X283" s="4">
        <v>0</v>
      </c>
      <c r="Y283" s="5">
        <v>0</v>
      </c>
    </row>
    <row r="284" spans="1:25" x14ac:dyDescent="0.25">
      <c r="A284" s="8">
        <v>46275</v>
      </c>
      <c r="B284" s="16">
        <f>YEAR(Tabela32[[#This Row],[Data]])</f>
        <v>2026</v>
      </c>
      <c r="C284" s="16">
        <f>MONTH(Tabela32[[#This Row],[Data]])</f>
        <v>9</v>
      </c>
      <c r="D284" s="4" t="s">
        <v>25</v>
      </c>
      <c r="E284" s="4">
        <v>3</v>
      </c>
      <c r="F284" s="4" t="str">
        <f>IFERROR(VLOOKUP(Tabela32[[#This Row],[Placa]],Planilha2!$A$1:$B$12,2,0),"")</f>
        <v>Gilberto</v>
      </c>
      <c r="G284" s="10">
        <v>9120.92</v>
      </c>
      <c r="H284" s="10">
        <v>202548.46</v>
      </c>
      <c r="I284" s="4">
        <v>1212</v>
      </c>
      <c r="J284" s="17">
        <f>IFERROR(Tabela32[[#This Row],[Valor Frete]]/Tabela32[[#This Row],[Valor Mercadoria]],"")</f>
        <v>4.5030803986364547E-2</v>
      </c>
      <c r="K284" s="11">
        <v>0.29166666666666669</v>
      </c>
      <c r="L284" s="15">
        <v>0.6875</v>
      </c>
      <c r="M284" s="15">
        <f>Tabela32[[#This Row],[Hr Chegada]]-Tabela32[[#This Row],[Hr Saida]]</f>
        <v>0.39583333333333331</v>
      </c>
      <c r="N284" s="4">
        <v>119690</v>
      </c>
      <c r="O284" s="4">
        <v>119739</v>
      </c>
      <c r="P284" s="4">
        <f>Tabela32[[#This Row],[Km Chegada]]-Tabela32[[#This Row],[Km Saída]]</f>
        <v>49</v>
      </c>
      <c r="Q284" s="4">
        <v>95</v>
      </c>
      <c r="R284" s="4">
        <v>29</v>
      </c>
      <c r="S284" s="4">
        <v>29</v>
      </c>
      <c r="T284" s="12">
        <f>Tabela32[[#This Row],[Entregas]]-Tabela32[[#This Row],[Realizadas]]</f>
        <v>0</v>
      </c>
      <c r="U284" s="18">
        <f>Tabela32[[#This Row],[Realizadas]]/Tabela32[[#This Row],[Entregas]]</f>
        <v>1</v>
      </c>
      <c r="V284" s="19" t="str">
        <f>IF(Tabela32[[#This Row],[% Entrega]]&gt;=96%,"Atendeu a Meta","Não Atendeu a Meta")</f>
        <v>Atendeu a Meta</v>
      </c>
      <c r="W284" s="4" t="s">
        <v>39</v>
      </c>
      <c r="X284" s="4">
        <v>0</v>
      </c>
      <c r="Y284" s="5">
        <v>0</v>
      </c>
    </row>
    <row r="285" spans="1:25" x14ac:dyDescent="0.25">
      <c r="A285" s="8">
        <v>46275</v>
      </c>
      <c r="B285" s="16">
        <f>YEAR(Tabela32[[#This Row],[Data]])</f>
        <v>2026</v>
      </c>
      <c r="C285" s="16">
        <f>MONTH(Tabela32[[#This Row],[Data]])</f>
        <v>9</v>
      </c>
      <c r="D285" s="4" t="s">
        <v>33</v>
      </c>
      <c r="E285" s="4">
        <v>5</v>
      </c>
      <c r="F285" s="4" t="str">
        <f>IFERROR(VLOOKUP(Tabela32[[#This Row],[Placa]],Planilha2!$A$1:$B$12,2,0),"")</f>
        <v>Paulo</v>
      </c>
      <c r="G285" s="10">
        <v>2961.64</v>
      </c>
      <c r="H285" s="10">
        <v>20513.91</v>
      </c>
      <c r="I285" s="4">
        <v>505</v>
      </c>
      <c r="J285" s="17">
        <f>IFERROR(Tabela32[[#This Row],[Valor Frete]]/Tabela32[[#This Row],[Valor Mercadoria]],"")</f>
        <v>0.14437228202717084</v>
      </c>
      <c r="K285" s="11">
        <v>0.33333333333333331</v>
      </c>
      <c r="L285" s="15">
        <v>0.69652777777777775</v>
      </c>
      <c r="M285" s="15">
        <f>Tabela32[[#This Row],[Hr Chegada]]-Tabela32[[#This Row],[Hr Saida]]</f>
        <v>0.36319444444444443</v>
      </c>
      <c r="N285" s="4">
        <v>155311</v>
      </c>
      <c r="O285" s="4">
        <v>155347</v>
      </c>
      <c r="P285" s="4">
        <f>Tabela32[[#This Row],[Km Chegada]]-Tabela32[[#This Row],[Km Saída]]</f>
        <v>36</v>
      </c>
      <c r="Q285" s="4">
        <v>63</v>
      </c>
      <c r="R285" s="4">
        <v>3</v>
      </c>
      <c r="S285" s="4">
        <v>3</v>
      </c>
      <c r="T285" s="12">
        <f>Tabela32[[#This Row],[Entregas]]-Tabela32[[#This Row],[Realizadas]]</f>
        <v>0</v>
      </c>
      <c r="U285" s="18">
        <f>Tabela32[[#This Row],[Realizadas]]/Tabela32[[#This Row],[Entregas]]</f>
        <v>1</v>
      </c>
      <c r="V285" s="19" t="str">
        <f>IF(Tabela32[[#This Row],[% Entrega]]&gt;=96%,"Atendeu a Meta","Não Atendeu a Meta")</f>
        <v>Atendeu a Meta</v>
      </c>
      <c r="W285" s="4" t="s">
        <v>39</v>
      </c>
      <c r="X285" s="4">
        <v>0</v>
      </c>
      <c r="Y285" s="5">
        <v>0</v>
      </c>
    </row>
    <row r="286" spans="1:25" x14ac:dyDescent="0.25">
      <c r="A286" s="8">
        <v>46275</v>
      </c>
      <c r="B286" s="16">
        <f>YEAR(Tabela32[[#This Row],[Data]])</f>
        <v>2026</v>
      </c>
      <c r="C286" s="16">
        <f>MONTH(Tabela32[[#This Row],[Data]])</f>
        <v>9</v>
      </c>
      <c r="D286" s="4" t="s">
        <v>23</v>
      </c>
      <c r="E286" s="4">
        <v>4</v>
      </c>
      <c r="F286" s="4" t="str">
        <f>IFERROR(VLOOKUP(Tabela32[[#This Row],[Placa]],Planilha2!$A$1:$B$12,2,0),"")</f>
        <v>William</v>
      </c>
      <c r="G286" s="10">
        <v>7116.05</v>
      </c>
      <c r="H286" s="10">
        <v>161134.03</v>
      </c>
      <c r="I286" s="4">
        <v>1216</v>
      </c>
      <c r="J286" s="17">
        <f>IFERROR(Tabela32[[#This Row],[Valor Frete]]/Tabela32[[#This Row],[Valor Mercadoria]],"")</f>
        <v>4.4162303890742383E-2</v>
      </c>
      <c r="K286" s="11">
        <v>0.29166666666666669</v>
      </c>
      <c r="L286" s="15">
        <v>0.71527777777777779</v>
      </c>
      <c r="M286" s="15">
        <f>Tabela32[[#This Row],[Hr Chegada]]-Tabela32[[#This Row],[Hr Saida]]</f>
        <v>0.4236111111111111</v>
      </c>
      <c r="N286" s="4">
        <v>125031</v>
      </c>
      <c r="O286" s="4">
        <v>125105</v>
      </c>
      <c r="P286" s="4">
        <f>Tabela32[[#This Row],[Km Chegada]]-Tabela32[[#This Row],[Km Saída]]</f>
        <v>74</v>
      </c>
      <c r="Q286" s="4">
        <v>177</v>
      </c>
      <c r="R286" s="4">
        <v>37</v>
      </c>
      <c r="S286" s="4">
        <v>37</v>
      </c>
      <c r="T286" s="12">
        <f>Tabela32[[#This Row],[Entregas]]-Tabela32[[#This Row],[Realizadas]]</f>
        <v>0</v>
      </c>
      <c r="U286" s="18">
        <f>Tabela32[[#This Row],[Realizadas]]/Tabela32[[#This Row],[Entregas]]</f>
        <v>1</v>
      </c>
      <c r="V286" s="19" t="str">
        <f>IF(Tabela32[[#This Row],[% Entrega]]&gt;=96%,"Atendeu a Meta","Não Atendeu a Meta")</f>
        <v>Atendeu a Meta</v>
      </c>
      <c r="W286" s="4" t="s">
        <v>39</v>
      </c>
      <c r="X286" s="4">
        <v>0</v>
      </c>
      <c r="Y286" s="5">
        <v>0</v>
      </c>
    </row>
    <row r="287" spans="1:25" x14ac:dyDescent="0.25">
      <c r="A287" s="8">
        <v>46276</v>
      </c>
      <c r="B287" s="16">
        <f>YEAR(Tabela32[[#This Row],[Data]])</f>
        <v>2026</v>
      </c>
      <c r="C287" s="16">
        <f>MONTH(Tabela32[[#This Row],[Data]])</f>
        <v>9</v>
      </c>
      <c r="D287" s="4" t="s">
        <v>31</v>
      </c>
      <c r="E287" s="4">
        <v>5</v>
      </c>
      <c r="F287" s="4" t="str">
        <f>IFERROR(VLOOKUP(Tabela32[[#This Row],[Placa]],Planilha2!$A$1:$B$12,2,0),"")</f>
        <v>Jerson</v>
      </c>
      <c r="G287" s="10">
        <v>5637.02</v>
      </c>
      <c r="H287" s="10">
        <v>109511.97</v>
      </c>
      <c r="I287" s="4">
        <v>1052</v>
      </c>
      <c r="J287" s="17">
        <f>IFERROR(Tabela32[[#This Row],[Valor Frete]]/Tabela32[[#This Row],[Valor Mercadoria]],"")</f>
        <v>5.1474007818506057E-2</v>
      </c>
      <c r="K287" s="11">
        <v>0.32013888888888886</v>
      </c>
      <c r="L287" s="15">
        <v>0.75416666666666665</v>
      </c>
      <c r="M287" s="15">
        <f>Tabela32[[#This Row],[Hr Chegada]]-Tabela32[[#This Row],[Hr Saida]]</f>
        <v>0.43402777777777779</v>
      </c>
      <c r="N287" s="4">
        <v>280434</v>
      </c>
      <c r="O287" s="4">
        <v>280521</v>
      </c>
      <c r="P287" s="4">
        <f>Tabela32[[#This Row],[Km Chegada]]-Tabela32[[#This Row],[Km Saída]]</f>
        <v>87</v>
      </c>
      <c r="Q287" s="4">
        <v>106</v>
      </c>
      <c r="R287" s="4">
        <v>23</v>
      </c>
      <c r="S287" s="4">
        <v>23</v>
      </c>
      <c r="T287" s="12">
        <f>Tabela32[[#This Row],[Entregas]]-Tabela32[[#This Row],[Realizadas]]</f>
        <v>0</v>
      </c>
      <c r="U287" s="18">
        <f>Tabela32[[#This Row],[Realizadas]]/Tabela32[[#This Row],[Entregas]]</f>
        <v>1</v>
      </c>
      <c r="V287" s="19" t="str">
        <f>IF(Tabela32[[#This Row],[% Entrega]]&gt;=96%,"Atendeu a Meta","Não Atendeu a Meta")</f>
        <v>Atendeu a Meta</v>
      </c>
      <c r="W287" s="4" t="s">
        <v>39</v>
      </c>
      <c r="X287" s="4">
        <v>0</v>
      </c>
      <c r="Y287" s="5"/>
    </row>
    <row r="288" spans="1:25" x14ac:dyDescent="0.25">
      <c r="A288" s="8">
        <v>46276</v>
      </c>
      <c r="B288" s="16">
        <f>YEAR(Tabela32[[#This Row],[Data]])</f>
        <v>2026</v>
      </c>
      <c r="C288" s="16">
        <f>MONTH(Tabela32[[#This Row],[Data]])</f>
        <v>9</v>
      </c>
      <c r="D288" s="4" t="s">
        <v>28</v>
      </c>
      <c r="E288" s="4">
        <v>11</v>
      </c>
      <c r="F288" s="4" t="str">
        <f>IFERROR(VLOOKUP(Tabela32[[#This Row],[Placa]],Planilha2!$A$1:$B$12,2,0),"")</f>
        <v>Edilson</v>
      </c>
      <c r="G288" s="10">
        <v>13396.57</v>
      </c>
      <c r="H288" s="10">
        <v>234333.57</v>
      </c>
      <c r="I288" s="4">
        <v>1775</v>
      </c>
      <c r="J288" s="17">
        <f>IFERROR(Tabela32[[#This Row],[Valor Frete]]/Tabela32[[#This Row],[Valor Mercadoria]],"")</f>
        <v>5.7168804281861961E-2</v>
      </c>
      <c r="K288" s="11">
        <v>0.27083333333333331</v>
      </c>
      <c r="L288" s="15">
        <v>0.80555555555555558</v>
      </c>
      <c r="M288" s="15">
        <f>Tabela32[[#This Row],[Hr Chegada]]-Tabela32[[#This Row],[Hr Saida]]</f>
        <v>0.53472222222222232</v>
      </c>
      <c r="N288" s="4">
        <v>105359</v>
      </c>
      <c r="O288" s="4">
        <v>105497</v>
      </c>
      <c r="P288" s="4">
        <f>Tabela32[[#This Row],[Km Chegada]]-Tabela32[[#This Row],[Km Saída]]</f>
        <v>138</v>
      </c>
      <c r="Q288" s="4">
        <v>211</v>
      </c>
      <c r="R288" s="4">
        <v>42</v>
      </c>
      <c r="S288" s="4">
        <v>42</v>
      </c>
      <c r="T288" s="12">
        <f>Tabela32[[#This Row],[Entregas]]-Tabela32[[#This Row],[Realizadas]]</f>
        <v>0</v>
      </c>
      <c r="U288" s="18">
        <f>Tabela32[[#This Row],[Realizadas]]/Tabela32[[#This Row],[Entregas]]</f>
        <v>1</v>
      </c>
      <c r="V288" s="19" t="str">
        <f>IF(Tabela32[[#This Row],[% Entrega]]&gt;=96%,"Atendeu a Meta","Não Atendeu a Meta")</f>
        <v>Atendeu a Meta</v>
      </c>
      <c r="W288" s="4" t="s">
        <v>41</v>
      </c>
      <c r="X288" s="4">
        <v>1</v>
      </c>
      <c r="Y288" s="5">
        <v>42</v>
      </c>
    </row>
    <row r="289" spans="1:25" x14ac:dyDescent="0.25">
      <c r="A289" s="8">
        <v>46276</v>
      </c>
      <c r="B289" s="16">
        <f>YEAR(Tabela32[[#This Row],[Data]])</f>
        <v>2026</v>
      </c>
      <c r="C289" s="16">
        <f>MONTH(Tabela32[[#This Row],[Data]])</f>
        <v>9</v>
      </c>
      <c r="D289" s="4" t="s">
        <v>29</v>
      </c>
      <c r="E289" s="4">
        <v>1</v>
      </c>
      <c r="F289" s="4" t="str">
        <f>IFERROR(VLOOKUP(Tabela32[[#This Row],[Placa]],Planilha2!$A$1:$B$12,2,0),"")</f>
        <v>Sandro</v>
      </c>
      <c r="G289" s="10">
        <v>2741.07</v>
      </c>
      <c r="H289" s="10">
        <v>48246.09</v>
      </c>
      <c r="I289" s="4">
        <v>402</v>
      </c>
      <c r="J289" s="17">
        <f>IFERROR(Tabela32[[#This Row],[Valor Frete]]/Tabela32[[#This Row],[Valor Mercadoria]],"")</f>
        <v>5.6814344955207777E-2</v>
      </c>
      <c r="K289" s="11">
        <v>0.68055555555555558</v>
      </c>
      <c r="L289" s="15">
        <v>0.69791666666666663</v>
      </c>
      <c r="M289" s="15">
        <f>Tabela32[[#This Row],[Hr Chegada]]-Tabela32[[#This Row],[Hr Saida]]</f>
        <v>1.7361111111111049E-2</v>
      </c>
      <c r="N289" s="4">
        <v>275645</v>
      </c>
      <c r="O289" s="4">
        <v>275646</v>
      </c>
      <c r="P289" s="4">
        <f>Tabela32[[#This Row],[Km Chegada]]-Tabela32[[#This Row],[Km Saída]]</f>
        <v>1</v>
      </c>
      <c r="Q289" s="4">
        <v>2</v>
      </c>
      <c r="R289" s="4">
        <v>1</v>
      </c>
      <c r="S289" s="4">
        <v>1</v>
      </c>
      <c r="T289" s="12">
        <f>Tabela32[[#This Row],[Entregas]]-Tabela32[[#This Row],[Realizadas]]</f>
        <v>0</v>
      </c>
      <c r="U289" s="18">
        <f>Tabela32[[#This Row],[Realizadas]]/Tabela32[[#This Row],[Entregas]]</f>
        <v>1</v>
      </c>
      <c r="V289" s="19" t="str">
        <f>IF(Tabela32[[#This Row],[% Entrega]]&gt;=96%,"Atendeu a Meta","Não Atendeu a Meta")</f>
        <v>Atendeu a Meta</v>
      </c>
      <c r="W289" s="4" t="s">
        <v>43</v>
      </c>
      <c r="X289" s="4">
        <v>0</v>
      </c>
      <c r="Y289" s="5">
        <v>0</v>
      </c>
    </row>
    <row r="290" spans="1:25" x14ac:dyDescent="0.25">
      <c r="A290" s="8">
        <v>46276</v>
      </c>
      <c r="B290" s="16">
        <f>YEAR(Tabela32[[#This Row],[Data]])</f>
        <v>2026</v>
      </c>
      <c r="C290" s="16">
        <f>MONTH(Tabela32[[#This Row],[Data]])</f>
        <v>9</v>
      </c>
      <c r="D290" s="4" t="s">
        <v>36</v>
      </c>
      <c r="E290" s="4">
        <v>5</v>
      </c>
      <c r="F290" s="4" t="str">
        <f>IFERROR(VLOOKUP(Tabela32[[#This Row],[Placa]],Planilha2!$A$1:$B$12,2,0),"")</f>
        <v>Heremilton</v>
      </c>
      <c r="G290" s="10">
        <v>26771.97</v>
      </c>
      <c r="H290" s="10">
        <v>623236.66</v>
      </c>
      <c r="I290" s="4">
        <v>4429</v>
      </c>
      <c r="J290" s="17">
        <f>IFERROR(Tabela32[[#This Row],[Valor Frete]]/Tabela32[[#This Row],[Valor Mercadoria]],"")</f>
        <v>4.2956346630828805E-2</v>
      </c>
      <c r="K290" s="11">
        <v>0.29166666666666669</v>
      </c>
      <c r="L290" s="15">
        <v>0.77222222222222225</v>
      </c>
      <c r="M290" s="15">
        <f>Tabela32[[#This Row],[Hr Chegada]]-Tabela32[[#This Row],[Hr Saida]]</f>
        <v>0.48055555555555557</v>
      </c>
      <c r="N290" s="4">
        <v>365685</v>
      </c>
      <c r="O290" s="4">
        <v>365734</v>
      </c>
      <c r="P290" s="4">
        <f>Tabela32[[#This Row],[Km Chegada]]-Tabela32[[#This Row],[Km Saída]]</f>
        <v>49</v>
      </c>
      <c r="Q290" s="4">
        <v>353</v>
      </c>
      <c r="R290" s="4">
        <v>12</v>
      </c>
      <c r="S290" s="4">
        <v>12</v>
      </c>
      <c r="T290" s="12">
        <f>Tabela32[[#This Row],[Entregas]]-Tabela32[[#This Row],[Realizadas]]</f>
        <v>0</v>
      </c>
      <c r="U290" s="18">
        <f>Tabela32[[#This Row],[Realizadas]]/Tabela32[[#This Row],[Entregas]]</f>
        <v>1</v>
      </c>
      <c r="V290" s="19" t="str">
        <f>IF(Tabela32[[#This Row],[% Entrega]]&gt;=96%,"Atendeu a Meta","Não Atendeu a Meta")</f>
        <v>Atendeu a Meta</v>
      </c>
      <c r="W290" s="4" t="s">
        <v>39</v>
      </c>
      <c r="X290" s="4">
        <v>0</v>
      </c>
      <c r="Y290" s="5">
        <v>0</v>
      </c>
    </row>
    <row r="291" spans="1:25" x14ac:dyDescent="0.25">
      <c r="A291" s="8">
        <v>46276</v>
      </c>
      <c r="B291" s="16">
        <f>YEAR(Tabela32[[#This Row],[Data]])</f>
        <v>2026</v>
      </c>
      <c r="C291" s="16">
        <f>MONTH(Tabela32[[#This Row],[Data]])</f>
        <v>9</v>
      </c>
      <c r="D291" s="4" t="s">
        <v>35</v>
      </c>
      <c r="E291" s="4">
        <v>2</v>
      </c>
      <c r="F291" s="4" t="str">
        <f>IFERROR(VLOOKUP(Tabela32[[#This Row],[Placa]],Planilha2!$A$1:$B$12,2,0),"")</f>
        <v>Osvaldo</v>
      </c>
      <c r="G291" s="10">
        <v>10981.94</v>
      </c>
      <c r="H291" s="10">
        <v>205579.85</v>
      </c>
      <c r="I291" s="4">
        <v>2298</v>
      </c>
      <c r="J291" s="17">
        <f>IFERROR(Tabela32[[#This Row],[Valor Frete]]/Tabela32[[#This Row],[Valor Mercadoria]],"")</f>
        <v>5.3419340465517412E-2</v>
      </c>
      <c r="K291" s="11">
        <v>0.27083333333333331</v>
      </c>
      <c r="L291" s="15">
        <v>0.71666666666666667</v>
      </c>
      <c r="M291" s="15">
        <f>Tabela32[[#This Row],[Hr Chegada]]-Tabela32[[#This Row],[Hr Saida]]</f>
        <v>0.44583333333333336</v>
      </c>
      <c r="N291" s="4">
        <v>143088</v>
      </c>
      <c r="O291" s="4">
        <v>143143</v>
      </c>
      <c r="P291" s="4">
        <f>Tabela32[[#This Row],[Km Chegada]]-Tabela32[[#This Row],[Km Saída]]</f>
        <v>55</v>
      </c>
      <c r="Q291" s="4">
        <v>269</v>
      </c>
      <c r="R291" s="4">
        <v>29</v>
      </c>
      <c r="S291" s="4">
        <v>29</v>
      </c>
      <c r="T291" s="12">
        <f>Tabela32[[#This Row],[Entregas]]-Tabela32[[#This Row],[Realizadas]]</f>
        <v>0</v>
      </c>
      <c r="U291" s="18">
        <f>Tabela32[[#This Row],[Realizadas]]/Tabela32[[#This Row],[Entregas]]</f>
        <v>1</v>
      </c>
      <c r="V291" s="19" t="str">
        <f>IF(Tabela32[[#This Row],[% Entrega]]&gt;=96%,"Atendeu a Meta","Não Atendeu a Meta")</f>
        <v>Atendeu a Meta</v>
      </c>
      <c r="W291" s="4" t="s">
        <v>39</v>
      </c>
      <c r="X291" s="4">
        <v>4</v>
      </c>
      <c r="Y291" s="5" t="s">
        <v>79</v>
      </c>
    </row>
    <row r="292" spans="1:25" x14ac:dyDescent="0.25">
      <c r="A292" s="8">
        <v>46276</v>
      </c>
      <c r="B292" s="16">
        <f>YEAR(Tabela32[[#This Row],[Data]])</f>
        <v>2026</v>
      </c>
      <c r="C292" s="16">
        <f>MONTH(Tabela32[[#This Row],[Data]])</f>
        <v>9</v>
      </c>
      <c r="D292" s="4" t="s">
        <v>53</v>
      </c>
      <c r="E292" s="4">
        <v>4</v>
      </c>
      <c r="F292" s="4" t="str">
        <f>IFERROR(VLOOKUP(Tabela32[[#This Row],[Placa]],Planilha2!$A$1:$B$12,2,0),"")</f>
        <v>Arnaldo</v>
      </c>
      <c r="G292" s="10">
        <v>7240.24</v>
      </c>
      <c r="H292" s="10">
        <v>85925</v>
      </c>
      <c r="I292" s="4">
        <v>1276</v>
      </c>
      <c r="J292" s="17">
        <f>IFERROR(Tabela32[[#This Row],[Valor Frete]]/Tabela32[[#This Row],[Valor Mercadoria]],"")</f>
        <v>8.4262321792260689E-2</v>
      </c>
      <c r="K292" s="11">
        <v>0.27777777777777779</v>
      </c>
      <c r="L292" s="15">
        <v>0.76736111111111116</v>
      </c>
      <c r="M292" s="15">
        <f>Tabela32[[#This Row],[Hr Chegada]]-Tabela32[[#This Row],[Hr Saida]]</f>
        <v>0.48958333333333337</v>
      </c>
      <c r="N292" s="4">
        <v>13402</v>
      </c>
      <c r="O292" s="4">
        <v>13471</v>
      </c>
      <c r="P292" s="4">
        <f>Tabela32[[#This Row],[Km Chegada]]-Tabela32[[#This Row],[Km Saída]]</f>
        <v>69</v>
      </c>
      <c r="Q292" s="4">
        <v>212</v>
      </c>
      <c r="R292" s="4">
        <v>13</v>
      </c>
      <c r="S292" s="4">
        <v>13</v>
      </c>
      <c r="T292" s="12">
        <f>Tabela32[[#This Row],[Entregas]]-Tabela32[[#This Row],[Realizadas]]</f>
        <v>0</v>
      </c>
      <c r="U292" s="18">
        <f>Tabela32[[#This Row],[Realizadas]]/Tabela32[[#This Row],[Entregas]]</f>
        <v>1</v>
      </c>
      <c r="V292" s="19" t="str">
        <f>IF(Tabela32[[#This Row],[% Entrega]]&gt;=96%,"Atendeu a Meta","Não Atendeu a Meta")</f>
        <v>Atendeu a Meta</v>
      </c>
      <c r="W292" s="4" t="s">
        <v>39</v>
      </c>
      <c r="X292" s="4">
        <v>0</v>
      </c>
      <c r="Y292" s="5">
        <v>38</v>
      </c>
    </row>
    <row r="293" spans="1:25" x14ac:dyDescent="0.25">
      <c r="A293" s="8">
        <v>46276</v>
      </c>
      <c r="B293" s="16">
        <f>YEAR(Tabela32[[#This Row],[Data]])</f>
        <v>2026</v>
      </c>
      <c r="C293" s="16">
        <f>MONTH(Tabela32[[#This Row],[Data]])</f>
        <v>9</v>
      </c>
      <c r="D293" s="4" t="s">
        <v>25</v>
      </c>
      <c r="E293" s="4">
        <v>3</v>
      </c>
      <c r="F293" s="4" t="str">
        <f>IFERROR(VLOOKUP(Tabela32[[#This Row],[Placa]],Planilha2!$A$1:$B$12,2,0),"")</f>
        <v>Gilberto</v>
      </c>
      <c r="G293" s="10">
        <v>13353.33</v>
      </c>
      <c r="H293" s="10">
        <v>191629.74</v>
      </c>
      <c r="I293" s="4">
        <v>4000</v>
      </c>
      <c r="J293" s="17">
        <f>IFERROR(Tabela32[[#This Row],[Valor Frete]]/Tabela32[[#This Row],[Valor Mercadoria]],"")</f>
        <v>6.9682973008260624E-2</v>
      </c>
      <c r="K293" s="11">
        <v>0.29166666666666669</v>
      </c>
      <c r="L293" s="15">
        <v>0.73611111111111116</v>
      </c>
      <c r="M293" s="15">
        <f>Tabela32[[#This Row],[Hr Chegada]]-Tabela32[[#This Row],[Hr Saida]]</f>
        <v>0.44444444444444448</v>
      </c>
      <c r="N293" s="4">
        <v>119739</v>
      </c>
      <c r="O293" s="4">
        <v>119789</v>
      </c>
      <c r="P293" s="4">
        <f>Tabela32[[#This Row],[Km Chegada]]-Tabela32[[#This Row],[Km Saída]]</f>
        <v>50</v>
      </c>
      <c r="Q293" s="4">
        <v>442</v>
      </c>
      <c r="R293" s="4">
        <v>17</v>
      </c>
      <c r="S293" s="4">
        <v>17</v>
      </c>
      <c r="T293" s="12">
        <f>Tabela32[[#This Row],[Entregas]]-Tabela32[[#This Row],[Realizadas]]</f>
        <v>0</v>
      </c>
      <c r="U293" s="18">
        <f>Tabela32[[#This Row],[Realizadas]]/Tabela32[[#This Row],[Entregas]]</f>
        <v>1</v>
      </c>
      <c r="V293" s="19" t="str">
        <f>IF(Tabela32[[#This Row],[% Entrega]]&gt;=96%,"Atendeu a Meta","Não Atendeu a Meta")</f>
        <v>Atendeu a Meta</v>
      </c>
      <c r="W293" s="4" t="s">
        <v>39</v>
      </c>
      <c r="X293" s="4">
        <v>0</v>
      </c>
      <c r="Y293" s="5">
        <v>0</v>
      </c>
    </row>
    <row r="294" spans="1:25" x14ac:dyDescent="0.25">
      <c r="A294" s="8">
        <v>46276</v>
      </c>
      <c r="B294" s="16">
        <f>YEAR(Tabela32[[#This Row],[Data]])</f>
        <v>2026</v>
      </c>
      <c r="C294" s="16">
        <f>MONTH(Tabela32[[#This Row],[Data]])</f>
        <v>9</v>
      </c>
      <c r="D294" s="4" t="s">
        <v>22</v>
      </c>
      <c r="E294" s="4">
        <v>1</v>
      </c>
      <c r="F294" s="4" t="str">
        <f>IFERROR(VLOOKUP(Tabela32[[#This Row],[Placa]],Planilha2!$A$1:$B$12,2,0),"")</f>
        <v>Wesley</v>
      </c>
      <c r="G294" s="10">
        <v>6797.35</v>
      </c>
      <c r="H294" s="10">
        <v>97639.01</v>
      </c>
      <c r="I294" s="4">
        <v>1365</v>
      </c>
      <c r="J294" s="17">
        <f>IFERROR(Tabela32[[#This Row],[Valor Frete]]/Tabela32[[#This Row],[Valor Mercadoria]],"")</f>
        <v>6.9617154045293991E-2</v>
      </c>
      <c r="K294" s="11">
        <v>0.30208333333333331</v>
      </c>
      <c r="L294" s="15">
        <v>0.6875</v>
      </c>
      <c r="M294" s="15">
        <f>Tabela32[[#This Row],[Hr Chegada]]-Tabela32[[#This Row],[Hr Saida]]</f>
        <v>0.38541666666666669</v>
      </c>
      <c r="N294" s="4">
        <v>304416</v>
      </c>
      <c r="O294" s="4">
        <v>304453</v>
      </c>
      <c r="P294" s="4">
        <f>Tabela32[[#This Row],[Km Chegada]]-Tabela32[[#This Row],[Km Saída]]</f>
        <v>37</v>
      </c>
      <c r="Q294" s="4">
        <v>206</v>
      </c>
      <c r="R294" s="4">
        <v>8</v>
      </c>
      <c r="S294" s="4">
        <v>8</v>
      </c>
      <c r="T294" s="12">
        <f>Tabela32[[#This Row],[Entregas]]-Tabela32[[#This Row],[Realizadas]]</f>
        <v>0</v>
      </c>
      <c r="U294" s="18">
        <f>Tabela32[[#This Row],[Realizadas]]/Tabela32[[#This Row],[Entregas]]</f>
        <v>1</v>
      </c>
      <c r="V294" s="19" t="str">
        <f>IF(Tabela32[[#This Row],[% Entrega]]&gt;=96%,"Atendeu a Meta","Não Atendeu a Meta")</f>
        <v>Atendeu a Meta</v>
      </c>
      <c r="W294" s="4" t="s">
        <v>43</v>
      </c>
      <c r="X294" s="4">
        <v>0</v>
      </c>
      <c r="Y294" s="5">
        <v>0</v>
      </c>
    </row>
    <row r="295" spans="1:25" x14ac:dyDescent="0.25">
      <c r="A295" s="8">
        <v>46276</v>
      </c>
      <c r="B295" s="16">
        <f>YEAR(Tabela32[[#This Row],[Data]])</f>
        <v>2026</v>
      </c>
      <c r="C295" s="16">
        <f>MONTH(Tabela32[[#This Row],[Data]])</f>
        <v>9</v>
      </c>
      <c r="D295" s="4" t="s">
        <v>33</v>
      </c>
      <c r="E295" s="4">
        <v>1</v>
      </c>
      <c r="F295" s="4" t="str">
        <f>IFERROR(VLOOKUP(Tabela32[[#This Row],[Placa]],Planilha2!$A$1:$B$12,2,0),"")</f>
        <v>Paulo</v>
      </c>
      <c r="G295" s="10">
        <v>4372.7700000000004</v>
      </c>
      <c r="H295" s="10">
        <v>11638.94</v>
      </c>
      <c r="I295" s="4">
        <v>275</v>
      </c>
      <c r="J295" s="17">
        <f>IFERROR(Tabela32[[#This Row],[Valor Frete]]/Tabela32[[#This Row],[Valor Mercadoria]],"")</f>
        <v>0.37570173916181371</v>
      </c>
      <c r="K295" s="11">
        <v>0.29166666666666669</v>
      </c>
      <c r="L295" s="15">
        <v>0.70486111111111116</v>
      </c>
      <c r="M295" s="15">
        <f>Tabela32[[#This Row],[Hr Chegada]]-Tabela32[[#This Row],[Hr Saida]]</f>
        <v>0.41319444444444448</v>
      </c>
      <c r="N295" s="4">
        <v>155357</v>
      </c>
      <c r="O295" s="4">
        <v>155383</v>
      </c>
      <c r="P295" s="4">
        <f>Tabela32[[#This Row],[Km Chegada]]-Tabela32[[#This Row],[Km Saída]]</f>
        <v>26</v>
      </c>
      <c r="Q295" s="4">
        <v>136</v>
      </c>
      <c r="R295" s="4">
        <v>1</v>
      </c>
      <c r="S295" s="4">
        <v>1</v>
      </c>
      <c r="T295" s="12">
        <f>Tabela32[[#This Row],[Entregas]]-Tabela32[[#This Row],[Realizadas]]</f>
        <v>0</v>
      </c>
      <c r="U295" s="18">
        <f>Tabela32[[#This Row],[Realizadas]]/Tabela32[[#This Row],[Entregas]]</f>
        <v>1</v>
      </c>
      <c r="V295" s="19" t="str">
        <f>IF(Tabela32[[#This Row],[% Entrega]]&gt;=96%,"Atendeu a Meta","Não Atendeu a Meta")</f>
        <v>Atendeu a Meta</v>
      </c>
      <c r="W295" s="4" t="s">
        <v>40</v>
      </c>
      <c r="X295" s="4">
        <v>0</v>
      </c>
      <c r="Y295" s="5">
        <v>0</v>
      </c>
    </row>
    <row r="296" spans="1:25" x14ac:dyDescent="0.25">
      <c r="A296" s="8">
        <v>46276</v>
      </c>
      <c r="B296" s="16">
        <f>YEAR(Tabela32[[#This Row],[Data]])</f>
        <v>2026</v>
      </c>
      <c r="C296" s="16">
        <f>MONTH(Tabela32[[#This Row],[Data]])</f>
        <v>9</v>
      </c>
      <c r="D296" s="4" t="s">
        <v>23</v>
      </c>
      <c r="E296" s="4">
        <v>1</v>
      </c>
      <c r="F296" s="4" t="str">
        <f>IFERROR(VLOOKUP(Tabela32[[#This Row],[Placa]],Planilha2!$A$1:$B$12,2,0),"")</f>
        <v>William</v>
      </c>
      <c r="G296" s="10">
        <v>3879.13</v>
      </c>
      <c r="H296" s="10">
        <v>110429.15</v>
      </c>
      <c r="I296" s="4">
        <v>825</v>
      </c>
      <c r="J296" s="17">
        <f>IFERROR(Tabela32[[#This Row],[Valor Frete]]/Tabela32[[#This Row],[Valor Mercadoria]],"")</f>
        <v>3.51277719696294E-2</v>
      </c>
      <c r="K296" s="11">
        <v>0.33333333333333331</v>
      </c>
      <c r="L296" s="15">
        <v>0.72569444444444442</v>
      </c>
      <c r="M296" s="15">
        <f>Tabela32[[#This Row],[Hr Chegada]]-Tabela32[[#This Row],[Hr Saida]]</f>
        <v>0.3923611111111111</v>
      </c>
      <c r="N296" s="4">
        <v>125105</v>
      </c>
      <c r="O296" s="4">
        <v>125135</v>
      </c>
      <c r="P296" s="4">
        <f>Tabela32[[#This Row],[Km Chegada]]-Tabela32[[#This Row],[Km Saída]]</f>
        <v>30</v>
      </c>
      <c r="Q296" s="4">
        <v>2</v>
      </c>
      <c r="R296" s="4">
        <v>1</v>
      </c>
      <c r="S296" s="4">
        <v>1</v>
      </c>
      <c r="T296" s="12">
        <f>Tabela32[[#This Row],[Entregas]]-Tabela32[[#This Row],[Realizadas]]</f>
        <v>0</v>
      </c>
      <c r="U296" s="18">
        <f>Tabela32[[#This Row],[Realizadas]]/Tabela32[[#This Row],[Entregas]]</f>
        <v>1</v>
      </c>
      <c r="V296" s="19" t="str">
        <f>IF(Tabela32[[#This Row],[% Entrega]]&gt;=96%,"Atendeu a Meta","Não Atendeu a Meta")</f>
        <v>Atendeu a Meta</v>
      </c>
      <c r="W296" s="4" t="s">
        <v>40</v>
      </c>
      <c r="X296" s="4">
        <v>0</v>
      </c>
      <c r="Y296" s="5">
        <v>0</v>
      </c>
    </row>
    <row r="297" spans="1:25" x14ac:dyDescent="0.25">
      <c r="A297" s="8">
        <v>46276</v>
      </c>
      <c r="B297" s="16">
        <f>YEAR(Tabela32[[#This Row],[Data]])</f>
        <v>2026</v>
      </c>
      <c r="C297" s="16">
        <f>MONTH(Tabela32[[#This Row],[Data]])</f>
        <v>9</v>
      </c>
      <c r="D297" s="4" t="s">
        <v>27</v>
      </c>
      <c r="E297" s="4">
        <v>1</v>
      </c>
      <c r="F297" s="4" t="str">
        <f>IFERROR(VLOOKUP(Tabela32[[#This Row],[Placa]],Planilha2!$A$1:$B$12,2,0),"")</f>
        <v>Rosinaldo</v>
      </c>
      <c r="G297" s="10">
        <v>6947.78</v>
      </c>
      <c r="H297" s="10">
        <v>96422.18</v>
      </c>
      <c r="I297" s="4">
        <v>882</v>
      </c>
      <c r="J297" s="17">
        <f>IFERROR(Tabela32[[#This Row],[Valor Frete]]/Tabela32[[#This Row],[Valor Mercadoria]],"")</f>
        <v>7.2055827818869059E-2</v>
      </c>
      <c r="K297" s="11">
        <v>0.29166666666666669</v>
      </c>
      <c r="L297" s="15">
        <v>0.77083333333333337</v>
      </c>
      <c r="M297" s="15">
        <f>Tabela32[[#This Row],[Hr Chegada]]-Tabela32[[#This Row],[Hr Saida]]</f>
        <v>0.47916666666666669</v>
      </c>
      <c r="N297" s="4">
        <v>291267</v>
      </c>
      <c r="O297" s="4">
        <v>291352</v>
      </c>
      <c r="P297" s="4">
        <f>Tabela32[[#This Row],[Km Chegada]]-Tabela32[[#This Row],[Km Saída]]</f>
        <v>85</v>
      </c>
      <c r="Q297" s="4">
        <v>156</v>
      </c>
      <c r="R297" s="4">
        <v>22</v>
      </c>
      <c r="S297" s="4">
        <v>22</v>
      </c>
      <c r="T297" s="12">
        <f>Tabela32[[#This Row],[Entregas]]-Tabela32[[#This Row],[Realizadas]]</f>
        <v>0</v>
      </c>
      <c r="U297" s="18">
        <f>Tabela32[[#This Row],[Realizadas]]/Tabela32[[#This Row],[Entregas]]</f>
        <v>1</v>
      </c>
      <c r="V297" s="19" t="str">
        <f>IF(Tabela32[[#This Row],[% Entrega]]&gt;=96%,"Atendeu a Meta","Não Atendeu a Meta")</f>
        <v>Atendeu a Meta</v>
      </c>
      <c r="W297" s="4" t="s">
        <v>43</v>
      </c>
      <c r="X297" s="4">
        <v>0</v>
      </c>
      <c r="Y297" s="5">
        <v>38.380000000000003</v>
      </c>
    </row>
    <row r="298" spans="1:25" x14ac:dyDescent="0.25">
      <c r="A298" s="8">
        <v>46277</v>
      </c>
      <c r="B298" s="16">
        <f>YEAR(Tabela32[[#This Row],[Data]])</f>
        <v>2026</v>
      </c>
      <c r="C298" s="16">
        <f>MONTH(Tabela32[[#This Row],[Data]])</f>
        <v>9</v>
      </c>
      <c r="D298" s="4" t="s">
        <v>22</v>
      </c>
      <c r="E298" s="4">
        <v>1</v>
      </c>
      <c r="F298" s="4" t="str">
        <f>IFERROR(VLOOKUP(Tabela32[[#This Row],[Placa]],Planilha2!$A$1:$B$12,2,0),"")</f>
        <v>Wesley</v>
      </c>
      <c r="G298" s="10">
        <v>5227.76</v>
      </c>
      <c r="H298" s="10">
        <v>58650.09</v>
      </c>
      <c r="I298" s="4">
        <v>563</v>
      </c>
      <c r="J298" s="17">
        <f>IFERROR(Tabela32[[#This Row],[Valor Frete]]/Tabela32[[#This Row],[Valor Mercadoria]],"")</f>
        <v>8.9134731080549076E-2</v>
      </c>
      <c r="K298" s="11">
        <v>0.29166666666666669</v>
      </c>
      <c r="L298" s="15">
        <v>0.46875</v>
      </c>
      <c r="M298" s="15">
        <f>Tabela32[[#This Row],[Hr Chegada]]-Tabela32[[#This Row],[Hr Saida]]</f>
        <v>0.17708333333333331</v>
      </c>
      <c r="N298" s="4">
        <v>304453</v>
      </c>
      <c r="O298" s="4">
        <v>304578</v>
      </c>
      <c r="P298" s="4">
        <f>Tabela32[[#This Row],[Km Chegada]]-Tabela32[[#This Row],[Km Saída]]</f>
        <v>125</v>
      </c>
      <c r="Q298" s="4">
        <v>79</v>
      </c>
      <c r="R298" s="4">
        <v>22</v>
      </c>
      <c r="S298" s="4">
        <v>22</v>
      </c>
      <c r="T298" s="12">
        <f>Tabela32[[#This Row],[Entregas]]-Tabela32[[#This Row],[Realizadas]]</f>
        <v>0</v>
      </c>
      <c r="U298" s="18">
        <f>Tabela32[[#This Row],[Realizadas]]/Tabela32[[#This Row],[Entregas]]</f>
        <v>1</v>
      </c>
      <c r="V298" s="19" t="str">
        <f>IF(Tabela32[[#This Row],[% Entrega]]&gt;=96%,"Atendeu a Meta","Não Atendeu a Meta")</f>
        <v>Atendeu a Meta</v>
      </c>
      <c r="W298" s="4" t="s">
        <v>40</v>
      </c>
      <c r="X298" s="4">
        <v>0</v>
      </c>
      <c r="Y298" s="5">
        <v>0</v>
      </c>
    </row>
    <row r="299" spans="1:25" x14ac:dyDescent="0.25">
      <c r="A299" s="8">
        <v>46277</v>
      </c>
      <c r="B299" s="16">
        <f>YEAR(Tabela32[[#This Row],[Data]])</f>
        <v>2026</v>
      </c>
      <c r="C299" s="16">
        <f>MONTH(Tabela32[[#This Row],[Data]])</f>
        <v>9</v>
      </c>
      <c r="D299" s="4" t="s">
        <v>53</v>
      </c>
      <c r="E299" s="4">
        <v>11</v>
      </c>
      <c r="F299" s="4" t="str">
        <f>IFERROR(VLOOKUP(Tabela32[[#This Row],[Placa]],Planilha2!$A$1:$B$12,2,0),"")</f>
        <v>Arnaldo</v>
      </c>
      <c r="G299" s="10">
        <v>7173.91</v>
      </c>
      <c r="H299" s="10">
        <v>99979.49</v>
      </c>
      <c r="I299" s="4">
        <v>853</v>
      </c>
      <c r="J299" s="17">
        <f>IFERROR(Tabela32[[#This Row],[Valor Frete]]/Tabela32[[#This Row],[Valor Mercadoria]],"")</f>
        <v>7.175381670780677E-2</v>
      </c>
      <c r="K299" s="11">
        <v>0.28125</v>
      </c>
      <c r="L299" s="15">
        <v>0.59861111111111109</v>
      </c>
      <c r="M299" s="15">
        <f>Tabela32[[#This Row],[Hr Chegada]]-Tabela32[[#This Row],[Hr Saida]]</f>
        <v>0.31736111111111109</v>
      </c>
      <c r="N299" s="4">
        <v>13471</v>
      </c>
      <c r="O299" s="4">
        <v>13592</v>
      </c>
      <c r="P299" s="4">
        <f>Tabela32[[#This Row],[Km Chegada]]-Tabela32[[#This Row],[Km Saída]]</f>
        <v>121</v>
      </c>
      <c r="Q299" s="4">
        <v>134</v>
      </c>
      <c r="R299" s="4">
        <v>28</v>
      </c>
      <c r="S299" s="4">
        <v>28</v>
      </c>
      <c r="T299" s="12">
        <f>Tabela32[[#This Row],[Entregas]]-Tabela32[[#This Row],[Realizadas]]</f>
        <v>0</v>
      </c>
      <c r="U299" s="18">
        <f>Tabela32[[#This Row],[Realizadas]]/Tabela32[[#This Row],[Entregas]]</f>
        <v>1</v>
      </c>
      <c r="V299" s="19" t="str">
        <f>IF(Tabela32[[#This Row],[% Entrega]]&gt;=96%,"Atendeu a Meta","Não Atendeu a Meta")</f>
        <v>Atendeu a Meta</v>
      </c>
      <c r="W299" s="4" t="s">
        <v>41</v>
      </c>
      <c r="X299" s="4">
        <v>0</v>
      </c>
      <c r="Y299" s="5">
        <v>0</v>
      </c>
    </row>
    <row r="300" spans="1:25" x14ac:dyDescent="0.25">
      <c r="A300" s="8">
        <v>46277</v>
      </c>
      <c r="B300" s="16">
        <f>YEAR(Tabela32[[#This Row],[Data]])</f>
        <v>2026</v>
      </c>
      <c r="C300" s="16">
        <f>MONTH(Tabela32[[#This Row],[Data]])</f>
        <v>9</v>
      </c>
      <c r="D300" s="4" t="s">
        <v>25</v>
      </c>
      <c r="E300" s="4">
        <v>3</v>
      </c>
      <c r="F300" s="4" t="str">
        <f>IFERROR(VLOOKUP(Tabela32[[#This Row],[Placa]],Planilha2!$A$1:$B$12,2,0),"")</f>
        <v>Gilberto</v>
      </c>
      <c r="G300" s="10">
        <v>6590.53</v>
      </c>
      <c r="H300" s="10">
        <v>108858.17</v>
      </c>
      <c r="I300" s="4">
        <v>1101</v>
      </c>
      <c r="J300" s="17">
        <f>IFERROR(Tabela32[[#This Row],[Valor Frete]]/Tabela32[[#This Row],[Valor Mercadoria]],"")</f>
        <v>6.0542355249955056E-2</v>
      </c>
      <c r="K300" s="11">
        <v>0.29166666666666669</v>
      </c>
      <c r="L300" s="15">
        <v>0.47222222222222221</v>
      </c>
      <c r="M300" s="15">
        <f>Tabela32[[#This Row],[Hr Chegada]]-Tabela32[[#This Row],[Hr Saida]]</f>
        <v>0.18055555555555552</v>
      </c>
      <c r="N300" s="4">
        <v>119790</v>
      </c>
      <c r="O300" s="4">
        <v>119831</v>
      </c>
      <c r="P300" s="4">
        <f>Tabela32[[#This Row],[Km Chegada]]-Tabela32[[#This Row],[Km Saída]]</f>
        <v>41</v>
      </c>
      <c r="Q300" s="4">
        <v>152</v>
      </c>
      <c r="R300" s="4">
        <v>7</v>
      </c>
      <c r="S300" s="4">
        <v>7</v>
      </c>
      <c r="T300" s="12">
        <f>Tabela32[[#This Row],[Entregas]]-Tabela32[[#This Row],[Realizadas]]</f>
        <v>0</v>
      </c>
      <c r="U300" s="18">
        <f>Tabela32[[#This Row],[Realizadas]]/Tabela32[[#This Row],[Entregas]]</f>
        <v>1</v>
      </c>
      <c r="V300" s="19" t="str">
        <f>IF(Tabela32[[#This Row],[% Entrega]]&gt;=96%,"Atendeu a Meta","Não Atendeu a Meta")</f>
        <v>Atendeu a Meta</v>
      </c>
      <c r="W300" s="4" t="s">
        <v>39</v>
      </c>
      <c r="X300" s="4">
        <v>0</v>
      </c>
      <c r="Y300" s="5">
        <v>0</v>
      </c>
    </row>
    <row r="301" spans="1:25" x14ac:dyDescent="0.25">
      <c r="A301" s="8">
        <v>46279</v>
      </c>
      <c r="B301" s="16">
        <f>YEAR(Tabela32[[#This Row],[Data]])</f>
        <v>2026</v>
      </c>
      <c r="C301" s="16">
        <f>MONTH(Tabela32[[#This Row],[Data]])</f>
        <v>9</v>
      </c>
      <c r="D301" s="4" t="s">
        <v>23</v>
      </c>
      <c r="E301" s="4">
        <v>1</v>
      </c>
      <c r="F301" s="4" t="str">
        <f>IFERROR(VLOOKUP(Tabela32[[#This Row],[Placa]],Planilha2!$A$1:$B$12,2,0),"")</f>
        <v>William</v>
      </c>
      <c r="G301" s="10">
        <v>12518.28</v>
      </c>
      <c r="H301" s="10">
        <v>157704.44</v>
      </c>
      <c r="I301" s="4">
        <v>1771</v>
      </c>
      <c r="J301" s="17">
        <f>IFERROR(Tabela32[[#This Row],[Valor Frete]]/Tabela32[[#This Row],[Valor Mercadoria]],"")</f>
        <v>7.9378107553598365E-2</v>
      </c>
      <c r="K301" s="11">
        <v>0.29166666666666669</v>
      </c>
      <c r="L301" s="15">
        <v>0.78472222222222221</v>
      </c>
      <c r="M301" s="15">
        <f>Tabela32[[#This Row],[Hr Chegada]]-Tabela32[[#This Row],[Hr Saida]]</f>
        <v>0.49305555555555552</v>
      </c>
      <c r="N301" s="4">
        <v>125135</v>
      </c>
      <c r="O301" s="4">
        <v>125211</v>
      </c>
      <c r="P301" s="4">
        <f>Tabela32[[#This Row],[Km Chegada]]-Tabela32[[#This Row],[Km Saída]]</f>
        <v>76</v>
      </c>
      <c r="Q301" s="4">
        <v>196</v>
      </c>
      <c r="R301" s="4">
        <v>21</v>
      </c>
      <c r="S301" s="4">
        <v>19</v>
      </c>
      <c r="T301" s="12">
        <f>Tabela32[[#This Row],[Entregas]]-Tabela32[[#This Row],[Realizadas]]</f>
        <v>2</v>
      </c>
      <c r="U301" s="18">
        <f>Tabela32[[#This Row],[Realizadas]]/Tabela32[[#This Row],[Entregas]]</f>
        <v>0.90476190476190477</v>
      </c>
      <c r="V301" s="19" t="str">
        <f>IF(Tabela32[[#This Row],[% Entrega]]&gt;=96%,"Atendeu a Meta","Não Atendeu a Meta")</f>
        <v>Não Atendeu a Meta</v>
      </c>
      <c r="W301" s="4" t="s">
        <v>43</v>
      </c>
      <c r="X301" s="4">
        <v>2</v>
      </c>
      <c r="Y301" s="5">
        <v>13.13</v>
      </c>
    </row>
    <row r="302" spans="1:25" x14ac:dyDescent="0.25">
      <c r="A302" s="8">
        <v>46279</v>
      </c>
      <c r="B302" s="16">
        <f>YEAR(Tabela32[[#This Row],[Data]])</f>
        <v>2026</v>
      </c>
      <c r="C302" s="16">
        <f>MONTH(Tabela32[[#This Row],[Data]])</f>
        <v>9</v>
      </c>
      <c r="D302" s="4" t="s">
        <v>33</v>
      </c>
      <c r="E302" s="4">
        <v>1</v>
      </c>
      <c r="F302" s="4" t="str">
        <f>IFERROR(VLOOKUP(Tabela32[[#This Row],[Placa]],Planilha2!$A$1:$B$12,2,0),"")</f>
        <v>Paulo</v>
      </c>
      <c r="G302" s="10">
        <v>497.84</v>
      </c>
      <c r="H302" s="10">
        <v>4219.17</v>
      </c>
      <c r="I302" s="4">
        <v>9</v>
      </c>
      <c r="J302" s="17">
        <f>IFERROR(Tabela32[[#This Row],[Valor Frete]]/Tabela32[[#This Row],[Valor Mercadoria]],"")</f>
        <v>0.11799477148349082</v>
      </c>
      <c r="K302" s="11">
        <v>0.29583333333333334</v>
      </c>
      <c r="L302" s="15">
        <v>0.41388888888888886</v>
      </c>
      <c r="M302" s="15">
        <f>Tabela32[[#This Row],[Hr Chegada]]-Tabela32[[#This Row],[Hr Saida]]</f>
        <v>0.11805555555555552</v>
      </c>
      <c r="N302" s="4">
        <v>155395</v>
      </c>
      <c r="O302" s="4">
        <v>155427</v>
      </c>
      <c r="P302" s="4">
        <f>Tabela32[[#This Row],[Km Chegada]]-Tabela32[[#This Row],[Km Saída]]</f>
        <v>32</v>
      </c>
      <c r="Q302" s="4">
        <v>4</v>
      </c>
      <c r="R302" s="4">
        <v>1</v>
      </c>
      <c r="S302" s="4">
        <v>1</v>
      </c>
      <c r="T302" s="12">
        <f>Tabela32[[#This Row],[Entregas]]-Tabela32[[#This Row],[Realizadas]]</f>
        <v>0</v>
      </c>
      <c r="U302" s="18">
        <f>Tabela32[[#This Row],[Realizadas]]/Tabela32[[#This Row],[Entregas]]</f>
        <v>1</v>
      </c>
      <c r="V302" s="19" t="str">
        <f>IF(Tabela32[[#This Row],[% Entrega]]&gt;=96%,"Atendeu a Meta","Não Atendeu a Meta")</f>
        <v>Atendeu a Meta</v>
      </c>
      <c r="W302" s="4" t="s">
        <v>40</v>
      </c>
      <c r="X302" s="4">
        <v>0</v>
      </c>
      <c r="Y302" s="5">
        <v>0</v>
      </c>
    </row>
    <row r="303" spans="1:25" x14ac:dyDescent="0.25">
      <c r="A303" s="8">
        <v>46279</v>
      </c>
      <c r="B303" s="16">
        <f>YEAR(Tabela32[[#This Row],[Data]])</f>
        <v>2026</v>
      </c>
      <c r="C303" s="16">
        <f>MONTH(Tabela32[[#This Row],[Data]])</f>
        <v>9</v>
      </c>
      <c r="D303" s="4" t="s">
        <v>35</v>
      </c>
      <c r="E303" s="4">
        <v>3</v>
      </c>
      <c r="F303" s="4" t="str">
        <f>IFERROR(VLOOKUP(Tabela32[[#This Row],[Placa]],Planilha2!$A$1:$B$12,2,0),"")</f>
        <v>Osvaldo</v>
      </c>
      <c r="G303" s="10">
        <v>12651.35</v>
      </c>
      <c r="H303" s="10">
        <v>173270.99</v>
      </c>
      <c r="I303" s="4">
        <v>2366</v>
      </c>
      <c r="J303" s="17">
        <f>IFERROR(Tabela32[[#This Row],[Valor Frete]]/Tabela32[[#This Row],[Valor Mercadoria]],"")</f>
        <v>7.3014819156974872E-2</v>
      </c>
      <c r="K303" s="11">
        <v>0.29166666666666669</v>
      </c>
      <c r="L303" s="15">
        <v>0.77430555555555558</v>
      </c>
      <c r="M303" s="15">
        <f>Tabela32[[#This Row],[Hr Chegada]]-Tabela32[[#This Row],[Hr Saida]]</f>
        <v>0.4826388888888889</v>
      </c>
      <c r="N303" s="4">
        <v>143154</v>
      </c>
      <c r="O303" s="4">
        <v>143202</v>
      </c>
      <c r="P303" s="4">
        <f>Tabela32[[#This Row],[Km Chegada]]-Tabela32[[#This Row],[Km Saída]]</f>
        <v>48</v>
      </c>
      <c r="Q303" s="4">
        <v>143</v>
      </c>
      <c r="R303" s="4">
        <v>17</v>
      </c>
      <c r="S303" s="4">
        <v>17</v>
      </c>
      <c r="T303" s="12">
        <f>Tabela32[[#This Row],[Entregas]]-Tabela32[[#This Row],[Realizadas]]</f>
        <v>0</v>
      </c>
      <c r="U303" s="18">
        <f>Tabela32[[#This Row],[Realizadas]]/Tabela32[[#This Row],[Entregas]]</f>
        <v>1</v>
      </c>
      <c r="V303" s="19" t="str">
        <f>IF(Tabela32[[#This Row],[% Entrega]]&gt;=96%,"Atendeu a Meta","Não Atendeu a Meta")</f>
        <v>Atendeu a Meta</v>
      </c>
      <c r="W303" s="4" t="s">
        <v>39</v>
      </c>
      <c r="X303" s="4">
        <v>0</v>
      </c>
      <c r="Y303" s="5">
        <v>0</v>
      </c>
    </row>
    <row r="304" spans="1:25" x14ac:dyDescent="0.25">
      <c r="A304" s="8">
        <v>46279</v>
      </c>
      <c r="B304" s="16">
        <f>YEAR(Tabela32[[#This Row],[Data]])</f>
        <v>2026</v>
      </c>
      <c r="C304" s="16">
        <f>MONTH(Tabela32[[#This Row],[Data]])</f>
        <v>9</v>
      </c>
      <c r="D304" s="4" t="s">
        <v>27</v>
      </c>
      <c r="E304" s="4">
        <v>4</v>
      </c>
      <c r="F304" s="4" t="str">
        <f>IFERROR(VLOOKUP(Tabela32[[#This Row],[Placa]],Planilha2!$A$1:$B$12,2,0),"")</f>
        <v>Rosinaldo</v>
      </c>
      <c r="G304" s="10">
        <v>10896.53</v>
      </c>
      <c r="H304" s="10">
        <v>203436.34</v>
      </c>
      <c r="I304" s="4">
        <v>1849</v>
      </c>
      <c r="J304" s="17">
        <f>IFERROR(Tabela32[[#This Row],[Valor Frete]]/Tabela32[[#This Row],[Valor Mercadoria]],"")</f>
        <v>5.3562357639741265E-2</v>
      </c>
      <c r="K304" s="11">
        <v>0.29166666666666669</v>
      </c>
      <c r="L304" s="15">
        <v>0.8125</v>
      </c>
      <c r="M304" s="15">
        <f>Tabela32[[#This Row],[Hr Chegada]]-Tabela32[[#This Row],[Hr Saida]]</f>
        <v>0.52083333333333326</v>
      </c>
      <c r="N304" s="4">
        <v>291352</v>
      </c>
      <c r="O304" s="4">
        <v>291428</v>
      </c>
      <c r="P304" s="4">
        <f>Tabela32[[#This Row],[Km Chegada]]-Tabela32[[#This Row],[Km Saída]]</f>
        <v>76</v>
      </c>
      <c r="Q304" s="4">
        <v>288</v>
      </c>
      <c r="R304" s="4">
        <v>29</v>
      </c>
      <c r="S304" s="4">
        <v>29</v>
      </c>
      <c r="T304" s="12">
        <f>Tabela32[[#This Row],[Entregas]]-Tabela32[[#This Row],[Realizadas]]</f>
        <v>0</v>
      </c>
      <c r="U304" s="18">
        <f>Tabela32[[#This Row],[Realizadas]]/Tabela32[[#This Row],[Entregas]]</f>
        <v>1</v>
      </c>
      <c r="V304" s="19" t="str">
        <f>IF(Tabela32[[#This Row],[% Entrega]]&gt;=96%,"Atendeu a Meta","Não Atendeu a Meta")</f>
        <v>Atendeu a Meta</v>
      </c>
      <c r="W304" s="4" t="s">
        <v>39</v>
      </c>
      <c r="X304" s="4">
        <v>0</v>
      </c>
      <c r="Y304" s="5">
        <v>0</v>
      </c>
    </row>
    <row r="305" spans="1:25" x14ac:dyDescent="0.25">
      <c r="A305" s="8">
        <v>46279</v>
      </c>
      <c r="B305" s="16">
        <f>YEAR(Tabela32[[#This Row],[Data]])</f>
        <v>2026</v>
      </c>
      <c r="C305" s="16">
        <f>MONTH(Tabela32[[#This Row],[Data]])</f>
        <v>9</v>
      </c>
      <c r="D305" s="4" t="s">
        <v>25</v>
      </c>
      <c r="E305" s="4">
        <v>5</v>
      </c>
      <c r="F305" s="4" t="str">
        <f>IFERROR(VLOOKUP(Tabela32[[#This Row],[Placa]],Planilha2!$A$1:$B$12,2,0),"")</f>
        <v>Gilberto</v>
      </c>
      <c r="G305" s="10">
        <v>8298.8700000000008</v>
      </c>
      <c r="H305" s="10">
        <v>141119.21</v>
      </c>
      <c r="I305" s="4">
        <v>1323</v>
      </c>
      <c r="J305" s="17">
        <f>IFERROR(Tabela32[[#This Row],[Valor Frete]]/Tabela32[[#This Row],[Valor Mercadoria]],"")</f>
        <v>5.8807514582883517E-2</v>
      </c>
      <c r="K305" s="11">
        <v>0.31944444444444442</v>
      </c>
      <c r="L305" s="15">
        <v>0.72916666666666663</v>
      </c>
      <c r="M305" s="15">
        <f>Tabela32[[#This Row],[Hr Chegada]]-Tabela32[[#This Row],[Hr Saida]]</f>
        <v>0.40972222222222221</v>
      </c>
      <c r="N305" s="4">
        <v>119831</v>
      </c>
      <c r="O305" s="4">
        <v>119898</v>
      </c>
      <c r="P305" s="4">
        <f>Tabela32[[#This Row],[Km Chegada]]-Tabela32[[#This Row],[Km Saída]]</f>
        <v>67</v>
      </c>
      <c r="Q305" s="4">
        <v>388</v>
      </c>
      <c r="R305" s="4">
        <v>25</v>
      </c>
      <c r="S305" s="4">
        <v>25</v>
      </c>
      <c r="T305" s="12">
        <f>Tabela32[[#This Row],[Entregas]]-Tabela32[[#This Row],[Realizadas]]</f>
        <v>0</v>
      </c>
      <c r="U305" s="18">
        <f>Tabela32[[#This Row],[Realizadas]]/Tabela32[[#This Row],[Entregas]]</f>
        <v>1</v>
      </c>
      <c r="V305" s="19" t="str">
        <f>IF(Tabela32[[#This Row],[% Entrega]]&gt;=96%,"Atendeu a Meta","Não Atendeu a Meta")</f>
        <v>Atendeu a Meta</v>
      </c>
      <c r="W305" s="4" t="s">
        <v>39</v>
      </c>
      <c r="X305" s="4">
        <v>3</v>
      </c>
      <c r="Y305" s="5">
        <v>21</v>
      </c>
    </row>
    <row r="306" spans="1:25" x14ac:dyDescent="0.25">
      <c r="A306" s="8">
        <v>46279</v>
      </c>
      <c r="B306" s="16">
        <f>YEAR(Tabela32[[#This Row],[Data]])</f>
        <v>2026</v>
      </c>
      <c r="C306" s="16">
        <f>MONTH(Tabela32[[#This Row],[Data]])</f>
        <v>9</v>
      </c>
      <c r="D306" s="4" t="s">
        <v>29</v>
      </c>
      <c r="E306" s="4">
        <v>1</v>
      </c>
      <c r="F306" s="4" t="str">
        <f>IFERROR(VLOOKUP(Tabela32[[#This Row],[Placa]],Planilha2!$A$1:$B$12,2,0),"")</f>
        <v>Sandro</v>
      </c>
      <c r="G306" s="10">
        <v>8146.99</v>
      </c>
      <c r="H306" s="10">
        <v>172796.79999999999</v>
      </c>
      <c r="I306" s="4">
        <v>1415</v>
      </c>
      <c r="J306" s="17">
        <f>IFERROR(Tabela32[[#This Row],[Valor Frete]]/Tabela32[[#This Row],[Valor Mercadoria]],"")</f>
        <v>4.7147805977888479E-2</v>
      </c>
      <c r="K306" s="11">
        <v>0.3125</v>
      </c>
      <c r="L306" s="15">
        <v>0.77083333333333337</v>
      </c>
      <c r="M306" s="15">
        <f>Tabela32[[#This Row],[Hr Chegada]]-Tabela32[[#This Row],[Hr Saida]]</f>
        <v>0.45833333333333337</v>
      </c>
      <c r="N306" s="4">
        <v>275645</v>
      </c>
      <c r="O306" s="4">
        <v>275727</v>
      </c>
      <c r="P306" s="4">
        <f>Tabela32[[#This Row],[Km Chegada]]-Tabela32[[#This Row],[Km Saída]]</f>
        <v>82</v>
      </c>
      <c r="Q306" s="4">
        <v>312</v>
      </c>
      <c r="R306" s="4">
        <v>21</v>
      </c>
      <c r="S306" s="4">
        <v>21</v>
      </c>
      <c r="T306" s="12">
        <f>Tabela32[[#This Row],[Entregas]]-Tabela32[[#This Row],[Realizadas]]</f>
        <v>0</v>
      </c>
      <c r="U306" s="18">
        <f>Tabela32[[#This Row],[Realizadas]]/Tabela32[[#This Row],[Entregas]]</f>
        <v>1</v>
      </c>
      <c r="V306" s="19" t="str">
        <f>IF(Tabela32[[#This Row],[% Entrega]]&gt;=96%,"Atendeu a Meta","Não Atendeu a Meta")</f>
        <v>Atendeu a Meta</v>
      </c>
      <c r="W306" s="4" t="s">
        <v>43</v>
      </c>
      <c r="X306" s="4">
        <v>1</v>
      </c>
      <c r="Y306" s="5">
        <v>10</v>
      </c>
    </row>
    <row r="307" spans="1:25" x14ac:dyDescent="0.25">
      <c r="A307" s="8">
        <v>46279</v>
      </c>
      <c r="B307" s="16">
        <f>YEAR(Tabela32[[#This Row],[Data]])</f>
        <v>2026</v>
      </c>
      <c r="C307" s="16">
        <f>MONTH(Tabela32[[#This Row],[Data]])</f>
        <v>9</v>
      </c>
      <c r="D307" s="4" t="s">
        <v>31</v>
      </c>
      <c r="E307" s="4">
        <v>5</v>
      </c>
      <c r="F307" s="4" t="str">
        <f>IFERROR(VLOOKUP(Tabela32[[#This Row],[Placa]],Planilha2!$A$1:$B$12,2,0),"")</f>
        <v>Jerson</v>
      </c>
      <c r="G307" s="10">
        <v>2898.57</v>
      </c>
      <c r="H307" s="10">
        <v>18467.22</v>
      </c>
      <c r="I307" s="4">
        <v>420</v>
      </c>
      <c r="J307" s="17">
        <f>IFERROR(Tabela32[[#This Row],[Valor Frete]]/Tabela32[[#This Row],[Valor Mercadoria]],"")</f>
        <v>0.15695757130743013</v>
      </c>
      <c r="K307" s="11">
        <v>0.30555555555555558</v>
      </c>
      <c r="L307" s="15">
        <v>0.75138888888888888</v>
      </c>
      <c r="M307" s="15">
        <f>Tabela32[[#This Row],[Hr Chegada]]-Tabela32[[#This Row],[Hr Saida]]</f>
        <v>0.4458333333333333</v>
      </c>
      <c r="N307" s="4">
        <v>280521</v>
      </c>
      <c r="O307" s="4">
        <v>280560</v>
      </c>
      <c r="P307" s="4">
        <f>Tabela32[[#This Row],[Km Chegada]]-Tabela32[[#This Row],[Km Saída]]</f>
        <v>39</v>
      </c>
      <c r="Q307" s="4">
        <v>66</v>
      </c>
      <c r="R307" s="4">
        <v>4</v>
      </c>
      <c r="S307" s="4">
        <v>3</v>
      </c>
      <c r="T307" s="12">
        <f>Tabela32[[#This Row],[Entregas]]-Tabela32[[#This Row],[Realizadas]]</f>
        <v>1</v>
      </c>
      <c r="U307" s="18">
        <f>Tabela32[[#This Row],[Realizadas]]/Tabela32[[#This Row],[Entregas]]</f>
        <v>0.75</v>
      </c>
      <c r="V307" s="19" t="str">
        <f>IF(Tabela32[[#This Row],[% Entrega]]&gt;=96%,"Atendeu a Meta","Não Atendeu a Meta")</f>
        <v>Não Atendeu a Meta</v>
      </c>
      <c r="W307" s="4" t="s">
        <v>39</v>
      </c>
      <c r="X307" s="4">
        <v>4</v>
      </c>
      <c r="Y307" s="5" t="s">
        <v>80</v>
      </c>
    </row>
    <row r="308" spans="1:25" x14ac:dyDescent="0.25">
      <c r="A308" s="8">
        <v>46279</v>
      </c>
      <c r="B308" s="16">
        <f>YEAR(Tabela32[[#This Row],[Data]])</f>
        <v>2026</v>
      </c>
      <c r="C308" s="16">
        <f>MONTH(Tabela32[[#This Row],[Data]])</f>
        <v>9</v>
      </c>
      <c r="D308" s="4" t="s">
        <v>33</v>
      </c>
      <c r="E308" s="4">
        <v>1</v>
      </c>
      <c r="F308" s="4" t="str">
        <f>IFERROR(VLOOKUP(Tabela32[[#This Row],[Placa]],Planilha2!$A$1:$B$12,2,0),"")</f>
        <v>Paulo</v>
      </c>
      <c r="G308" s="10">
        <v>2801.01</v>
      </c>
      <c r="H308" s="10">
        <v>44016.45</v>
      </c>
      <c r="I308" s="4">
        <v>305</v>
      </c>
      <c r="J308" s="17">
        <f>IFERROR(Tabela32[[#This Row],[Valor Frete]]/Tabela32[[#This Row],[Valor Mercadoria]],"")</f>
        <v>6.363552717222766E-2</v>
      </c>
      <c r="K308" s="11">
        <v>0.4826388888888889</v>
      </c>
      <c r="L308" s="15">
        <v>0.74791666666666667</v>
      </c>
      <c r="M308" s="15">
        <f>Tabela32[[#This Row],[Hr Chegada]]-Tabela32[[#This Row],[Hr Saida]]</f>
        <v>0.26527777777777778</v>
      </c>
      <c r="N308" s="4">
        <v>155427</v>
      </c>
      <c r="O308" s="4">
        <v>155512</v>
      </c>
      <c r="P308" s="4">
        <f>Tabela32[[#This Row],[Km Chegada]]-Tabela32[[#This Row],[Km Saída]]</f>
        <v>85</v>
      </c>
      <c r="Q308" s="4">
        <v>60</v>
      </c>
      <c r="R308" s="4">
        <v>16</v>
      </c>
      <c r="S308" s="4">
        <v>16</v>
      </c>
      <c r="T308" s="12">
        <f>Tabela32[[#This Row],[Entregas]]-Tabela32[[#This Row],[Realizadas]]</f>
        <v>0</v>
      </c>
      <c r="U308" s="18">
        <f>Tabela32[[#This Row],[Realizadas]]/Tabela32[[#This Row],[Entregas]]</f>
        <v>1</v>
      </c>
      <c r="V308" s="19" t="str">
        <f>IF(Tabela32[[#This Row],[% Entrega]]&gt;=96%,"Atendeu a Meta","Não Atendeu a Meta")</f>
        <v>Atendeu a Meta</v>
      </c>
      <c r="W308" s="4" t="s">
        <v>40</v>
      </c>
      <c r="X308" s="4">
        <v>0</v>
      </c>
      <c r="Y308" s="5">
        <v>0</v>
      </c>
    </row>
    <row r="309" spans="1:25" x14ac:dyDescent="0.25">
      <c r="A309" s="8">
        <v>46279</v>
      </c>
      <c r="B309" s="16">
        <f>YEAR(Tabela32[[#This Row],[Data]])</f>
        <v>2026</v>
      </c>
      <c r="C309" s="16">
        <f>MONTH(Tabela32[[#This Row],[Data]])</f>
        <v>9</v>
      </c>
      <c r="D309" s="4" t="s">
        <v>53</v>
      </c>
      <c r="E309" s="4">
        <v>5</v>
      </c>
      <c r="F309" s="4" t="str">
        <f>IFERROR(VLOOKUP(Tabela32[[#This Row],[Placa]],Planilha2!$A$1:$B$12,2,0),"")</f>
        <v>Arnaldo</v>
      </c>
      <c r="G309" s="10">
        <v>4334.04</v>
      </c>
      <c r="H309" s="10">
        <v>70129.5</v>
      </c>
      <c r="I309" s="4">
        <v>1552</v>
      </c>
      <c r="J309" s="17">
        <f>IFERROR(Tabela32[[#This Row],[Valor Frete]]/Tabela32[[#This Row],[Valor Mercadoria]],"")</f>
        <v>6.1800526169443669E-2</v>
      </c>
      <c r="K309" s="11">
        <v>0.2986111111111111</v>
      </c>
      <c r="L309" s="15">
        <v>0.74097222222222225</v>
      </c>
      <c r="M309" s="15">
        <f>Tabela32[[#This Row],[Hr Chegada]]-Tabela32[[#This Row],[Hr Saida]]</f>
        <v>0.44236111111111115</v>
      </c>
      <c r="N309" s="4">
        <v>13592</v>
      </c>
      <c r="O309" s="4">
        <v>13659</v>
      </c>
      <c r="P309" s="4">
        <f>Tabela32[[#This Row],[Km Chegada]]-Tabela32[[#This Row],[Km Saída]]</f>
        <v>67</v>
      </c>
      <c r="Q309" s="4">
        <v>169</v>
      </c>
      <c r="R309" s="4">
        <v>14</v>
      </c>
      <c r="S309" s="4">
        <v>14</v>
      </c>
      <c r="T309" s="12">
        <f>Tabela32[[#This Row],[Entregas]]-Tabela32[[#This Row],[Realizadas]]</f>
        <v>0</v>
      </c>
      <c r="U309" s="18">
        <f>Tabela32[[#This Row],[Realizadas]]/Tabela32[[#This Row],[Entregas]]</f>
        <v>1</v>
      </c>
      <c r="V309" s="19" t="str">
        <f>IF(Tabela32[[#This Row],[% Entrega]]&gt;=96%,"Atendeu a Meta","Não Atendeu a Meta")</f>
        <v>Atendeu a Meta</v>
      </c>
      <c r="W309" s="4" t="s">
        <v>39</v>
      </c>
      <c r="X309" s="4">
        <v>0</v>
      </c>
      <c r="Y309" s="5">
        <v>0</v>
      </c>
    </row>
    <row r="310" spans="1:25" x14ac:dyDescent="0.25">
      <c r="A310" s="8">
        <v>46279</v>
      </c>
      <c r="B310" s="16">
        <f>YEAR(Tabela32[[#This Row],[Data]])</f>
        <v>2026</v>
      </c>
      <c r="C310" s="16">
        <f>MONTH(Tabela32[[#This Row],[Data]])</f>
        <v>9</v>
      </c>
      <c r="D310" s="4" t="s">
        <v>28</v>
      </c>
      <c r="E310" s="4">
        <v>11</v>
      </c>
      <c r="F310" s="4" t="str">
        <f>IFERROR(VLOOKUP(Tabela32[[#This Row],[Placa]],Planilha2!$A$1:$B$12,2,0),"")</f>
        <v>Edilson</v>
      </c>
      <c r="G310" s="10">
        <v>15187.44</v>
      </c>
      <c r="H310" s="10">
        <v>223919.01</v>
      </c>
      <c r="I310" s="4">
        <v>2397</v>
      </c>
      <c r="J310" s="17">
        <f>IFERROR(Tabela32[[#This Row],[Valor Frete]]/Tabela32[[#This Row],[Valor Mercadoria]],"")</f>
        <v>6.7825594620126273E-2</v>
      </c>
      <c r="K310" s="11">
        <v>0.27083333333333331</v>
      </c>
      <c r="L310" s="15">
        <v>0.77638888888888891</v>
      </c>
      <c r="M310" s="15">
        <f>Tabela32[[#This Row],[Hr Chegada]]-Tabela32[[#This Row],[Hr Saida]]</f>
        <v>0.50555555555555554</v>
      </c>
      <c r="N310" s="4">
        <v>105497</v>
      </c>
      <c r="O310" s="4">
        <v>105634</v>
      </c>
      <c r="P310" s="4">
        <f>Tabela32[[#This Row],[Km Chegada]]-Tabela32[[#This Row],[Km Saída]]</f>
        <v>137</v>
      </c>
      <c r="Q310" s="4">
        <v>253</v>
      </c>
      <c r="R310" s="4">
        <v>40</v>
      </c>
      <c r="S310" s="4">
        <v>40</v>
      </c>
      <c r="T310" s="12">
        <f>Tabela32[[#This Row],[Entregas]]-Tabela32[[#This Row],[Realizadas]]</f>
        <v>0</v>
      </c>
      <c r="U310" s="18">
        <f>Tabela32[[#This Row],[Realizadas]]/Tabela32[[#This Row],[Entregas]]</f>
        <v>1</v>
      </c>
      <c r="V310" s="19" t="str">
        <f>IF(Tabela32[[#This Row],[% Entrega]]&gt;=96%,"Atendeu a Meta","Não Atendeu a Meta")</f>
        <v>Atendeu a Meta</v>
      </c>
      <c r="W310" s="4" t="s">
        <v>41</v>
      </c>
      <c r="X310" s="4">
        <v>0</v>
      </c>
      <c r="Y310" s="5">
        <v>0</v>
      </c>
    </row>
    <row r="311" spans="1:25" x14ac:dyDescent="0.25">
      <c r="A311" s="8">
        <v>46279</v>
      </c>
      <c r="B311" s="16">
        <f>YEAR(Tabela32[[#This Row],[Data]])</f>
        <v>2026</v>
      </c>
      <c r="C311" s="16">
        <f>MONTH(Tabela32[[#This Row],[Data]])</f>
        <v>9</v>
      </c>
      <c r="D311" s="4" t="s">
        <v>22</v>
      </c>
      <c r="E311" s="4">
        <v>2</v>
      </c>
      <c r="F311" s="4" t="str">
        <f>IFERROR(VLOOKUP(Tabela32[[#This Row],[Placa]],Planilha2!$A$1:$B$12,2,0),"")</f>
        <v>Wesley</v>
      </c>
      <c r="G311" s="10">
        <v>7035.69</v>
      </c>
      <c r="H311" s="10">
        <v>162106.54</v>
      </c>
      <c r="I311" s="4">
        <v>1233</v>
      </c>
      <c r="J311" s="17">
        <f>IFERROR(Tabela32[[#This Row],[Valor Frete]]/Tabela32[[#This Row],[Valor Mercadoria]],"")</f>
        <v>4.3401641907846525E-2</v>
      </c>
      <c r="K311" s="11">
        <v>0.27083333333333331</v>
      </c>
      <c r="L311" s="15">
        <v>0.70833333333333337</v>
      </c>
      <c r="M311" s="15">
        <f>Tabela32[[#This Row],[Hr Chegada]]-Tabela32[[#This Row],[Hr Saida]]</f>
        <v>0.43750000000000006</v>
      </c>
      <c r="N311" s="4">
        <v>304578</v>
      </c>
      <c r="O311" s="4">
        <v>304633</v>
      </c>
      <c r="P311" s="4">
        <f>Tabela32[[#This Row],[Km Chegada]]-Tabela32[[#This Row],[Km Saída]]</f>
        <v>55</v>
      </c>
      <c r="Q311" s="4">
        <v>152</v>
      </c>
      <c r="R311" s="4">
        <v>28</v>
      </c>
      <c r="S311" s="4">
        <v>28</v>
      </c>
      <c r="T311" s="12">
        <f>Tabela32[[#This Row],[Entregas]]-Tabela32[[#This Row],[Realizadas]]</f>
        <v>0</v>
      </c>
      <c r="U311" s="18">
        <f>Tabela32[[#This Row],[Realizadas]]/Tabela32[[#This Row],[Entregas]]</f>
        <v>1</v>
      </c>
      <c r="V311" s="19" t="str">
        <f>IF(Tabela32[[#This Row],[% Entrega]]&gt;=96%,"Atendeu a Meta","Não Atendeu a Meta")</f>
        <v>Atendeu a Meta</v>
      </c>
      <c r="W311" s="4" t="s">
        <v>39</v>
      </c>
      <c r="X311" s="4">
        <v>0</v>
      </c>
      <c r="Y311" s="5">
        <v>0</v>
      </c>
    </row>
    <row r="312" spans="1:25" x14ac:dyDescent="0.25">
      <c r="A312" s="8">
        <v>46279</v>
      </c>
      <c r="B312" s="16">
        <f>YEAR(Tabela32[[#This Row],[Data]])</f>
        <v>2026</v>
      </c>
      <c r="C312" s="16">
        <f>MONTH(Tabela32[[#This Row],[Data]])</f>
        <v>9</v>
      </c>
      <c r="D312" s="4" t="s">
        <v>36</v>
      </c>
      <c r="E312" s="4">
        <v>5</v>
      </c>
      <c r="F312" s="4" t="str">
        <f>IFERROR(VLOOKUP(Tabela32[[#This Row],[Placa]],Planilha2!$A$1:$B$12,2,0),"")</f>
        <v>Heremilton</v>
      </c>
      <c r="G312" s="10">
        <v>43098.8</v>
      </c>
      <c r="H312" s="10">
        <v>995354.17</v>
      </c>
      <c r="I312" s="4">
        <v>8352</v>
      </c>
      <c r="J312" s="17">
        <f>IFERROR(Tabela32[[#This Row],[Valor Frete]]/Tabela32[[#This Row],[Valor Mercadoria]],"")</f>
        <v>4.3299964273018521E-2</v>
      </c>
      <c r="K312" s="11">
        <v>0.2673611111111111</v>
      </c>
      <c r="L312" s="15">
        <v>0.77430555555555558</v>
      </c>
      <c r="M312" s="15">
        <f>Tabela32[[#This Row],[Hr Chegada]]-Tabela32[[#This Row],[Hr Saida]]</f>
        <v>0.50694444444444442</v>
      </c>
      <c r="N312" s="4">
        <v>365871</v>
      </c>
      <c r="O312" s="4">
        <v>365909</v>
      </c>
      <c r="P312" s="4">
        <f>Tabela32[[#This Row],[Km Chegada]]-Tabela32[[#This Row],[Km Saída]]</f>
        <v>38</v>
      </c>
      <c r="Q312" s="4">
        <v>312</v>
      </c>
      <c r="R312" s="4">
        <v>29</v>
      </c>
      <c r="S312" s="4">
        <v>29</v>
      </c>
      <c r="T312" s="12">
        <f>Tabela32[[#This Row],[Entregas]]-Tabela32[[#This Row],[Realizadas]]</f>
        <v>0</v>
      </c>
      <c r="U312" s="18">
        <f>Tabela32[[#This Row],[Realizadas]]/Tabela32[[#This Row],[Entregas]]</f>
        <v>1</v>
      </c>
      <c r="V312" s="19" t="str">
        <f>IF(Tabela32[[#This Row],[% Entrega]]&gt;=96%,"Atendeu a Meta","Não Atendeu a Meta")</f>
        <v>Atendeu a Meta</v>
      </c>
      <c r="W312" s="4" t="s">
        <v>39</v>
      </c>
      <c r="X312" s="4">
        <v>0</v>
      </c>
      <c r="Y312" s="5">
        <v>0</v>
      </c>
    </row>
    <row r="313" spans="1:25" x14ac:dyDescent="0.25">
      <c r="A313" s="8">
        <v>46280</v>
      </c>
      <c r="B313" s="16">
        <f>YEAR(Tabela32[[#This Row],[Data]])</f>
        <v>2026</v>
      </c>
      <c r="C313" s="16">
        <f>MONTH(Tabela32[[#This Row],[Data]])</f>
        <v>9</v>
      </c>
      <c r="D313" s="4" t="s">
        <v>28</v>
      </c>
      <c r="E313" s="4">
        <v>5</v>
      </c>
      <c r="F313" s="4" t="str">
        <f>IFERROR(VLOOKUP(Tabela32[[#This Row],[Placa]],Planilha2!$A$1:$B$12,2,0),"")</f>
        <v>Edilson</v>
      </c>
      <c r="G313" s="10">
        <v>18853.400000000001</v>
      </c>
      <c r="H313" s="10">
        <v>324836.46999999997</v>
      </c>
      <c r="I313" s="4">
        <v>2903</v>
      </c>
      <c r="J313" s="17">
        <f>IFERROR(Tabela32[[#This Row],[Valor Frete]]/Tabela32[[#This Row],[Valor Mercadoria]],"")</f>
        <v>5.8039665312210796E-2</v>
      </c>
      <c r="K313" s="11">
        <v>0.27083333333333331</v>
      </c>
      <c r="L313" s="15">
        <v>0.76180555555555551</v>
      </c>
      <c r="M313" s="15">
        <f>Tabela32[[#This Row],[Hr Chegada]]-Tabela32[[#This Row],[Hr Saida]]</f>
        <v>0.4909722222222222</v>
      </c>
      <c r="N313" s="4">
        <v>105634</v>
      </c>
      <c r="O313" s="4">
        <v>105668</v>
      </c>
      <c r="P313" s="4">
        <f>Tabela32[[#This Row],[Km Chegada]]-Tabela32[[#This Row],[Km Saída]]</f>
        <v>34</v>
      </c>
      <c r="Q313" s="4">
        <v>1169</v>
      </c>
      <c r="R313" s="4">
        <v>11</v>
      </c>
      <c r="S313" s="4">
        <v>11</v>
      </c>
      <c r="T313" s="12">
        <f>Tabela32[[#This Row],[Entregas]]-Tabela32[[#This Row],[Realizadas]]</f>
        <v>0</v>
      </c>
      <c r="U313" s="18">
        <f>Tabela32[[#This Row],[Realizadas]]/Tabela32[[#This Row],[Entregas]]</f>
        <v>1</v>
      </c>
      <c r="V313" s="19" t="str">
        <f>IF(Tabela32[[#This Row],[% Entrega]]&gt;=96%,"Atendeu a Meta","Não Atendeu a Meta")</f>
        <v>Atendeu a Meta</v>
      </c>
      <c r="W313" s="4" t="s">
        <v>39</v>
      </c>
      <c r="X313" s="4">
        <v>0</v>
      </c>
      <c r="Y313" s="5">
        <v>0</v>
      </c>
    </row>
    <row r="314" spans="1:25" x14ac:dyDescent="0.25">
      <c r="A314" s="8">
        <v>46280</v>
      </c>
      <c r="B314" s="16">
        <f>YEAR(Tabela32[[#This Row],[Data]])</f>
        <v>2026</v>
      </c>
      <c r="C314" s="16">
        <f>MONTH(Tabela32[[#This Row],[Data]])</f>
        <v>9</v>
      </c>
      <c r="D314" s="4" t="s">
        <v>35</v>
      </c>
      <c r="E314" s="4">
        <v>3</v>
      </c>
      <c r="F314" s="4" t="str">
        <f>IFERROR(VLOOKUP(Tabela32[[#This Row],[Placa]],Planilha2!$A$1:$B$12,2,0),"")</f>
        <v>Osvaldo</v>
      </c>
      <c r="G314" s="10">
        <v>7393.87</v>
      </c>
      <c r="H314" s="10">
        <v>125117.98</v>
      </c>
      <c r="I314" s="4">
        <v>1597</v>
      </c>
      <c r="J314" s="17">
        <f>IFERROR(Tabela32[[#This Row],[Valor Frete]]/Tabela32[[#This Row],[Valor Mercadoria]],"")</f>
        <v>5.9095183601909178E-2</v>
      </c>
      <c r="K314" s="11">
        <v>0.29166666666666669</v>
      </c>
      <c r="L314" s="15">
        <v>0.6875</v>
      </c>
      <c r="M314" s="15">
        <f>Tabela32[[#This Row],[Hr Chegada]]-Tabela32[[#This Row],[Hr Saida]]</f>
        <v>0.39583333333333331</v>
      </c>
      <c r="N314" s="4">
        <v>143202</v>
      </c>
      <c r="O314" s="4">
        <v>143264</v>
      </c>
      <c r="P314" s="4">
        <f>Tabela32[[#This Row],[Km Chegada]]-Tabela32[[#This Row],[Km Saída]]</f>
        <v>62</v>
      </c>
      <c r="Q314" s="4">
        <v>282</v>
      </c>
      <c r="R314" s="4">
        <v>17</v>
      </c>
      <c r="S314" s="4">
        <v>17</v>
      </c>
      <c r="T314" s="12">
        <f>Tabela32[[#This Row],[Entregas]]-Tabela32[[#This Row],[Realizadas]]</f>
        <v>0</v>
      </c>
      <c r="U314" s="18">
        <f>Tabela32[[#This Row],[Realizadas]]/Tabela32[[#This Row],[Entregas]]</f>
        <v>1</v>
      </c>
      <c r="V314" s="19" t="str">
        <f>IF(Tabela32[[#This Row],[% Entrega]]&gt;=96%,"Atendeu a Meta","Não Atendeu a Meta")</f>
        <v>Atendeu a Meta</v>
      </c>
      <c r="W314" s="4" t="s">
        <v>39</v>
      </c>
      <c r="X314" s="4">
        <v>0</v>
      </c>
      <c r="Y314" s="5">
        <v>0</v>
      </c>
    </row>
    <row r="315" spans="1:25" x14ac:dyDescent="0.25">
      <c r="A315" s="8">
        <v>46280</v>
      </c>
      <c r="B315" s="16">
        <f>YEAR(Tabela32[[#This Row],[Data]])</f>
        <v>2026</v>
      </c>
      <c r="C315" s="16">
        <f>MONTH(Tabela32[[#This Row],[Data]])</f>
        <v>9</v>
      </c>
      <c r="D315" s="4" t="s">
        <v>22</v>
      </c>
      <c r="E315" s="4">
        <v>11</v>
      </c>
      <c r="F315" s="4" t="str">
        <f>IFERROR(VLOOKUP(Tabela32[[#This Row],[Placa]],Planilha2!$A$1:$B$12,2,0),"")</f>
        <v>Wesley</v>
      </c>
      <c r="G315" s="10">
        <v>15059.51</v>
      </c>
      <c r="H315" s="10">
        <v>244376.56</v>
      </c>
      <c r="I315" s="4">
        <v>1768</v>
      </c>
      <c r="J315" s="17">
        <f>IFERROR(Tabela32[[#This Row],[Valor Frete]]/Tabela32[[#This Row],[Valor Mercadoria]],"")</f>
        <v>6.1624199964186423E-2</v>
      </c>
      <c r="K315" s="11">
        <v>0.27083333333333331</v>
      </c>
      <c r="L315" s="15">
        <v>0.7993055555555556</v>
      </c>
      <c r="M315" s="15">
        <f>Tabela32[[#This Row],[Hr Chegada]]-Tabela32[[#This Row],[Hr Saida]]</f>
        <v>0.52847222222222223</v>
      </c>
      <c r="N315" s="4">
        <v>304633</v>
      </c>
      <c r="O315" s="4">
        <v>304774</v>
      </c>
      <c r="P315" s="4">
        <f>Tabela32[[#This Row],[Km Chegada]]-Tabela32[[#This Row],[Km Saída]]</f>
        <v>141</v>
      </c>
      <c r="Q315" s="4">
        <v>325</v>
      </c>
      <c r="R315" s="4">
        <v>51</v>
      </c>
      <c r="S315" s="4">
        <v>51</v>
      </c>
      <c r="T315" s="12">
        <f>Tabela32[[#This Row],[Entregas]]-Tabela32[[#This Row],[Realizadas]]</f>
        <v>0</v>
      </c>
      <c r="U315" s="18">
        <f>Tabela32[[#This Row],[Realizadas]]/Tabela32[[#This Row],[Entregas]]</f>
        <v>1</v>
      </c>
      <c r="V315" s="19" t="str">
        <f>IF(Tabela32[[#This Row],[% Entrega]]&gt;=96%,"Atendeu a Meta","Não Atendeu a Meta")</f>
        <v>Atendeu a Meta</v>
      </c>
      <c r="W315" s="4" t="s">
        <v>41</v>
      </c>
      <c r="X315" s="4">
        <v>0</v>
      </c>
      <c r="Y315" s="5">
        <v>0</v>
      </c>
    </row>
    <row r="316" spans="1:25" x14ac:dyDescent="0.25">
      <c r="A316" s="8">
        <v>46280</v>
      </c>
      <c r="B316" s="16">
        <f>YEAR(Tabela32[[#This Row],[Data]])</f>
        <v>2026</v>
      </c>
      <c r="C316" s="16">
        <f>MONTH(Tabela32[[#This Row],[Data]])</f>
        <v>9</v>
      </c>
      <c r="D316" s="4" t="s">
        <v>53</v>
      </c>
      <c r="E316" s="4">
        <v>2</v>
      </c>
      <c r="F316" s="4" t="str">
        <f>IFERROR(VLOOKUP(Tabela32[[#This Row],[Placa]],Planilha2!$A$1:$B$12,2,0),"")</f>
        <v>Arnaldo</v>
      </c>
      <c r="G316" s="10">
        <v>9399.57</v>
      </c>
      <c r="H316" s="10">
        <v>152021.64000000001</v>
      </c>
      <c r="I316" s="4">
        <v>2125</v>
      </c>
      <c r="J316" s="17">
        <f>IFERROR(Tabela32[[#This Row],[Valor Frete]]/Tabela32[[#This Row],[Valor Mercadoria]],"")</f>
        <v>6.1830473608888832E-2</v>
      </c>
      <c r="K316" s="11">
        <v>0.27777777777777779</v>
      </c>
      <c r="L316" s="15">
        <v>0.79861111111111116</v>
      </c>
      <c r="M316" s="15">
        <f>Tabela32[[#This Row],[Hr Chegada]]-Tabela32[[#This Row],[Hr Saida]]</f>
        <v>0.52083333333333337</v>
      </c>
      <c r="N316" s="4">
        <v>13659</v>
      </c>
      <c r="O316" s="4">
        <v>13713</v>
      </c>
      <c r="P316" s="4">
        <f>Tabela32[[#This Row],[Km Chegada]]-Tabela32[[#This Row],[Km Saída]]</f>
        <v>54</v>
      </c>
      <c r="Q316" s="4">
        <v>300</v>
      </c>
      <c r="R316" s="4">
        <v>37</v>
      </c>
      <c r="S316" s="4">
        <v>37</v>
      </c>
      <c r="T316" s="12">
        <f>Tabela32[[#This Row],[Entregas]]-Tabela32[[#This Row],[Realizadas]]</f>
        <v>0</v>
      </c>
      <c r="U316" s="18">
        <f>Tabela32[[#This Row],[Realizadas]]/Tabela32[[#This Row],[Entregas]]</f>
        <v>1</v>
      </c>
      <c r="V316" s="19" t="str">
        <f>IF(Tabela32[[#This Row],[% Entrega]]&gt;=96%,"Atendeu a Meta","Não Atendeu a Meta")</f>
        <v>Atendeu a Meta</v>
      </c>
      <c r="W316" s="4" t="s">
        <v>39</v>
      </c>
      <c r="X316" s="4">
        <v>0</v>
      </c>
      <c r="Y316" s="5">
        <v>0</v>
      </c>
    </row>
    <row r="317" spans="1:25" x14ac:dyDescent="0.25">
      <c r="A317" s="8">
        <v>46280</v>
      </c>
      <c r="B317" s="16">
        <f>YEAR(Tabela32[[#This Row],[Data]])</f>
        <v>2026</v>
      </c>
      <c r="C317" s="16">
        <f>MONTH(Tabela32[[#This Row],[Data]])</f>
        <v>9</v>
      </c>
      <c r="D317" s="4" t="s">
        <v>29</v>
      </c>
      <c r="E317" s="4">
        <v>1</v>
      </c>
      <c r="F317" s="4" t="str">
        <f>IFERROR(VLOOKUP(Tabela32[[#This Row],[Placa]],Planilha2!$A$1:$B$12,2,0),"")</f>
        <v>Sandro</v>
      </c>
      <c r="G317" s="10">
        <v>4610.2</v>
      </c>
      <c r="H317" s="10">
        <v>62316.29</v>
      </c>
      <c r="I317" s="4">
        <v>454</v>
      </c>
      <c r="J317" s="17">
        <f>IFERROR(Tabela32[[#This Row],[Valor Frete]]/Tabela32[[#This Row],[Valor Mercadoria]],"")</f>
        <v>7.3980655780374605E-2</v>
      </c>
      <c r="K317" s="11">
        <v>0.29166666666666669</v>
      </c>
      <c r="L317" s="15">
        <v>0.62847222222222221</v>
      </c>
      <c r="M317" s="15">
        <f>Tabela32[[#This Row],[Hr Chegada]]-Tabela32[[#This Row],[Hr Saida]]</f>
        <v>0.33680555555555552</v>
      </c>
      <c r="N317" s="4">
        <v>275727</v>
      </c>
      <c r="O317" s="4">
        <v>275769</v>
      </c>
      <c r="P317" s="4">
        <f>Tabela32[[#This Row],[Km Chegada]]-Tabela32[[#This Row],[Km Saída]]</f>
        <v>42</v>
      </c>
      <c r="Q317" s="4">
        <v>128</v>
      </c>
      <c r="R317" s="4">
        <v>4</v>
      </c>
      <c r="S317" s="4">
        <v>4</v>
      </c>
      <c r="T317" s="12">
        <f>Tabela32[[#This Row],[Entregas]]-Tabela32[[#This Row],[Realizadas]]</f>
        <v>0</v>
      </c>
      <c r="U317" s="18">
        <f>Tabela32[[#This Row],[Realizadas]]/Tabela32[[#This Row],[Entregas]]</f>
        <v>1</v>
      </c>
      <c r="V317" s="19" t="str">
        <f>IF(Tabela32[[#This Row],[% Entrega]]&gt;=96%,"Atendeu a Meta","Não Atendeu a Meta")</f>
        <v>Atendeu a Meta</v>
      </c>
      <c r="W317" s="4" t="s">
        <v>40</v>
      </c>
      <c r="X317" s="4">
        <v>0</v>
      </c>
      <c r="Y317" s="5">
        <v>0</v>
      </c>
    </row>
    <row r="318" spans="1:25" x14ac:dyDescent="0.25">
      <c r="A318" s="8">
        <v>46280</v>
      </c>
      <c r="B318" s="16">
        <f>YEAR(Tabela32[[#This Row],[Data]])</f>
        <v>2026</v>
      </c>
      <c r="C318" s="16">
        <f>MONTH(Tabela32[[#This Row],[Data]])</f>
        <v>9</v>
      </c>
      <c r="D318" s="4" t="s">
        <v>31</v>
      </c>
      <c r="E318" s="4">
        <v>1</v>
      </c>
      <c r="F318" s="4" t="str">
        <f>IFERROR(VLOOKUP(Tabela32[[#This Row],[Placa]],Planilha2!$A$1:$B$12,2,0),"")</f>
        <v>Jerson</v>
      </c>
      <c r="G318" s="10">
        <v>9051.34</v>
      </c>
      <c r="H318" s="10">
        <v>88336.69</v>
      </c>
      <c r="I318" s="4">
        <v>1831</v>
      </c>
      <c r="J318" s="17">
        <f>IFERROR(Tabela32[[#This Row],[Valor Frete]]/Tabela32[[#This Row],[Valor Mercadoria]],"")</f>
        <v>0.10246410636395817</v>
      </c>
      <c r="K318" s="11">
        <v>0.30555555555555558</v>
      </c>
      <c r="L318" s="15">
        <v>0.65625</v>
      </c>
      <c r="M318" s="15">
        <f>Tabela32[[#This Row],[Hr Chegada]]-Tabela32[[#This Row],[Hr Saida]]</f>
        <v>0.35069444444444442</v>
      </c>
      <c r="N318" s="4">
        <v>280560</v>
      </c>
      <c r="O318" s="4">
        <v>280603</v>
      </c>
      <c r="P318" s="4">
        <f>Tabela32[[#This Row],[Km Chegada]]-Tabela32[[#This Row],[Km Saída]]</f>
        <v>43</v>
      </c>
      <c r="Q318" s="4">
        <v>285</v>
      </c>
      <c r="R318" s="4">
        <v>12</v>
      </c>
      <c r="S318" s="4">
        <v>11</v>
      </c>
      <c r="T318" s="12">
        <f>Tabela32[[#This Row],[Entregas]]-Tabela32[[#This Row],[Realizadas]]</f>
        <v>1</v>
      </c>
      <c r="U318" s="18">
        <f>Tabela32[[#This Row],[Realizadas]]/Tabela32[[#This Row],[Entregas]]</f>
        <v>0.91666666666666663</v>
      </c>
      <c r="V318" s="19" t="str">
        <f>IF(Tabela32[[#This Row],[% Entrega]]&gt;=96%,"Atendeu a Meta","Não Atendeu a Meta")</f>
        <v>Não Atendeu a Meta</v>
      </c>
      <c r="W318" s="4" t="s">
        <v>39</v>
      </c>
      <c r="X318" s="4">
        <v>1</v>
      </c>
      <c r="Y318" s="5">
        <v>13</v>
      </c>
    </row>
    <row r="319" spans="1:25" x14ac:dyDescent="0.25">
      <c r="A319" s="8">
        <v>46280</v>
      </c>
      <c r="B319" s="16">
        <f>YEAR(Tabela32[[#This Row],[Data]])</f>
        <v>2026</v>
      </c>
      <c r="C319" s="16">
        <f>MONTH(Tabela32[[#This Row],[Data]])</f>
        <v>9</v>
      </c>
      <c r="D319" s="4" t="s">
        <v>23</v>
      </c>
      <c r="E319" s="4">
        <v>1</v>
      </c>
      <c r="F319" s="4" t="str">
        <f>IFERROR(VLOOKUP(Tabela32[[#This Row],[Placa]],Planilha2!$A$1:$B$12,2,0),"")</f>
        <v>William</v>
      </c>
      <c r="G319" s="10">
        <v>12937.47</v>
      </c>
      <c r="H319" s="10">
        <v>193243.18</v>
      </c>
      <c r="I319" s="4">
        <v>2257</v>
      </c>
      <c r="J319" s="17">
        <f>IFERROR(Tabela32[[#This Row],[Valor Frete]]/Tabela32[[#This Row],[Valor Mercadoria]],"")</f>
        <v>6.6949167365182041E-2</v>
      </c>
      <c r="K319" s="11">
        <v>0.29166666666666669</v>
      </c>
      <c r="L319" s="15">
        <v>0.76736111111111116</v>
      </c>
      <c r="M319" s="15">
        <f>Tabela32[[#This Row],[Hr Chegada]]-Tabela32[[#This Row],[Hr Saida]]</f>
        <v>0.47569444444444448</v>
      </c>
      <c r="N319" s="4">
        <v>125211</v>
      </c>
      <c r="O319" s="4">
        <v>125287</v>
      </c>
      <c r="P319" s="4">
        <f>Tabela32[[#This Row],[Km Chegada]]-Tabela32[[#This Row],[Km Saída]]</f>
        <v>76</v>
      </c>
      <c r="Q319" s="4">
        <v>280</v>
      </c>
      <c r="R319" s="4">
        <v>20</v>
      </c>
      <c r="S319" s="4">
        <v>17</v>
      </c>
      <c r="T319" s="12">
        <f>Tabela32[[#This Row],[Entregas]]-Tabela32[[#This Row],[Realizadas]]</f>
        <v>3</v>
      </c>
      <c r="U319" s="18">
        <f>Tabela32[[#This Row],[Realizadas]]/Tabela32[[#This Row],[Entregas]]</f>
        <v>0.85</v>
      </c>
      <c r="V319" s="19" t="str">
        <f>IF(Tabela32[[#This Row],[% Entrega]]&gt;=96%,"Atendeu a Meta","Não Atendeu a Meta")</f>
        <v>Não Atendeu a Meta</v>
      </c>
      <c r="W319" s="4" t="s">
        <v>43</v>
      </c>
      <c r="X319" s="4">
        <v>3</v>
      </c>
      <c r="Y319" s="5" t="s">
        <v>69</v>
      </c>
    </row>
    <row r="320" spans="1:25" x14ac:dyDescent="0.25">
      <c r="A320" s="8">
        <v>46280</v>
      </c>
      <c r="B320" s="16">
        <f>YEAR(Tabela32[[#This Row],[Data]])</f>
        <v>2026</v>
      </c>
      <c r="C320" s="16">
        <f>MONTH(Tabela32[[#This Row],[Data]])</f>
        <v>9</v>
      </c>
      <c r="D320" s="4" t="s">
        <v>33</v>
      </c>
      <c r="E320" s="4">
        <v>1</v>
      </c>
      <c r="F320" s="4" t="str">
        <f>IFERROR(VLOOKUP(Tabela32[[#This Row],[Placa]],Planilha2!$A$1:$B$12,2,0),"")</f>
        <v>Paulo</v>
      </c>
      <c r="G320" s="10">
        <v>1832.2</v>
      </c>
      <c r="H320" s="10">
        <v>85862.29</v>
      </c>
      <c r="I320" s="4">
        <v>282</v>
      </c>
      <c r="J320" s="17">
        <f>IFERROR(Tabela32[[#This Row],[Valor Frete]]/Tabela32[[#This Row],[Valor Mercadoria]],"")</f>
        <v>2.1338820569542231E-2</v>
      </c>
      <c r="K320" s="11">
        <v>0.29791666666666666</v>
      </c>
      <c r="L320" s="15">
        <v>0.70625000000000004</v>
      </c>
      <c r="M320" s="15">
        <f>Tabela32[[#This Row],[Hr Chegada]]-Tabela32[[#This Row],[Hr Saida]]</f>
        <v>0.40833333333333338</v>
      </c>
      <c r="N320" s="4">
        <v>155512</v>
      </c>
      <c r="O320" s="4">
        <v>155574</v>
      </c>
      <c r="P320" s="4">
        <f>Tabela32[[#This Row],[Km Chegada]]-Tabela32[[#This Row],[Km Saída]]</f>
        <v>62</v>
      </c>
      <c r="Q320" s="4">
        <v>145</v>
      </c>
      <c r="R320" s="4">
        <v>2</v>
      </c>
      <c r="S320" s="4">
        <v>2</v>
      </c>
      <c r="T320" s="12">
        <f>Tabela32[[#This Row],[Entregas]]-Tabela32[[#This Row],[Realizadas]]</f>
        <v>0</v>
      </c>
      <c r="U320" s="18">
        <f>Tabela32[[#This Row],[Realizadas]]/Tabela32[[#This Row],[Entregas]]</f>
        <v>1</v>
      </c>
      <c r="V320" s="19" t="str">
        <f>IF(Tabela32[[#This Row],[% Entrega]]&gt;=96%,"Atendeu a Meta","Não Atendeu a Meta")</f>
        <v>Atendeu a Meta</v>
      </c>
      <c r="W320" s="4" t="s">
        <v>40</v>
      </c>
      <c r="X320" s="4">
        <v>0</v>
      </c>
      <c r="Y320" s="5">
        <v>0</v>
      </c>
    </row>
    <row r="321" spans="1:25" x14ac:dyDescent="0.25">
      <c r="A321" s="8">
        <v>46280</v>
      </c>
      <c r="B321" s="16">
        <f>YEAR(Tabela32[[#This Row],[Data]])</f>
        <v>2026</v>
      </c>
      <c r="C321" s="16">
        <f>MONTH(Tabela32[[#This Row],[Data]])</f>
        <v>9</v>
      </c>
      <c r="D321" s="4" t="s">
        <v>27</v>
      </c>
      <c r="E321" s="4">
        <v>4</v>
      </c>
      <c r="F321" s="4" t="str">
        <f>IFERROR(VLOOKUP(Tabela32[[#This Row],[Placa]],Planilha2!$A$1:$B$12,2,0),"")</f>
        <v>Rosinaldo</v>
      </c>
      <c r="G321" s="10">
        <v>7881.64</v>
      </c>
      <c r="H321" s="10">
        <v>137881.19</v>
      </c>
      <c r="I321" s="4">
        <v>1468</v>
      </c>
      <c r="J321" s="17">
        <f>IFERROR(Tabela32[[#This Row],[Valor Frete]]/Tabela32[[#This Row],[Valor Mercadoria]],"")</f>
        <v>5.7162546972505821E-2</v>
      </c>
      <c r="K321" s="11">
        <v>0.29166666666666669</v>
      </c>
      <c r="L321" s="15">
        <v>0.7416666666666667</v>
      </c>
      <c r="M321" s="15">
        <f>Tabela32[[#This Row],[Hr Chegada]]-Tabela32[[#This Row],[Hr Saida]]</f>
        <v>0.45</v>
      </c>
      <c r="N321" s="4">
        <v>291428</v>
      </c>
      <c r="O321" s="4">
        <v>291495</v>
      </c>
      <c r="P321" s="4">
        <f>Tabela32[[#This Row],[Km Chegada]]-Tabela32[[#This Row],[Km Saída]]</f>
        <v>67</v>
      </c>
      <c r="Q321" s="4">
        <v>299</v>
      </c>
      <c r="R321" s="4">
        <v>27</v>
      </c>
      <c r="S321" s="4">
        <v>27</v>
      </c>
      <c r="T321" s="12">
        <f>Tabela32[[#This Row],[Entregas]]-Tabela32[[#This Row],[Realizadas]]</f>
        <v>0</v>
      </c>
      <c r="U321" s="18">
        <f>Tabela32[[#This Row],[Realizadas]]/Tabela32[[#This Row],[Entregas]]</f>
        <v>1</v>
      </c>
      <c r="V321" s="19" t="str">
        <f>IF(Tabela32[[#This Row],[% Entrega]]&gt;=96%,"Atendeu a Meta","Não Atendeu a Meta")</f>
        <v>Atendeu a Meta</v>
      </c>
      <c r="W321" s="4" t="s">
        <v>39</v>
      </c>
      <c r="X321" s="4">
        <v>0</v>
      </c>
      <c r="Y321" s="5">
        <v>0</v>
      </c>
    </row>
    <row r="322" spans="1:25" x14ac:dyDescent="0.25">
      <c r="A322" s="8">
        <v>46280</v>
      </c>
      <c r="B322" s="16">
        <f>YEAR(Tabela32[[#This Row],[Data]])</f>
        <v>2026</v>
      </c>
      <c r="C322" s="16">
        <f>MONTH(Tabela32[[#This Row],[Data]])</f>
        <v>9</v>
      </c>
      <c r="D322" s="4" t="s">
        <v>25</v>
      </c>
      <c r="E322" s="4">
        <v>5</v>
      </c>
      <c r="F322" s="4" t="str">
        <f>IFERROR(VLOOKUP(Tabela32[[#This Row],[Placa]],Planilha2!$A$1:$B$12,2,0),"")</f>
        <v>Gilberto</v>
      </c>
      <c r="G322" s="10">
        <v>7095.1</v>
      </c>
      <c r="H322" s="10">
        <v>90277.26</v>
      </c>
      <c r="I322" s="4">
        <v>998</v>
      </c>
      <c r="J322" s="17">
        <f>IFERROR(Tabela32[[#This Row],[Valor Frete]]/Tabela32[[#This Row],[Valor Mercadoria]],"")</f>
        <v>7.8592327680303997E-2</v>
      </c>
      <c r="K322" s="11">
        <v>0.29166666666666669</v>
      </c>
      <c r="L322" s="15">
        <v>0.72222222222222221</v>
      </c>
      <c r="M322" s="15">
        <f>Tabela32[[#This Row],[Hr Chegada]]-Tabela32[[#This Row],[Hr Saida]]</f>
        <v>0.43055555555555552</v>
      </c>
      <c r="N322" s="4">
        <v>119898</v>
      </c>
      <c r="O322" s="4">
        <v>119995</v>
      </c>
      <c r="P322" s="4">
        <f>Tabela32[[#This Row],[Km Chegada]]-Tabela32[[#This Row],[Km Saída]]</f>
        <v>97</v>
      </c>
      <c r="Q322" s="4">
        <v>203</v>
      </c>
      <c r="R322" s="4">
        <v>21</v>
      </c>
      <c r="S322" s="4">
        <v>21</v>
      </c>
      <c r="T322" s="12">
        <f>Tabela32[[#This Row],[Entregas]]-Tabela32[[#This Row],[Realizadas]]</f>
        <v>0</v>
      </c>
      <c r="U322" s="18">
        <f>Tabela32[[#This Row],[Realizadas]]/Tabela32[[#This Row],[Entregas]]</f>
        <v>1</v>
      </c>
      <c r="V322" s="19" t="str">
        <f>IF(Tabela32[[#This Row],[% Entrega]]&gt;=96%,"Atendeu a Meta","Não Atendeu a Meta")</f>
        <v>Atendeu a Meta</v>
      </c>
      <c r="W322" s="4" t="s">
        <v>39</v>
      </c>
      <c r="X322" s="4">
        <v>0</v>
      </c>
      <c r="Y322" s="5">
        <v>38</v>
      </c>
    </row>
    <row r="323" spans="1:25" x14ac:dyDescent="0.25">
      <c r="A323" s="8">
        <v>46281</v>
      </c>
      <c r="B323" s="16">
        <f>YEAR(Tabela32[[#This Row],[Data]])</f>
        <v>2026</v>
      </c>
      <c r="C323" s="16">
        <f>MONTH(Tabela32[[#This Row],[Data]])</f>
        <v>9</v>
      </c>
      <c r="D323" s="4" t="s">
        <v>36</v>
      </c>
      <c r="E323" s="4">
        <v>5</v>
      </c>
      <c r="F323" s="4" t="str">
        <f>IFERROR(VLOOKUP(Tabela32[[#This Row],[Placa]],Planilha2!$A$1:$B$12,2,0),"")</f>
        <v>Heremilton</v>
      </c>
      <c r="G323" s="10">
        <v>5872.06</v>
      </c>
      <c r="H323" s="10">
        <v>201220.86</v>
      </c>
      <c r="I323" s="4">
        <v>1865</v>
      </c>
      <c r="J323" s="17">
        <f>IFERROR(Tabela32[[#This Row],[Valor Frete]]/Tabela32[[#This Row],[Valor Mercadoria]],"")</f>
        <v>2.9182163320443023E-2</v>
      </c>
      <c r="K323" s="11">
        <v>0.27638888888888891</v>
      </c>
      <c r="L323" s="15">
        <v>0.75694444444444442</v>
      </c>
      <c r="M323" s="15">
        <f>Tabela32[[#This Row],[Hr Chegada]]-Tabela32[[#This Row],[Hr Saida]]</f>
        <v>0.48055555555555551</v>
      </c>
      <c r="N323" s="4">
        <v>365909</v>
      </c>
      <c r="O323" s="4">
        <v>366023</v>
      </c>
      <c r="P323" s="4">
        <f>Tabela32[[#This Row],[Km Chegada]]-Tabela32[[#This Row],[Km Saída]]</f>
        <v>114</v>
      </c>
      <c r="Q323" s="4">
        <v>406</v>
      </c>
      <c r="R323" s="4">
        <v>18</v>
      </c>
      <c r="S323" s="4">
        <v>18</v>
      </c>
      <c r="T323" s="12">
        <f>Tabela32[[#This Row],[Entregas]]-Tabela32[[#This Row],[Realizadas]]</f>
        <v>0</v>
      </c>
      <c r="U323" s="18">
        <f>Tabela32[[#This Row],[Realizadas]]/Tabela32[[#This Row],[Entregas]]</f>
        <v>1</v>
      </c>
      <c r="V323" s="19" t="str">
        <f>IF(Tabela32[[#This Row],[% Entrega]]&gt;=96%,"Atendeu a Meta","Não Atendeu a Meta")</f>
        <v>Atendeu a Meta</v>
      </c>
      <c r="W323" s="4" t="s">
        <v>39</v>
      </c>
      <c r="X323" s="4">
        <v>0</v>
      </c>
      <c r="Y323" s="5">
        <v>0</v>
      </c>
    </row>
    <row r="324" spans="1:25" x14ac:dyDescent="0.25">
      <c r="A324" s="8">
        <v>46281</v>
      </c>
      <c r="B324" s="16">
        <f>YEAR(Tabela32[[#This Row],[Data]])</f>
        <v>2026</v>
      </c>
      <c r="C324" s="16">
        <f>MONTH(Tabela32[[#This Row],[Data]])</f>
        <v>9</v>
      </c>
      <c r="D324" s="4" t="s">
        <v>22</v>
      </c>
      <c r="E324" s="4">
        <v>11</v>
      </c>
      <c r="F324" s="4" t="str">
        <f>IFERROR(VLOOKUP(Tabela32[[#This Row],[Placa]],Planilha2!$A$1:$B$12,2,0),"")</f>
        <v>Wesley</v>
      </c>
      <c r="G324" s="10">
        <v>13839.81</v>
      </c>
      <c r="H324" s="10">
        <v>263221.28999999998</v>
      </c>
      <c r="I324" s="4">
        <v>1370</v>
      </c>
      <c r="J324" s="17">
        <f>IFERROR(Tabela32[[#This Row],[Valor Frete]]/Tabela32[[#This Row],[Valor Mercadoria]],"")</f>
        <v>5.2578611707282494E-2</v>
      </c>
      <c r="K324" s="11">
        <v>0.27083333333333331</v>
      </c>
      <c r="L324" s="15">
        <v>0.80208333333333337</v>
      </c>
      <c r="M324" s="15">
        <f>Tabela32[[#This Row],[Hr Chegada]]-Tabela32[[#This Row],[Hr Saida]]</f>
        <v>0.53125</v>
      </c>
      <c r="N324" s="4">
        <v>304775</v>
      </c>
      <c r="O324" s="4">
        <v>304927</v>
      </c>
      <c r="P324" s="4">
        <f>Tabela32[[#This Row],[Km Chegada]]-Tabela32[[#This Row],[Km Saída]]</f>
        <v>152</v>
      </c>
      <c r="Q324" s="4">
        <v>336</v>
      </c>
      <c r="R324" s="4">
        <v>18</v>
      </c>
      <c r="S324" s="4">
        <v>18</v>
      </c>
      <c r="T324" s="12">
        <f>Tabela32[[#This Row],[Entregas]]-Tabela32[[#This Row],[Realizadas]]</f>
        <v>0</v>
      </c>
      <c r="U324" s="18">
        <f>Tabela32[[#This Row],[Realizadas]]/Tabela32[[#This Row],[Entregas]]</f>
        <v>1</v>
      </c>
      <c r="V324" s="19" t="str">
        <f>IF(Tabela32[[#This Row],[% Entrega]]&gt;=96%,"Atendeu a Meta","Não Atendeu a Meta")</f>
        <v>Atendeu a Meta</v>
      </c>
      <c r="W324" s="4" t="s">
        <v>41</v>
      </c>
      <c r="X324" s="4">
        <v>0</v>
      </c>
      <c r="Y324" s="5">
        <v>0</v>
      </c>
    </row>
    <row r="325" spans="1:25" x14ac:dyDescent="0.25">
      <c r="A325" s="8">
        <v>46281</v>
      </c>
      <c r="B325" s="16">
        <f>YEAR(Tabela32[[#This Row],[Data]])</f>
        <v>2026</v>
      </c>
      <c r="C325" s="16">
        <f>MONTH(Tabela32[[#This Row],[Data]])</f>
        <v>9</v>
      </c>
      <c r="D325" s="4" t="s">
        <v>35</v>
      </c>
      <c r="E325" s="4">
        <v>3</v>
      </c>
      <c r="F325" s="4" t="str">
        <f>IFERROR(VLOOKUP(Tabela32[[#This Row],[Placa]],Planilha2!$A$1:$B$12,2,0),"")</f>
        <v>Osvaldo</v>
      </c>
      <c r="G325" s="10">
        <v>15170.57</v>
      </c>
      <c r="H325" s="10">
        <v>176953.19</v>
      </c>
      <c r="I325" s="4">
        <v>3551</v>
      </c>
      <c r="J325" s="17">
        <f>IFERROR(Tabela32[[#This Row],[Valor Frete]]/Tabela32[[#This Row],[Valor Mercadoria]],"")</f>
        <v>8.573210802246628E-2</v>
      </c>
      <c r="K325" s="11">
        <v>0.29166666666666669</v>
      </c>
      <c r="L325" s="15">
        <v>0.78125</v>
      </c>
      <c r="M325" s="15">
        <f>Tabela32[[#This Row],[Hr Chegada]]-Tabela32[[#This Row],[Hr Saida]]</f>
        <v>0.48958333333333331</v>
      </c>
      <c r="N325" s="4">
        <v>143264</v>
      </c>
      <c r="O325" s="4">
        <v>143327</v>
      </c>
      <c r="P325" s="4">
        <f>Tabela32[[#This Row],[Km Chegada]]-Tabela32[[#This Row],[Km Saída]]</f>
        <v>63</v>
      </c>
      <c r="Q325" s="4">
        <v>258</v>
      </c>
      <c r="R325" s="4">
        <v>17</v>
      </c>
      <c r="S325" s="4">
        <v>17</v>
      </c>
      <c r="T325" s="12">
        <f>Tabela32[[#This Row],[Entregas]]-Tabela32[[#This Row],[Realizadas]]</f>
        <v>0</v>
      </c>
      <c r="U325" s="18">
        <f>Tabela32[[#This Row],[Realizadas]]/Tabela32[[#This Row],[Entregas]]</f>
        <v>1</v>
      </c>
      <c r="V325" s="19" t="str">
        <f>IF(Tabela32[[#This Row],[% Entrega]]&gt;=96%,"Atendeu a Meta","Não Atendeu a Meta")</f>
        <v>Atendeu a Meta</v>
      </c>
      <c r="W325" s="4" t="s">
        <v>39</v>
      </c>
      <c r="X325" s="4">
        <v>0</v>
      </c>
      <c r="Y325" s="5">
        <v>0</v>
      </c>
    </row>
    <row r="326" spans="1:25" x14ac:dyDescent="0.25">
      <c r="A326" s="8">
        <v>46281</v>
      </c>
      <c r="B326" s="16">
        <f>YEAR(Tabela32[[#This Row],[Data]])</f>
        <v>2026</v>
      </c>
      <c r="C326" s="16">
        <f>MONTH(Tabela32[[#This Row],[Data]])</f>
        <v>9</v>
      </c>
      <c r="D326" s="4" t="s">
        <v>53</v>
      </c>
      <c r="E326" s="4">
        <v>2</v>
      </c>
      <c r="F326" s="4" t="str">
        <f>IFERROR(VLOOKUP(Tabela32[[#This Row],[Placa]],Planilha2!$A$1:$B$12,2,0),"")</f>
        <v>Arnaldo</v>
      </c>
      <c r="G326" s="10">
        <v>7020.05</v>
      </c>
      <c r="H326" s="10">
        <v>117163.06</v>
      </c>
      <c r="I326" s="4">
        <v>1515</v>
      </c>
      <c r="J326" s="17">
        <f>IFERROR(Tabela32[[#This Row],[Valor Frete]]/Tabela32[[#This Row],[Valor Mercadoria]],"")</f>
        <v>5.9916922620491475E-2</v>
      </c>
      <c r="K326" s="11">
        <v>0.28472222222222221</v>
      </c>
      <c r="L326" s="15">
        <v>0.81597222222222221</v>
      </c>
      <c r="M326" s="15">
        <f>Tabela32[[#This Row],[Hr Chegada]]-Tabela32[[#This Row],[Hr Saida]]</f>
        <v>0.53125</v>
      </c>
      <c r="N326" s="4">
        <v>13713</v>
      </c>
      <c r="O326" s="4">
        <v>13778</v>
      </c>
      <c r="P326" s="4">
        <f>Tabela32[[#This Row],[Km Chegada]]-Tabela32[[#This Row],[Km Saída]]</f>
        <v>65</v>
      </c>
      <c r="Q326" s="4">
        <v>253</v>
      </c>
      <c r="R326" s="4">
        <v>18</v>
      </c>
      <c r="S326" s="4">
        <v>18</v>
      </c>
      <c r="T326" s="12">
        <f>Tabela32[[#This Row],[Entregas]]-Tabela32[[#This Row],[Realizadas]]</f>
        <v>0</v>
      </c>
      <c r="U326" s="18">
        <f>Tabela32[[#This Row],[Realizadas]]/Tabela32[[#This Row],[Entregas]]</f>
        <v>1</v>
      </c>
      <c r="V326" s="19" t="str">
        <f>IF(Tabela32[[#This Row],[% Entrega]]&gt;=96%,"Atendeu a Meta","Não Atendeu a Meta")</f>
        <v>Atendeu a Meta</v>
      </c>
      <c r="W326" s="4" t="s">
        <v>39</v>
      </c>
      <c r="X326" s="4">
        <v>0</v>
      </c>
      <c r="Y326" s="5">
        <v>0</v>
      </c>
    </row>
    <row r="327" spans="1:25" x14ac:dyDescent="0.25">
      <c r="A327" s="8">
        <v>46281</v>
      </c>
      <c r="B327" s="16">
        <f>YEAR(Tabela32[[#This Row],[Data]])</f>
        <v>2026</v>
      </c>
      <c r="C327" s="16">
        <f>MONTH(Tabela32[[#This Row],[Data]])</f>
        <v>9</v>
      </c>
      <c r="D327" s="4" t="s">
        <v>23</v>
      </c>
      <c r="E327" s="4">
        <v>1</v>
      </c>
      <c r="F327" s="4" t="str">
        <f>IFERROR(VLOOKUP(Tabela32[[#This Row],[Placa]],Planilha2!$A$1:$B$12,2,0),"")</f>
        <v>William</v>
      </c>
      <c r="G327" s="10">
        <v>8636.98</v>
      </c>
      <c r="H327" s="10">
        <v>106331.64</v>
      </c>
      <c r="I327" s="4">
        <v>1392</v>
      </c>
      <c r="J327" s="17">
        <f>IFERROR(Tabela32[[#This Row],[Valor Frete]]/Tabela32[[#This Row],[Valor Mercadoria]],"")</f>
        <v>8.1226810759243429E-2</v>
      </c>
      <c r="K327" s="11">
        <v>0.29166666666666669</v>
      </c>
      <c r="L327" s="15">
        <v>0.78819444444444442</v>
      </c>
      <c r="M327" s="15">
        <f>Tabela32[[#This Row],[Hr Chegada]]-Tabela32[[#This Row],[Hr Saida]]</f>
        <v>0.49652777777777773</v>
      </c>
      <c r="N327" s="4">
        <v>125387</v>
      </c>
      <c r="O327" s="4">
        <v>125456</v>
      </c>
      <c r="P327" s="4">
        <f>Tabela32[[#This Row],[Km Chegada]]-Tabela32[[#This Row],[Km Saída]]</f>
        <v>69</v>
      </c>
      <c r="Q327" s="4">
        <v>220</v>
      </c>
      <c r="R327" s="4">
        <v>21</v>
      </c>
      <c r="S327" s="4">
        <v>21</v>
      </c>
      <c r="T327" s="12">
        <f>Tabela32[[#This Row],[Entregas]]-Tabela32[[#This Row],[Realizadas]]</f>
        <v>0</v>
      </c>
      <c r="U327" s="18">
        <f>Tabela32[[#This Row],[Realizadas]]/Tabela32[[#This Row],[Entregas]]</f>
        <v>1</v>
      </c>
      <c r="V327" s="19" t="str">
        <f>IF(Tabela32[[#This Row],[% Entrega]]&gt;=96%,"Atendeu a Meta","Não Atendeu a Meta")</f>
        <v>Atendeu a Meta</v>
      </c>
      <c r="W327" s="4" t="s">
        <v>43</v>
      </c>
      <c r="X327" s="4">
        <v>0</v>
      </c>
      <c r="Y327" s="5">
        <v>0</v>
      </c>
    </row>
    <row r="328" spans="1:25" x14ac:dyDescent="0.25">
      <c r="A328" s="8">
        <v>46281</v>
      </c>
      <c r="B328" s="16">
        <f>YEAR(Tabela32[[#This Row],[Data]])</f>
        <v>2026</v>
      </c>
      <c r="C328" s="16">
        <f>MONTH(Tabela32[[#This Row],[Data]])</f>
        <v>9</v>
      </c>
      <c r="D328" s="4" t="s">
        <v>31</v>
      </c>
      <c r="E328" s="4">
        <v>1</v>
      </c>
      <c r="F328" s="4" t="str">
        <f>IFERROR(VLOOKUP(Tabela32[[#This Row],[Placa]],Planilha2!$A$1:$B$12,2,0),"")</f>
        <v>Jerson</v>
      </c>
      <c r="G328" s="10">
        <v>4901</v>
      </c>
      <c r="H328" s="10">
        <v>81792.149999999994</v>
      </c>
      <c r="I328" s="4">
        <v>1711</v>
      </c>
      <c r="J328" s="17">
        <f>IFERROR(Tabela32[[#This Row],[Valor Frete]]/Tabela32[[#This Row],[Valor Mercadoria]],"")</f>
        <v>5.9920175713684021E-2</v>
      </c>
      <c r="K328" s="11">
        <v>0.32291666666666669</v>
      </c>
      <c r="L328" s="15">
        <v>0.76041666666666663</v>
      </c>
      <c r="M328" s="15">
        <f>Tabela32[[#This Row],[Hr Chegada]]-Tabela32[[#This Row],[Hr Saida]]</f>
        <v>0.43749999999999994</v>
      </c>
      <c r="N328" s="4">
        <v>280603</v>
      </c>
      <c r="O328" s="4">
        <v>280628</v>
      </c>
      <c r="P328" s="4">
        <f>Tabela32[[#This Row],[Km Chegada]]-Tabela32[[#This Row],[Km Saída]]</f>
        <v>25</v>
      </c>
      <c r="Q328" s="4">
        <v>322</v>
      </c>
      <c r="R328" s="4">
        <v>5</v>
      </c>
      <c r="S328" s="4">
        <v>5</v>
      </c>
      <c r="T328" s="12">
        <f>Tabela32[[#This Row],[Entregas]]-Tabela32[[#This Row],[Realizadas]]</f>
        <v>0</v>
      </c>
      <c r="U328" s="18">
        <f>Tabela32[[#This Row],[Realizadas]]/Tabela32[[#This Row],[Entregas]]</f>
        <v>1</v>
      </c>
      <c r="V328" s="19" t="str">
        <f>IF(Tabela32[[#This Row],[% Entrega]]&gt;=96%,"Atendeu a Meta","Não Atendeu a Meta")</f>
        <v>Atendeu a Meta</v>
      </c>
      <c r="W328" s="4" t="s">
        <v>43</v>
      </c>
      <c r="X328" s="4">
        <v>0</v>
      </c>
      <c r="Y328" s="5">
        <v>0</v>
      </c>
    </row>
    <row r="329" spans="1:25" x14ac:dyDescent="0.25">
      <c r="A329" s="8">
        <v>46281</v>
      </c>
      <c r="B329" s="16">
        <f>YEAR(Tabela32[[#This Row],[Data]])</f>
        <v>2026</v>
      </c>
      <c r="C329" s="16">
        <f>MONTH(Tabela32[[#This Row],[Data]])</f>
        <v>9</v>
      </c>
      <c r="D329" s="4" t="s">
        <v>33</v>
      </c>
      <c r="E329" s="4">
        <v>1</v>
      </c>
      <c r="F329" s="4" t="str">
        <f>IFERROR(VLOOKUP(Tabela32[[#This Row],[Placa]],Planilha2!$A$1:$B$12,2,0),"")</f>
        <v>Paulo</v>
      </c>
      <c r="G329" s="10">
        <v>524.25</v>
      </c>
      <c r="H329" s="10">
        <v>6389.52</v>
      </c>
      <c r="I329" s="4">
        <v>13</v>
      </c>
      <c r="J329" s="17">
        <f>IFERROR(Tabela32[[#This Row],[Valor Frete]]/Tabela32[[#This Row],[Valor Mercadoria]],"")</f>
        <v>8.2048416782481301E-2</v>
      </c>
      <c r="K329" s="11">
        <v>0.29305555555555557</v>
      </c>
      <c r="L329" s="15">
        <v>0.57986111111111116</v>
      </c>
      <c r="M329" s="15">
        <f>Tabela32[[#This Row],[Hr Chegada]]-Tabela32[[#This Row],[Hr Saida]]</f>
        <v>0.28680555555555559</v>
      </c>
      <c r="N329" s="4">
        <v>155574</v>
      </c>
      <c r="O329" s="4">
        <v>155604</v>
      </c>
      <c r="P329" s="4">
        <f>Tabela32[[#This Row],[Km Chegada]]-Tabela32[[#This Row],[Km Saída]]</f>
        <v>30</v>
      </c>
      <c r="Q329" s="4">
        <v>6</v>
      </c>
      <c r="R329" s="4">
        <v>1</v>
      </c>
      <c r="S329" s="4">
        <v>1</v>
      </c>
      <c r="T329" s="12">
        <f>Tabela32[[#This Row],[Entregas]]-Tabela32[[#This Row],[Realizadas]]</f>
        <v>0</v>
      </c>
      <c r="U329" s="18">
        <f>Tabela32[[#This Row],[Realizadas]]/Tabela32[[#This Row],[Entregas]]</f>
        <v>1</v>
      </c>
      <c r="V329" s="19" t="str">
        <f>IF(Tabela32[[#This Row],[% Entrega]]&gt;=96%,"Atendeu a Meta","Não Atendeu a Meta")</f>
        <v>Atendeu a Meta</v>
      </c>
      <c r="W329" s="4" t="s">
        <v>40</v>
      </c>
      <c r="X329" s="4">
        <v>0</v>
      </c>
      <c r="Y329" s="5">
        <v>0</v>
      </c>
    </row>
    <row r="330" spans="1:25" x14ac:dyDescent="0.25">
      <c r="A330" s="8">
        <v>46281</v>
      </c>
      <c r="B330" s="16">
        <f>YEAR(Tabela32[[#This Row],[Data]])</f>
        <v>2026</v>
      </c>
      <c r="C330" s="16">
        <f>MONTH(Tabela32[[#This Row],[Data]])</f>
        <v>9</v>
      </c>
      <c r="D330" s="4" t="s">
        <v>28</v>
      </c>
      <c r="E330" s="4">
        <v>3</v>
      </c>
      <c r="F330" s="4" t="str">
        <f>IFERROR(VLOOKUP(Tabela32[[#This Row],[Placa]],Planilha2!$A$1:$B$12,2,0),"")</f>
        <v>Edilson</v>
      </c>
      <c r="G330" s="10">
        <v>16100.79</v>
      </c>
      <c r="H330" s="10">
        <v>48925.7</v>
      </c>
      <c r="I330" s="4">
        <v>7239</v>
      </c>
      <c r="J330" s="17">
        <f>IFERROR(Tabela32[[#This Row],[Valor Frete]]/Tabela32[[#This Row],[Valor Mercadoria]],"")</f>
        <v>0.32908655369264012</v>
      </c>
      <c r="K330" s="11">
        <v>0.29166666666666669</v>
      </c>
      <c r="L330" s="15">
        <v>0.66666666666666663</v>
      </c>
      <c r="M330" s="15">
        <f>Tabela32[[#This Row],[Hr Chegada]]-Tabela32[[#This Row],[Hr Saida]]</f>
        <v>0.37499999999999994</v>
      </c>
      <c r="N330" s="4">
        <v>105668</v>
      </c>
      <c r="O330" s="4">
        <v>105705</v>
      </c>
      <c r="P330" s="4">
        <f>Tabela32[[#This Row],[Km Chegada]]-Tabela32[[#This Row],[Km Saída]]</f>
        <v>37</v>
      </c>
      <c r="Q330" s="4">
        <v>122</v>
      </c>
      <c r="R330" s="4">
        <v>3</v>
      </c>
      <c r="S330" s="4">
        <v>3</v>
      </c>
      <c r="T330" s="12">
        <f>Tabela32[[#This Row],[Entregas]]-Tabela32[[#This Row],[Realizadas]]</f>
        <v>0</v>
      </c>
      <c r="U330" s="18">
        <f>Tabela32[[#This Row],[Realizadas]]/Tabela32[[#This Row],[Entregas]]</f>
        <v>1</v>
      </c>
      <c r="V330" s="19" t="str">
        <f>IF(Tabela32[[#This Row],[% Entrega]]&gt;=96%,"Atendeu a Meta","Não Atendeu a Meta")</f>
        <v>Atendeu a Meta</v>
      </c>
      <c r="W330" s="4" t="s">
        <v>39</v>
      </c>
      <c r="X330" s="4">
        <v>0</v>
      </c>
      <c r="Y330" s="5">
        <v>0</v>
      </c>
    </row>
    <row r="331" spans="1:25" x14ac:dyDescent="0.25">
      <c r="A331" s="8">
        <v>46281</v>
      </c>
      <c r="B331" s="16">
        <f>YEAR(Tabela32[[#This Row],[Data]])</f>
        <v>2026</v>
      </c>
      <c r="C331" s="16">
        <f>MONTH(Tabela32[[#This Row],[Data]])</f>
        <v>9</v>
      </c>
      <c r="D331" s="4" t="s">
        <v>25</v>
      </c>
      <c r="E331" s="4">
        <v>5</v>
      </c>
      <c r="F331" s="4" t="str">
        <f>IFERROR(VLOOKUP(Tabela32[[#This Row],[Placa]],Planilha2!$A$1:$B$12,2,0),"")</f>
        <v>Gilberto</v>
      </c>
      <c r="G331" s="10">
        <v>5277.99</v>
      </c>
      <c r="H331" s="10">
        <v>140605.03</v>
      </c>
      <c r="I331" s="4">
        <v>853</v>
      </c>
      <c r="J331" s="17">
        <f>IFERROR(Tabela32[[#This Row],[Valor Frete]]/Tabela32[[#This Row],[Valor Mercadoria]],"")</f>
        <v>3.7537704020972791E-2</v>
      </c>
      <c r="K331" s="11">
        <v>0.29166666666666669</v>
      </c>
      <c r="L331" s="15">
        <v>0.70833333333333337</v>
      </c>
      <c r="M331" s="15">
        <f>Tabela32[[#This Row],[Hr Chegada]]-Tabela32[[#This Row],[Hr Saida]]</f>
        <v>0.41666666666666669</v>
      </c>
      <c r="N331" s="4">
        <v>119995</v>
      </c>
      <c r="O331" s="4">
        <v>120091</v>
      </c>
      <c r="P331" s="4">
        <f>Tabela32[[#This Row],[Km Chegada]]-Tabela32[[#This Row],[Km Saída]]</f>
        <v>96</v>
      </c>
      <c r="Q331" s="4">
        <v>181</v>
      </c>
      <c r="R331" s="4">
        <v>18</v>
      </c>
      <c r="S331" s="4">
        <v>18</v>
      </c>
      <c r="T331" s="12">
        <f>Tabela32[[#This Row],[Entregas]]-Tabela32[[#This Row],[Realizadas]]</f>
        <v>0</v>
      </c>
      <c r="U331" s="18">
        <f>Tabela32[[#This Row],[Realizadas]]/Tabela32[[#This Row],[Entregas]]</f>
        <v>1</v>
      </c>
      <c r="V331" s="19" t="str">
        <f>IF(Tabela32[[#This Row],[% Entrega]]&gt;=96%,"Atendeu a Meta","Não Atendeu a Meta")</f>
        <v>Atendeu a Meta</v>
      </c>
      <c r="W331" s="4" t="s">
        <v>39</v>
      </c>
      <c r="X331" s="4">
        <v>0</v>
      </c>
      <c r="Y331" s="5">
        <v>0</v>
      </c>
    </row>
    <row r="332" spans="1:25" x14ac:dyDescent="0.25">
      <c r="A332" s="8">
        <v>46281</v>
      </c>
      <c r="B332" s="16">
        <f>YEAR(Tabela32[[#This Row],[Data]])</f>
        <v>2026</v>
      </c>
      <c r="C332" s="16">
        <f>MONTH(Tabela32[[#This Row],[Data]])</f>
        <v>9</v>
      </c>
      <c r="D332" s="4" t="s">
        <v>29</v>
      </c>
      <c r="E332" s="4">
        <v>1</v>
      </c>
      <c r="F332" s="4" t="str">
        <f>IFERROR(VLOOKUP(Tabela32[[#This Row],[Placa]],Planilha2!$A$1:$B$12,2,0),"")</f>
        <v>Sandro</v>
      </c>
      <c r="G332" s="10">
        <v>2603.98</v>
      </c>
      <c r="H332" s="10">
        <v>52384.78</v>
      </c>
      <c r="I332" s="4">
        <v>199</v>
      </c>
      <c r="J332" s="17">
        <f>IFERROR(Tabela32[[#This Row],[Valor Frete]]/Tabela32[[#This Row],[Valor Mercadoria]],"")</f>
        <v>4.9708713103309779E-2</v>
      </c>
      <c r="K332" s="11">
        <v>0.3125</v>
      </c>
      <c r="L332" s="15">
        <v>0.72222222222222221</v>
      </c>
      <c r="M332" s="15">
        <f>Tabela32[[#This Row],[Hr Chegada]]-Tabela32[[#This Row],[Hr Saida]]</f>
        <v>0.40972222222222221</v>
      </c>
      <c r="N332" s="4">
        <v>275769</v>
      </c>
      <c r="O332" s="4">
        <v>275868</v>
      </c>
      <c r="P332" s="4">
        <f>Tabela32[[#This Row],[Km Chegada]]-Tabela32[[#This Row],[Km Saída]]</f>
        <v>99</v>
      </c>
      <c r="Q332" s="4">
        <v>47</v>
      </c>
      <c r="R332" s="4">
        <v>2</v>
      </c>
      <c r="S332" s="4">
        <v>2</v>
      </c>
      <c r="T332" s="12">
        <f>Tabela32[[#This Row],[Entregas]]-Tabela32[[#This Row],[Realizadas]]</f>
        <v>0</v>
      </c>
      <c r="U332" s="18">
        <f>Tabela32[[#This Row],[Realizadas]]/Tabela32[[#This Row],[Entregas]]</f>
        <v>1</v>
      </c>
      <c r="V332" s="19" t="str">
        <f>IF(Tabela32[[#This Row],[% Entrega]]&gt;=96%,"Atendeu a Meta","Não Atendeu a Meta")</f>
        <v>Atendeu a Meta</v>
      </c>
      <c r="W332" s="4" t="s">
        <v>40</v>
      </c>
      <c r="X332" s="4">
        <v>0</v>
      </c>
      <c r="Y332" s="5">
        <v>0</v>
      </c>
    </row>
    <row r="333" spans="1:25" x14ac:dyDescent="0.25">
      <c r="A333" s="8">
        <v>46282</v>
      </c>
      <c r="B333" s="16">
        <f>YEAR(Tabela32[[#This Row],[Data]])</f>
        <v>2026</v>
      </c>
      <c r="C333" s="16">
        <f>MONTH(Tabela32[[#This Row],[Data]])</f>
        <v>9</v>
      </c>
      <c r="D333" s="4" t="s">
        <v>23</v>
      </c>
      <c r="E333" s="4">
        <v>1</v>
      </c>
      <c r="F333" s="4" t="str">
        <f>IFERROR(VLOOKUP(Tabela32[[#This Row],[Placa]],Planilha2!$A$1:$B$12,2,0),"")</f>
        <v>William</v>
      </c>
      <c r="G333" s="10">
        <v>5521.26</v>
      </c>
      <c r="H333" s="10">
        <v>129596.87</v>
      </c>
      <c r="I333" s="4">
        <v>1034</v>
      </c>
      <c r="J333" s="17">
        <f>IFERROR(Tabela32[[#This Row],[Valor Frete]]/Tabela32[[#This Row],[Valor Mercadoria]],"")</f>
        <v>4.2603343738162817E-2</v>
      </c>
      <c r="K333" s="11">
        <v>0.29166666666666669</v>
      </c>
      <c r="L333" s="15">
        <v>0.67708333333333337</v>
      </c>
      <c r="M333" s="15">
        <f>Tabela32[[#This Row],[Hr Chegada]]-Tabela32[[#This Row],[Hr Saida]]</f>
        <v>0.38541666666666669</v>
      </c>
      <c r="N333" s="4">
        <v>125456</v>
      </c>
      <c r="O333" s="4">
        <v>125509</v>
      </c>
      <c r="P333" s="4">
        <f>Tabela32[[#This Row],[Km Chegada]]-Tabela32[[#This Row],[Km Saída]]</f>
        <v>53</v>
      </c>
      <c r="Q333" s="4">
        <v>343</v>
      </c>
      <c r="R333" s="4">
        <v>6</v>
      </c>
      <c r="S333" s="4">
        <v>6</v>
      </c>
      <c r="T333" s="12">
        <f>Tabela32[[#This Row],[Entregas]]-Tabela32[[#This Row],[Realizadas]]</f>
        <v>0</v>
      </c>
      <c r="U333" s="18">
        <f>Tabela32[[#This Row],[Realizadas]]/Tabela32[[#This Row],[Entregas]]</f>
        <v>1</v>
      </c>
      <c r="V333" s="19" t="str">
        <f>IF(Tabela32[[#This Row],[% Entrega]]&gt;=96%,"Atendeu a Meta","Não Atendeu a Meta")</f>
        <v>Atendeu a Meta</v>
      </c>
      <c r="W333" s="4" t="s">
        <v>40</v>
      </c>
      <c r="X333" s="4">
        <v>0</v>
      </c>
      <c r="Y333" s="5">
        <v>0</v>
      </c>
    </row>
    <row r="334" spans="1:25" x14ac:dyDescent="0.25">
      <c r="A334" s="8">
        <v>46282</v>
      </c>
      <c r="B334" s="16">
        <f>YEAR(Tabela32[[#This Row],[Data]])</f>
        <v>2026</v>
      </c>
      <c r="C334" s="16">
        <f>MONTH(Tabela32[[#This Row],[Data]])</f>
        <v>9</v>
      </c>
      <c r="D334" s="4" t="s">
        <v>22</v>
      </c>
      <c r="E334" s="4">
        <v>11</v>
      </c>
      <c r="F334" s="4" t="str">
        <f>IFERROR(VLOOKUP(Tabela32[[#This Row],[Placa]],Planilha2!$A$1:$B$12,2,0),"")</f>
        <v>Wesley</v>
      </c>
      <c r="G334" s="10">
        <v>12275.41</v>
      </c>
      <c r="H334" s="10">
        <v>140685.51</v>
      </c>
      <c r="I334" s="4">
        <v>1206</v>
      </c>
      <c r="J334" s="17">
        <f>IFERROR(Tabela32[[#This Row],[Valor Frete]]/Tabela32[[#This Row],[Valor Mercadoria]],"")</f>
        <v>8.725425951826879E-2</v>
      </c>
      <c r="K334" s="11">
        <v>0.27083333333333331</v>
      </c>
      <c r="L334" s="15">
        <v>0.77083333333333337</v>
      </c>
      <c r="M334" s="15">
        <f>Tabela32[[#This Row],[Hr Chegada]]-Tabela32[[#This Row],[Hr Saida]]</f>
        <v>0.5</v>
      </c>
      <c r="N334" s="4">
        <v>304927</v>
      </c>
      <c r="O334" s="4">
        <v>305081</v>
      </c>
      <c r="P334" s="4">
        <f>Tabela32[[#This Row],[Km Chegada]]-Tabela32[[#This Row],[Km Saída]]</f>
        <v>154</v>
      </c>
      <c r="Q334" s="4">
        <v>296</v>
      </c>
      <c r="R334" s="4">
        <v>34</v>
      </c>
      <c r="S334" s="4">
        <v>34</v>
      </c>
      <c r="T334" s="12">
        <f>Tabela32[[#This Row],[Entregas]]-Tabela32[[#This Row],[Realizadas]]</f>
        <v>0</v>
      </c>
      <c r="U334" s="18">
        <f>Tabela32[[#This Row],[Realizadas]]/Tabela32[[#This Row],[Entregas]]</f>
        <v>1</v>
      </c>
      <c r="V334" s="19" t="str">
        <f>IF(Tabela32[[#This Row],[% Entrega]]&gt;=96%,"Atendeu a Meta","Não Atendeu a Meta")</f>
        <v>Atendeu a Meta</v>
      </c>
      <c r="W334" s="4" t="s">
        <v>41</v>
      </c>
      <c r="X334" s="4">
        <v>0</v>
      </c>
      <c r="Y334" s="5">
        <v>0</v>
      </c>
    </row>
    <row r="335" spans="1:25" x14ac:dyDescent="0.25">
      <c r="A335" s="8">
        <v>46282</v>
      </c>
      <c r="B335" s="16">
        <f>YEAR(Tabela32[[#This Row],[Data]])</f>
        <v>2026</v>
      </c>
      <c r="C335" s="16">
        <f>MONTH(Tabela32[[#This Row],[Data]])</f>
        <v>9</v>
      </c>
      <c r="D335" s="4" t="s">
        <v>25</v>
      </c>
      <c r="E335" s="4">
        <v>5</v>
      </c>
      <c r="F335" s="4" t="str">
        <f>IFERROR(VLOOKUP(Tabela32[[#This Row],[Placa]],Planilha2!$A$1:$B$12,2,0),"")</f>
        <v>Gilberto</v>
      </c>
      <c r="G335" s="10">
        <v>8076.38</v>
      </c>
      <c r="H335" s="10">
        <v>293775.09999999998</v>
      </c>
      <c r="I335" s="4">
        <v>2323</v>
      </c>
      <c r="J335" s="17">
        <f>IFERROR(Tabela32[[#This Row],[Valor Frete]]/Tabela32[[#This Row],[Valor Mercadoria]],"")</f>
        <v>2.7491710495545746E-2</v>
      </c>
      <c r="K335" s="11">
        <v>0.29166666666666669</v>
      </c>
      <c r="L335" s="15">
        <v>0.67013888888888884</v>
      </c>
      <c r="M335" s="15">
        <f>Tabela32[[#This Row],[Hr Chegada]]-Tabela32[[#This Row],[Hr Saida]]</f>
        <v>0.37847222222222215</v>
      </c>
      <c r="N335" s="4">
        <v>120091</v>
      </c>
      <c r="O335" s="4">
        <v>120139</v>
      </c>
      <c r="P335" s="4">
        <f>Tabela32[[#This Row],[Km Chegada]]-Tabela32[[#This Row],[Km Saída]]</f>
        <v>48</v>
      </c>
      <c r="Q335" s="4">
        <v>349</v>
      </c>
      <c r="R335" s="4">
        <v>3</v>
      </c>
      <c r="S335" s="4">
        <v>3</v>
      </c>
      <c r="T335" s="12">
        <f>Tabela32[[#This Row],[Entregas]]-Tabela32[[#This Row],[Realizadas]]</f>
        <v>0</v>
      </c>
      <c r="U335" s="18">
        <f>Tabela32[[#This Row],[Realizadas]]/Tabela32[[#This Row],[Entregas]]</f>
        <v>1</v>
      </c>
      <c r="V335" s="19" t="str">
        <f>IF(Tabela32[[#This Row],[% Entrega]]&gt;=96%,"Atendeu a Meta","Não Atendeu a Meta")</f>
        <v>Atendeu a Meta</v>
      </c>
      <c r="W335" s="4" t="s">
        <v>39</v>
      </c>
      <c r="X335" s="4">
        <v>0</v>
      </c>
      <c r="Y335" s="5">
        <v>0</v>
      </c>
    </row>
    <row r="336" spans="1:25" x14ac:dyDescent="0.25">
      <c r="A336" s="8">
        <v>46282</v>
      </c>
      <c r="B336" s="16">
        <f>YEAR(Tabela32[[#This Row],[Data]])</f>
        <v>2026</v>
      </c>
      <c r="C336" s="16">
        <f>MONTH(Tabela32[[#This Row],[Data]])</f>
        <v>9</v>
      </c>
      <c r="D336" s="4" t="s">
        <v>37</v>
      </c>
      <c r="E336" s="4">
        <v>1</v>
      </c>
      <c r="F336" s="4" t="str">
        <f>IFERROR(VLOOKUP(Tabela32[[#This Row],[Placa]],Planilha2!$A$1:$B$12,2,0),"")</f>
        <v>Manoel</v>
      </c>
      <c r="G336" s="10">
        <v>358.18</v>
      </c>
      <c r="H336" s="10">
        <v>2455.2399999999998</v>
      </c>
      <c r="I336" s="4">
        <v>25</v>
      </c>
      <c r="J336" s="17">
        <f>IFERROR(Tabela32[[#This Row],[Valor Frete]]/Tabela32[[#This Row],[Valor Mercadoria]],"")</f>
        <v>0.14588390544305244</v>
      </c>
      <c r="K336" s="11">
        <v>0.375</v>
      </c>
      <c r="L336" s="15">
        <v>0.5</v>
      </c>
      <c r="M336" s="15">
        <f>Tabela32[[#This Row],[Hr Chegada]]-Tabela32[[#This Row],[Hr Saida]]</f>
        <v>0.125</v>
      </c>
      <c r="N336" s="4">
        <v>12285</v>
      </c>
      <c r="O336" s="4">
        <v>12305</v>
      </c>
      <c r="P336" s="4">
        <f>Tabela32[[#This Row],[Km Chegada]]-Tabela32[[#This Row],[Km Saída]]</f>
        <v>20</v>
      </c>
      <c r="Q336" s="4">
        <v>1</v>
      </c>
      <c r="R336" s="4">
        <v>1</v>
      </c>
      <c r="S336" s="4">
        <v>1</v>
      </c>
      <c r="T336" s="12">
        <f>Tabela32[[#This Row],[Entregas]]-Tabela32[[#This Row],[Realizadas]]</f>
        <v>0</v>
      </c>
      <c r="U336" s="18">
        <f>Tabela32[[#This Row],[Realizadas]]/Tabela32[[#This Row],[Entregas]]</f>
        <v>1</v>
      </c>
      <c r="V336" s="19" t="str">
        <f>IF(Tabela32[[#This Row],[% Entrega]]&gt;=96%,"Atendeu a Meta","Não Atendeu a Meta")</f>
        <v>Atendeu a Meta</v>
      </c>
      <c r="W336" s="4" t="s">
        <v>43</v>
      </c>
      <c r="X336" s="4">
        <v>0</v>
      </c>
      <c r="Y336" s="5">
        <v>0</v>
      </c>
    </row>
    <row r="337" spans="1:25" x14ac:dyDescent="0.25">
      <c r="A337" s="8">
        <v>46282</v>
      </c>
      <c r="B337" s="16">
        <f>YEAR(Tabela32[[#This Row],[Data]])</f>
        <v>2026</v>
      </c>
      <c r="C337" s="16">
        <f>MONTH(Tabela32[[#This Row],[Data]])</f>
        <v>9</v>
      </c>
      <c r="D337" s="4" t="s">
        <v>35</v>
      </c>
      <c r="E337" s="4">
        <v>3</v>
      </c>
      <c r="F337" s="4" t="str">
        <f>IFERROR(VLOOKUP(Tabela32[[#This Row],[Placa]],Planilha2!$A$1:$B$12,2,0),"")</f>
        <v>Osvaldo</v>
      </c>
      <c r="G337" s="10">
        <v>8813.31</v>
      </c>
      <c r="H337" s="10">
        <v>242834.71</v>
      </c>
      <c r="I337" s="4">
        <v>32</v>
      </c>
      <c r="J337" s="17">
        <f>IFERROR(Tabela32[[#This Row],[Valor Frete]]/Tabela32[[#This Row],[Valor Mercadoria]],"")</f>
        <v>3.6293452447551666E-2</v>
      </c>
      <c r="K337" s="11">
        <v>0.30555555555555558</v>
      </c>
      <c r="L337" s="15">
        <v>0.72638888888888886</v>
      </c>
      <c r="M337" s="15">
        <f>Tabela32[[#This Row],[Hr Chegada]]-Tabela32[[#This Row],[Hr Saida]]</f>
        <v>0.42083333333333328</v>
      </c>
      <c r="N337" s="4">
        <v>143337</v>
      </c>
      <c r="O337" s="4">
        <v>143392</v>
      </c>
      <c r="P337" s="4">
        <f>Tabela32[[#This Row],[Km Chegada]]-Tabela32[[#This Row],[Km Saída]]</f>
        <v>55</v>
      </c>
      <c r="Q337" s="4">
        <v>233</v>
      </c>
      <c r="R337" s="4">
        <v>32</v>
      </c>
      <c r="S337" s="4">
        <v>31</v>
      </c>
      <c r="T337" s="12">
        <f>Tabela32[[#This Row],[Entregas]]-Tabela32[[#This Row],[Realizadas]]</f>
        <v>1</v>
      </c>
      <c r="U337" s="18">
        <f>Tabela32[[#This Row],[Realizadas]]/Tabela32[[#This Row],[Entregas]]</f>
        <v>0.96875</v>
      </c>
      <c r="V337" s="19" t="str">
        <f>IF(Tabela32[[#This Row],[% Entrega]]&gt;=96%,"Atendeu a Meta","Não Atendeu a Meta")</f>
        <v>Atendeu a Meta</v>
      </c>
      <c r="W337" s="4" t="s">
        <v>39</v>
      </c>
      <c r="X337" s="4">
        <v>1</v>
      </c>
      <c r="Y337" s="5">
        <v>13</v>
      </c>
    </row>
    <row r="338" spans="1:25" x14ac:dyDescent="0.25">
      <c r="A338" s="8">
        <v>46282</v>
      </c>
      <c r="B338" s="16">
        <f>YEAR(Tabela32[[#This Row],[Data]])</f>
        <v>2026</v>
      </c>
      <c r="C338" s="16">
        <f>MONTH(Tabela32[[#This Row],[Data]])</f>
        <v>9</v>
      </c>
      <c r="D338" s="4" t="s">
        <v>28</v>
      </c>
      <c r="E338" s="4">
        <v>5</v>
      </c>
      <c r="F338" s="4" t="str">
        <f>IFERROR(VLOOKUP(Tabela32[[#This Row],[Placa]],Planilha2!$A$1:$B$12,2,0),"")</f>
        <v>Edilson</v>
      </c>
      <c r="G338" s="10">
        <v>16075.23</v>
      </c>
      <c r="H338" s="10">
        <v>107067.52</v>
      </c>
      <c r="I338" s="4">
        <v>7073</v>
      </c>
      <c r="J338" s="17">
        <f>IFERROR(Tabela32[[#This Row],[Valor Frete]]/Tabela32[[#This Row],[Valor Mercadoria]],"")</f>
        <v>0.15014105117966681</v>
      </c>
      <c r="K338" s="11">
        <v>0.27083333333333331</v>
      </c>
      <c r="L338" s="15">
        <v>0.66180555555555554</v>
      </c>
      <c r="M338" s="15">
        <f>Tabela32[[#This Row],[Hr Chegada]]-Tabela32[[#This Row],[Hr Saida]]</f>
        <v>0.39097222222222222</v>
      </c>
      <c r="N338" s="4">
        <v>105705</v>
      </c>
      <c r="O338" s="4">
        <v>105750</v>
      </c>
      <c r="P338" s="4">
        <f>Tabela32[[#This Row],[Km Chegada]]-Tabela32[[#This Row],[Km Saída]]</f>
        <v>45</v>
      </c>
      <c r="Q338" s="4">
        <v>543</v>
      </c>
      <c r="R338" s="4">
        <v>3</v>
      </c>
      <c r="S338" s="4">
        <v>3</v>
      </c>
      <c r="T338" s="12">
        <f>Tabela32[[#This Row],[Entregas]]-Tabela32[[#This Row],[Realizadas]]</f>
        <v>0</v>
      </c>
      <c r="U338" s="18">
        <f>Tabela32[[#This Row],[Realizadas]]/Tabela32[[#This Row],[Entregas]]</f>
        <v>1</v>
      </c>
      <c r="V338" s="19" t="str">
        <f>IF(Tabela32[[#This Row],[% Entrega]]&gt;=96%,"Atendeu a Meta","Não Atendeu a Meta")</f>
        <v>Atendeu a Meta</v>
      </c>
      <c r="W338" s="4" t="s">
        <v>39</v>
      </c>
      <c r="X338" s="4">
        <v>0</v>
      </c>
      <c r="Y338" s="5">
        <v>38</v>
      </c>
    </row>
    <row r="339" spans="1:25" x14ac:dyDescent="0.25">
      <c r="A339" s="8">
        <v>46282</v>
      </c>
      <c r="B339" s="16">
        <f>YEAR(Tabela32[[#This Row],[Data]])</f>
        <v>2026</v>
      </c>
      <c r="C339" s="16">
        <f>MONTH(Tabela32[[#This Row],[Data]])</f>
        <v>9</v>
      </c>
      <c r="D339" s="4" t="s">
        <v>53</v>
      </c>
      <c r="E339" s="4">
        <v>2</v>
      </c>
      <c r="F339" s="4" t="str">
        <f>IFERROR(VLOOKUP(Tabela32[[#This Row],[Placa]],Planilha2!$A$1:$B$12,2,0),"")</f>
        <v>Arnaldo</v>
      </c>
      <c r="G339" s="10">
        <v>10916.48</v>
      </c>
      <c r="H339" s="10">
        <v>227108.77</v>
      </c>
      <c r="I339" s="4">
        <v>1530</v>
      </c>
      <c r="J339" s="17">
        <f>IFERROR(Tabela32[[#This Row],[Valor Frete]]/Tabela32[[#This Row],[Valor Mercadoria]],"")</f>
        <v>4.8067188246407218E-2</v>
      </c>
      <c r="K339" s="11">
        <v>0.28125</v>
      </c>
      <c r="L339" s="15">
        <v>0.83680555555555558</v>
      </c>
      <c r="M339" s="15">
        <f>Tabela32[[#This Row],[Hr Chegada]]-Tabela32[[#This Row],[Hr Saida]]</f>
        <v>0.55555555555555558</v>
      </c>
      <c r="N339" s="4">
        <v>13778</v>
      </c>
      <c r="O339" s="4">
        <v>13855</v>
      </c>
      <c r="P339" s="4">
        <f>Tabela32[[#This Row],[Km Chegada]]-Tabela32[[#This Row],[Km Saída]]</f>
        <v>77</v>
      </c>
      <c r="Q339" s="4">
        <v>254</v>
      </c>
      <c r="R339" s="4">
        <v>40</v>
      </c>
      <c r="S339" s="4">
        <v>40</v>
      </c>
      <c r="T339" s="12">
        <f>Tabela32[[#This Row],[Entregas]]-Tabela32[[#This Row],[Realizadas]]</f>
        <v>0</v>
      </c>
      <c r="U339" s="18">
        <f>Tabela32[[#This Row],[Realizadas]]/Tabela32[[#This Row],[Entregas]]</f>
        <v>1</v>
      </c>
      <c r="V339" s="19" t="str">
        <f>IF(Tabela32[[#This Row],[% Entrega]]&gt;=96%,"Atendeu a Meta","Não Atendeu a Meta")</f>
        <v>Atendeu a Meta</v>
      </c>
      <c r="W339" s="4" t="s">
        <v>39</v>
      </c>
      <c r="X339" s="4">
        <v>0</v>
      </c>
      <c r="Y339" s="5" t="s">
        <v>82</v>
      </c>
    </row>
    <row r="340" spans="1:25" x14ac:dyDescent="0.25">
      <c r="A340" s="8">
        <v>46282</v>
      </c>
      <c r="B340" s="16">
        <f>YEAR(Tabela32[[#This Row],[Data]])</f>
        <v>2026</v>
      </c>
      <c r="C340" s="16">
        <f>MONTH(Tabela32[[#This Row],[Data]])</f>
        <v>9</v>
      </c>
      <c r="D340" s="4" t="s">
        <v>31</v>
      </c>
      <c r="E340" s="4">
        <v>1</v>
      </c>
      <c r="F340" s="4" t="str">
        <f>IFERROR(VLOOKUP(Tabela32[[#This Row],[Placa]],Planilha2!$A$1:$B$12,2,0),"")</f>
        <v>Jerson</v>
      </c>
      <c r="G340" s="10">
        <v>1935.41</v>
      </c>
      <c r="H340" s="10">
        <v>95702.02</v>
      </c>
      <c r="I340" s="4">
        <v>207</v>
      </c>
      <c r="J340" s="17">
        <f>IFERROR(Tabela32[[#This Row],[Valor Frete]]/Tabela32[[#This Row],[Valor Mercadoria]],"")</f>
        <v>2.0223293092455102E-2</v>
      </c>
      <c r="K340" s="11">
        <v>0.2986111111111111</v>
      </c>
      <c r="L340" s="15">
        <v>0.62986111111111109</v>
      </c>
      <c r="M340" s="15">
        <f>Tabela32[[#This Row],[Hr Chegada]]-Tabela32[[#This Row],[Hr Saida]]</f>
        <v>0.33124999999999999</v>
      </c>
      <c r="N340" s="4">
        <v>280628</v>
      </c>
      <c r="O340" s="4">
        <v>280667</v>
      </c>
      <c r="P340" s="4">
        <f>Tabela32[[#This Row],[Km Chegada]]-Tabela32[[#This Row],[Km Saída]]</f>
        <v>39</v>
      </c>
      <c r="Q340" s="4">
        <v>1</v>
      </c>
      <c r="R340" s="4">
        <v>1</v>
      </c>
      <c r="S340" s="4">
        <v>1</v>
      </c>
      <c r="T340" s="12">
        <f>Tabela32[[#This Row],[Entregas]]-Tabela32[[#This Row],[Realizadas]]</f>
        <v>0</v>
      </c>
      <c r="U340" s="18">
        <f>Tabela32[[#This Row],[Realizadas]]/Tabela32[[#This Row],[Entregas]]</f>
        <v>1</v>
      </c>
      <c r="V340" s="19" t="str">
        <f>IF(Tabela32[[#This Row],[% Entrega]]&gt;=96%,"Atendeu a Meta","Não Atendeu a Meta")</f>
        <v>Atendeu a Meta</v>
      </c>
      <c r="W340" s="4" t="s">
        <v>40</v>
      </c>
      <c r="X340" s="4">
        <v>0</v>
      </c>
      <c r="Y340" s="5">
        <v>0</v>
      </c>
    </row>
    <row r="341" spans="1:25" x14ac:dyDescent="0.25">
      <c r="A341" s="8">
        <v>46282</v>
      </c>
      <c r="B341" s="16">
        <f>YEAR(Tabela32[[#This Row],[Data]])</f>
        <v>2026</v>
      </c>
      <c r="C341" s="16">
        <f>MONTH(Tabela32[[#This Row],[Data]])</f>
        <v>9</v>
      </c>
      <c r="D341" s="4" t="s">
        <v>29</v>
      </c>
      <c r="E341" s="4">
        <v>1</v>
      </c>
      <c r="F341" s="4" t="str">
        <f>IFERROR(VLOOKUP(Tabela32[[#This Row],[Placa]],Planilha2!$A$1:$B$12,2,0),"")</f>
        <v>Sandro</v>
      </c>
      <c r="G341" s="10">
        <v>2190.85</v>
      </c>
      <c r="H341" s="10">
        <v>64848.55</v>
      </c>
      <c r="I341" s="4">
        <v>423</v>
      </c>
      <c r="J341" s="17">
        <f>IFERROR(Tabela32[[#This Row],[Valor Frete]]/Tabela32[[#This Row],[Valor Mercadoria]],"")</f>
        <v>3.3784101572047483E-2</v>
      </c>
      <c r="K341" s="11">
        <v>0.29166666666666669</v>
      </c>
      <c r="L341" s="15">
        <v>0.72222222222222221</v>
      </c>
      <c r="M341" s="15">
        <f>Tabela32[[#This Row],[Hr Chegada]]-Tabela32[[#This Row],[Hr Saida]]</f>
        <v>0.43055555555555552</v>
      </c>
      <c r="N341" s="4">
        <v>275868</v>
      </c>
      <c r="O341" s="4">
        <v>275910</v>
      </c>
      <c r="P341" s="4">
        <f>Tabela32[[#This Row],[Km Chegada]]-Tabela32[[#This Row],[Km Saída]]</f>
        <v>42</v>
      </c>
      <c r="Q341" s="4">
        <v>54</v>
      </c>
      <c r="R341" s="4">
        <v>1</v>
      </c>
      <c r="S341" s="4">
        <v>1</v>
      </c>
      <c r="T341" s="12">
        <f>Tabela32[[#This Row],[Entregas]]-Tabela32[[#This Row],[Realizadas]]</f>
        <v>0</v>
      </c>
      <c r="U341" s="18">
        <f>Tabela32[[#This Row],[Realizadas]]/Tabela32[[#This Row],[Entregas]]</f>
        <v>1</v>
      </c>
      <c r="V341" s="19" t="str">
        <f>IF(Tabela32[[#This Row],[% Entrega]]&gt;=96%,"Atendeu a Meta","Não Atendeu a Meta")</f>
        <v>Atendeu a Meta</v>
      </c>
      <c r="W341" s="4" t="s">
        <v>40</v>
      </c>
      <c r="X341" s="4">
        <v>0</v>
      </c>
      <c r="Y341" s="5">
        <v>0</v>
      </c>
    </row>
    <row r="342" spans="1:25" x14ac:dyDescent="0.25">
      <c r="A342" s="8">
        <v>46282</v>
      </c>
      <c r="B342" s="16">
        <f>YEAR(Tabela32[[#This Row],[Data]])</f>
        <v>2026</v>
      </c>
      <c r="C342" s="16">
        <f>MONTH(Tabela32[[#This Row],[Data]])</f>
        <v>9</v>
      </c>
      <c r="D342" s="4" t="s">
        <v>36</v>
      </c>
      <c r="E342" s="4">
        <v>1</v>
      </c>
      <c r="F342" s="4" t="str">
        <f>IFERROR(VLOOKUP(Tabela32[[#This Row],[Placa]],Planilha2!$A$1:$B$12,2,0),"")</f>
        <v>Heremilton</v>
      </c>
      <c r="G342" s="10">
        <v>11172.61</v>
      </c>
      <c r="H342" s="10">
        <v>867848.53</v>
      </c>
      <c r="I342" s="4">
        <v>1787</v>
      </c>
      <c r="J342" s="17">
        <f>IFERROR(Tabela32[[#This Row],[Valor Frete]]/Tabela32[[#This Row],[Valor Mercadoria]],"")</f>
        <v>1.2873917064767051E-2</v>
      </c>
      <c r="K342" s="11">
        <v>0.27083333333333331</v>
      </c>
      <c r="L342" s="15">
        <v>0.75347222222222221</v>
      </c>
      <c r="M342" s="15">
        <f>Tabela32[[#This Row],[Hr Chegada]]-Tabela32[[#This Row],[Hr Saida]]</f>
        <v>0.4826388888888889</v>
      </c>
      <c r="N342" s="4">
        <v>366023</v>
      </c>
      <c r="O342" s="4">
        <v>366117</v>
      </c>
      <c r="P342" s="4">
        <f>Tabela32[[#This Row],[Km Chegada]]-Tabela32[[#This Row],[Km Saída]]</f>
        <v>94</v>
      </c>
      <c r="Q342" s="4">
        <v>861</v>
      </c>
      <c r="R342" s="4">
        <v>7</v>
      </c>
      <c r="S342" s="4">
        <v>7</v>
      </c>
      <c r="T342" s="12">
        <f>Tabela32[[#This Row],[Entregas]]-Tabela32[[#This Row],[Realizadas]]</f>
        <v>0</v>
      </c>
      <c r="U342" s="18">
        <f>Tabela32[[#This Row],[Realizadas]]/Tabela32[[#This Row],[Entregas]]</f>
        <v>1</v>
      </c>
      <c r="V342" s="19" t="str">
        <f>IF(Tabela32[[#This Row],[% Entrega]]&gt;=96%,"Atendeu a Meta","Não Atendeu a Meta")</f>
        <v>Atendeu a Meta</v>
      </c>
      <c r="W342" s="4" t="s">
        <v>40</v>
      </c>
      <c r="X342" s="4">
        <v>0</v>
      </c>
      <c r="Y342" s="5">
        <v>0</v>
      </c>
    </row>
    <row r="343" spans="1:25" x14ac:dyDescent="0.25">
      <c r="A343" s="8">
        <v>46282</v>
      </c>
      <c r="B343" s="16">
        <f>YEAR(Tabela32[[#This Row],[Data]])</f>
        <v>2026</v>
      </c>
      <c r="C343" s="16">
        <f>MONTH(Tabela32[[#This Row],[Data]])</f>
        <v>9</v>
      </c>
      <c r="D343" s="4" t="s">
        <v>33</v>
      </c>
      <c r="E343" s="4">
        <v>5</v>
      </c>
      <c r="F343" s="4" t="str">
        <f>IFERROR(VLOOKUP(Tabela32[[#This Row],[Placa]],Planilha2!$A$1:$B$12,2,0),"")</f>
        <v>Paulo</v>
      </c>
      <c r="G343" s="10">
        <v>2661.82</v>
      </c>
      <c r="H343" s="10">
        <v>203325.31</v>
      </c>
      <c r="I343" s="4">
        <v>450</v>
      </c>
      <c r="J343" s="17">
        <f>IFERROR(Tabela32[[#This Row],[Valor Frete]]/Tabela32[[#This Row],[Valor Mercadoria]],"")</f>
        <v>1.3091434607919695E-2</v>
      </c>
      <c r="K343" s="11">
        <v>0.29166666666666669</v>
      </c>
      <c r="L343" s="15">
        <v>0.74583333333333335</v>
      </c>
      <c r="M343" s="15">
        <f>Tabela32[[#This Row],[Hr Chegada]]-Tabela32[[#This Row],[Hr Saida]]</f>
        <v>0.45416666666666666</v>
      </c>
      <c r="N343" s="4">
        <v>155638</v>
      </c>
      <c r="O343" s="4">
        <v>155669</v>
      </c>
      <c r="P343" s="4">
        <f>Tabela32[[#This Row],[Km Chegada]]-Tabela32[[#This Row],[Km Saída]]</f>
        <v>31</v>
      </c>
      <c r="Q343" s="4">
        <v>269</v>
      </c>
      <c r="R343" s="4">
        <v>3</v>
      </c>
      <c r="S343" s="4">
        <v>3</v>
      </c>
      <c r="T343" s="12">
        <f>Tabela32[[#This Row],[Entregas]]-Tabela32[[#This Row],[Realizadas]]</f>
        <v>0</v>
      </c>
      <c r="U343" s="18">
        <f>Tabela32[[#This Row],[Realizadas]]/Tabela32[[#This Row],[Entregas]]</f>
        <v>1</v>
      </c>
      <c r="V343" s="19" t="str">
        <f>IF(Tabela32[[#This Row],[% Entrega]]&gt;=96%,"Atendeu a Meta","Não Atendeu a Meta")</f>
        <v>Atendeu a Meta</v>
      </c>
      <c r="W343" s="4" t="s">
        <v>39</v>
      </c>
      <c r="X343" s="4">
        <v>0</v>
      </c>
      <c r="Y343" s="5">
        <v>0</v>
      </c>
    </row>
    <row r="344" spans="1:25" x14ac:dyDescent="0.25">
      <c r="A344" s="8">
        <v>46283</v>
      </c>
      <c r="B344" s="16">
        <f>YEAR(Tabela32[[#This Row],[Data]])</f>
        <v>2026</v>
      </c>
      <c r="C344" s="16">
        <f>MONTH(Tabela32[[#This Row],[Data]])</f>
        <v>9</v>
      </c>
      <c r="D344" s="4" t="s">
        <v>37</v>
      </c>
      <c r="E344" s="4">
        <v>4</v>
      </c>
      <c r="F344" s="4" t="str">
        <f>IFERROR(VLOOKUP(Tabela32[[#This Row],[Placa]],Planilha2!$A$1:$B$12,2,0),"")</f>
        <v>Manoel</v>
      </c>
      <c r="G344" s="10">
        <v>127.39</v>
      </c>
      <c r="H344" s="10">
        <v>3141.84</v>
      </c>
      <c r="I344" s="4">
        <v>95</v>
      </c>
      <c r="J344" s="17">
        <f>IFERROR(Tabela32[[#This Row],[Valor Frete]]/Tabela32[[#This Row],[Valor Mercadoria]],"")</f>
        <v>4.0546304076592057E-2</v>
      </c>
      <c r="K344" s="11">
        <v>0.58333333333333337</v>
      </c>
      <c r="L344" s="15">
        <v>0.75</v>
      </c>
      <c r="M344" s="15">
        <f>Tabela32[[#This Row],[Hr Chegada]]-Tabela32[[#This Row],[Hr Saida]]</f>
        <v>0.16666666666666663</v>
      </c>
      <c r="N344" s="4">
        <v>12334</v>
      </c>
      <c r="O344" s="4">
        <v>12372</v>
      </c>
      <c r="P344" s="4">
        <f>Tabela32[[#This Row],[Km Chegada]]-Tabela32[[#This Row],[Km Saída]]</f>
        <v>38</v>
      </c>
      <c r="Q344" s="4">
        <v>23</v>
      </c>
      <c r="R344" s="4">
        <v>1</v>
      </c>
      <c r="S344" s="4">
        <v>1</v>
      </c>
      <c r="T344" s="12">
        <f>Tabela32[[#This Row],[Entregas]]-Tabela32[[#This Row],[Realizadas]]</f>
        <v>0</v>
      </c>
      <c r="U344" s="18">
        <f>Tabela32[[#This Row],[Realizadas]]/Tabela32[[#This Row],[Entregas]]</f>
        <v>1</v>
      </c>
      <c r="V344" s="19" t="str">
        <f>IF(Tabela32[[#This Row],[% Entrega]]&gt;=96%,"Atendeu a Meta","Não Atendeu a Meta")</f>
        <v>Atendeu a Meta</v>
      </c>
      <c r="W344" s="4" t="s">
        <v>39</v>
      </c>
      <c r="X344" s="4">
        <v>0</v>
      </c>
      <c r="Y344" s="5">
        <v>18</v>
      </c>
    </row>
    <row r="345" spans="1:25" x14ac:dyDescent="0.25">
      <c r="A345" s="8">
        <v>46283</v>
      </c>
      <c r="B345" s="16">
        <f>YEAR(Tabela32[[#This Row],[Data]])</f>
        <v>2026</v>
      </c>
      <c r="C345" s="16">
        <f>MONTH(Tabela32[[#This Row],[Data]])</f>
        <v>9</v>
      </c>
      <c r="D345" s="4" t="s">
        <v>33</v>
      </c>
      <c r="E345" s="4">
        <v>1</v>
      </c>
      <c r="F345" s="4" t="str">
        <f>IFERROR(VLOOKUP(Tabela32[[#This Row],[Placa]],Planilha2!$A$1:$B$12,2,0),"")</f>
        <v>Paulo</v>
      </c>
      <c r="G345" s="10">
        <v>1727.4</v>
      </c>
      <c r="H345" s="10">
        <v>8066.11</v>
      </c>
      <c r="I345" s="4">
        <v>99</v>
      </c>
      <c r="J345" s="17">
        <f>IFERROR(Tabela32[[#This Row],[Valor Frete]]/Tabela32[[#This Row],[Valor Mercadoria]],"")</f>
        <v>0.21415527435157716</v>
      </c>
      <c r="K345" s="11">
        <v>0.29166666666666669</v>
      </c>
      <c r="L345" s="15">
        <v>0.63541666666666663</v>
      </c>
      <c r="M345" s="15">
        <f>Tabela32[[#This Row],[Hr Chegada]]-Tabela32[[#This Row],[Hr Saida]]</f>
        <v>0.34374999999999994</v>
      </c>
      <c r="N345" s="4">
        <v>155669</v>
      </c>
      <c r="O345" s="4">
        <v>155756</v>
      </c>
      <c r="P345" s="4">
        <f>Tabela32[[#This Row],[Km Chegada]]-Tabela32[[#This Row],[Km Saída]]</f>
        <v>87</v>
      </c>
      <c r="Q345" s="4">
        <v>94</v>
      </c>
      <c r="R345" s="4">
        <v>1</v>
      </c>
      <c r="S345" s="4">
        <v>1</v>
      </c>
      <c r="T345" s="12">
        <f>Tabela32[[#This Row],[Entregas]]-Tabela32[[#This Row],[Realizadas]]</f>
        <v>0</v>
      </c>
      <c r="U345" s="18">
        <f>Tabela32[[#This Row],[Realizadas]]/Tabela32[[#This Row],[Entregas]]</f>
        <v>1</v>
      </c>
      <c r="V345" s="19" t="str">
        <f>IF(Tabela32[[#This Row],[% Entrega]]&gt;=96%,"Atendeu a Meta","Não Atendeu a Meta")</f>
        <v>Atendeu a Meta</v>
      </c>
      <c r="W345" s="4" t="s">
        <v>64</v>
      </c>
      <c r="X345" s="4">
        <v>0</v>
      </c>
      <c r="Y345" s="5">
        <v>0</v>
      </c>
    </row>
    <row r="346" spans="1:25" x14ac:dyDescent="0.25">
      <c r="A346" s="8">
        <v>46283</v>
      </c>
      <c r="B346" s="16">
        <f>YEAR(Tabela32[[#This Row],[Data]])</f>
        <v>2026</v>
      </c>
      <c r="C346" s="16">
        <f>MONTH(Tabela32[[#This Row],[Data]])</f>
        <v>9</v>
      </c>
      <c r="D346" s="4" t="s">
        <v>28</v>
      </c>
      <c r="E346" s="4">
        <v>11</v>
      </c>
      <c r="F346" s="4" t="str">
        <f>IFERROR(VLOOKUP(Tabela32[[#This Row],[Placa]],Planilha2!$A$1:$B$12,2,0),"")</f>
        <v>Edilson</v>
      </c>
      <c r="G346" s="10">
        <v>13968.57</v>
      </c>
      <c r="H346" s="10">
        <v>268279.21999999997</v>
      </c>
      <c r="I346" s="4">
        <v>2757</v>
      </c>
      <c r="J346" s="17">
        <f>IFERROR(Tabela32[[#This Row],[Valor Frete]]/Tabela32[[#This Row],[Valor Mercadoria]],"")</f>
        <v>5.2067282736247708E-2</v>
      </c>
      <c r="K346" s="11">
        <v>0.27083333333333331</v>
      </c>
      <c r="L346" s="15">
        <v>0.77777777777777779</v>
      </c>
      <c r="M346" s="15">
        <f>Tabela32[[#This Row],[Hr Chegada]]-Tabela32[[#This Row],[Hr Saida]]</f>
        <v>0.50694444444444442</v>
      </c>
      <c r="N346" s="4">
        <v>105750</v>
      </c>
      <c r="O346" s="4">
        <v>105897</v>
      </c>
      <c r="P346" s="4">
        <f>Tabela32[[#This Row],[Km Chegada]]-Tabela32[[#This Row],[Km Saída]]</f>
        <v>147</v>
      </c>
      <c r="Q346" s="4">
        <v>317</v>
      </c>
      <c r="R346" s="4">
        <v>32</v>
      </c>
      <c r="S346" s="4">
        <v>32</v>
      </c>
      <c r="T346" s="12">
        <f>Tabela32[[#This Row],[Entregas]]-Tabela32[[#This Row],[Realizadas]]</f>
        <v>0</v>
      </c>
      <c r="U346" s="18">
        <f>Tabela32[[#This Row],[Realizadas]]/Tabela32[[#This Row],[Entregas]]</f>
        <v>1</v>
      </c>
      <c r="V346" s="19" t="str">
        <f>IF(Tabela32[[#This Row],[% Entrega]]&gt;=96%,"Atendeu a Meta","Não Atendeu a Meta")</f>
        <v>Atendeu a Meta</v>
      </c>
      <c r="W346" s="4" t="s">
        <v>41</v>
      </c>
      <c r="X346" s="4">
        <v>0</v>
      </c>
      <c r="Y346" s="5">
        <v>0</v>
      </c>
    </row>
    <row r="347" spans="1:25" x14ac:dyDescent="0.25">
      <c r="A347" s="8">
        <v>46283</v>
      </c>
      <c r="B347" s="16">
        <f>YEAR(Tabela32[[#This Row],[Data]])</f>
        <v>2026</v>
      </c>
      <c r="C347" s="16">
        <f>MONTH(Tabela32[[#This Row],[Data]])</f>
        <v>9</v>
      </c>
      <c r="D347" s="4" t="s">
        <v>29</v>
      </c>
      <c r="E347" s="4">
        <v>1</v>
      </c>
      <c r="F347" s="4" t="str">
        <f>IFERROR(VLOOKUP(Tabela32[[#This Row],[Placa]],Planilha2!$A$1:$B$12,2,0),"")</f>
        <v>Sandro</v>
      </c>
      <c r="G347" s="10">
        <v>752.68</v>
      </c>
      <c r="H347" s="10">
        <v>12536.17</v>
      </c>
      <c r="I347" s="4">
        <v>62</v>
      </c>
      <c r="J347" s="17">
        <f>IFERROR(Tabela32[[#This Row],[Valor Frete]]/Tabela32[[#This Row],[Valor Mercadoria]],"")</f>
        <v>6.0040666327913543E-2</v>
      </c>
      <c r="K347" s="11">
        <v>0.29166666666666669</v>
      </c>
      <c r="L347" s="15">
        <v>0.49444444444444446</v>
      </c>
      <c r="M347" s="15">
        <f>Tabela32[[#This Row],[Hr Chegada]]-Tabela32[[#This Row],[Hr Saida]]</f>
        <v>0.20277777777777778</v>
      </c>
      <c r="N347" s="4">
        <v>275910</v>
      </c>
      <c r="O347" s="4">
        <v>275974</v>
      </c>
      <c r="P347" s="4">
        <f>Tabela32[[#This Row],[Km Chegada]]-Tabela32[[#This Row],[Km Saída]]</f>
        <v>64</v>
      </c>
      <c r="Q347" s="4">
        <v>38</v>
      </c>
      <c r="R347" s="4">
        <v>1</v>
      </c>
      <c r="S347" s="4">
        <v>1</v>
      </c>
      <c r="T347" s="12">
        <f>Tabela32[[#This Row],[Entregas]]-Tabela32[[#This Row],[Realizadas]]</f>
        <v>0</v>
      </c>
      <c r="U347" s="18">
        <f>Tabela32[[#This Row],[Realizadas]]/Tabela32[[#This Row],[Entregas]]</f>
        <v>1</v>
      </c>
      <c r="V347" s="19" t="str">
        <f>IF(Tabela32[[#This Row],[% Entrega]]&gt;=96%,"Atendeu a Meta","Não Atendeu a Meta")</f>
        <v>Atendeu a Meta</v>
      </c>
      <c r="W347" s="4" t="s">
        <v>40</v>
      </c>
      <c r="X347" s="4">
        <v>0</v>
      </c>
      <c r="Y347" s="5">
        <v>0</v>
      </c>
    </row>
    <row r="348" spans="1:25" x14ac:dyDescent="0.25">
      <c r="A348" s="8">
        <v>46283</v>
      </c>
      <c r="B348" s="16">
        <f>YEAR(Tabela32[[#This Row],[Data]])</f>
        <v>2026</v>
      </c>
      <c r="C348" s="16">
        <f>MONTH(Tabela32[[#This Row],[Data]])</f>
        <v>9</v>
      </c>
      <c r="D348" s="4" t="s">
        <v>27</v>
      </c>
      <c r="E348" s="4">
        <v>5</v>
      </c>
      <c r="F348" s="4" t="str">
        <f>IFERROR(VLOOKUP(Tabela32[[#This Row],[Placa]],Planilha2!$A$1:$B$12,2,0),"")</f>
        <v>Rosinaldo</v>
      </c>
      <c r="G348" s="10">
        <v>6548.52</v>
      </c>
      <c r="H348" s="10">
        <v>109020.64</v>
      </c>
      <c r="I348" s="4">
        <v>1746</v>
      </c>
      <c r="J348" s="17">
        <f>IFERROR(Tabela32[[#This Row],[Valor Frete]]/Tabela32[[#This Row],[Valor Mercadoria]],"")</f>
        <v>6.0066791022323852E-2</v>
      </c>
      <c r="K348" s="11">
        <v>0.29166666666666669</v>
      </c>
      <c r="L348" s="15">
        <v>0.75694444444444442</v>
      </c>
      <c r="M348" s="15">
        <f>Tabela32[[#This Row],[Hr Chegada]]-Tabela32[[#This Row],[Hr Saida]]</f>
        <v>0.46527777777777773</v>
      </c>
      <c r="N348" s="4">
        <v>291510</v>
      </c>
      <c r="O348" s="4">
        <v>291597</v>
      </c>
      <c r="P348" s="4">
        <f>Tabela32[[#This Row],[Km Chegada]]-Tabela32[[#This Row],[Km Saída]]</f>
        <v>87</v>
      </c>
      <c r="Q348" s="4">
        <v>215</v>
      </c>
      <c r="R348" s="4">
        <v>18</v>
      </c>
      <c r="S348" s="4">
        <v>17</v>
      </c>
      <c r="T348" s="12">
        <f>Tabela32[[#This Row],[Entregas]]-Tabela32[[#This Row],[Realizadas]]</f>
        <v>1</v>
      </c>
      <c r="U348" s="18">
        <f>Tabela32[[#This Row],[Realizadas]]/Tabela32[[#This Row],[Entregas]]</f>
        <v>0.94444444444444442</v>
      </c>
      <c r="V348" s="19" t="str">
        <f>IF(Tabela32[[#This Row],[% Entrega]]&gt;=96%,"Atendeu a Meta","Não Atendeu a Meta")</f>
        <v>Não Atendeu a Meta</v>
      </c>
      <c r="W348" s="4" t="s">
        <v>39</v>
      </c>
      <c r="X348" s="4">
        <v>1</v>
      </c>
      <c r="Y348" s="5">
        <v>13</v>
      </c>
    </row>
    <row r="349" spans="1:25" x14ac:dyDescent="0.25">
      <c r="A349" s="8">
        <v>46283</v>
      </c>
      <c r="B349" s="16">
        <f>YEAR(Tabela32[[#This Row],[Data]])</f>
        <v>2026</v>
      </c>
      <c r="C349" s="16">
        <f>MONTH(Tabela32[[#This Row],[Data]])</f>
        <v>9</v>
      </c>
      <c r="D349" s="4" t="s">
        <v>35</v>
      </c>
      <c r="E349" s="4">
        <v>3</v>
      </c>
      <c r="F349" s="4" t="str">
        <f>IFERROR(VLOOKUP(Tabela32[[#This Row],[Placa]],Planilha2!$A$1:$B$12,2,0),"")</f>
        <v>Osvaldo</v>
      </c>
      <c r="G349" s="10">
        <v>10577.38</v>
      </c>
      <c r="H349" s="10">
        <v>209246.11</v>
      </c>
      <c r="I349" s="4">
        <v>2665</v>
      </c>
      <c r="J349" s="17">
        <f>IFERROR(Tabela32[[#This Row],[Valor Frete]]/Tabela32[[#This Row],[Valor Mercadoria]],"")</f>
        <v>5.0549948097004048E-2</v>
      </c>
      <c r="K349" s="11">
        <v>0.30555555555555558</v>
      </c>
      <c r="L349" s="15">
        <v>0.69861111111111107</v>
      </c>
      <c r="M349" s="15">
        <f>Tabela32[[#This Row],[Hr Chegada]]-Tabela32[[#This Row],[Hr Saida]]</f>
        <v>0.39305555555555549</v>
      </c>
      <c r="N349" s="4">
        <v>143392</v>
      </c>
      <c r="O349" s="4">
        <v>143445</v>
      </c>
      <c r="P349" s="4">
        <f>Tabela32[[#This Row],[Km Chegada]]-Tabela32[[#This Row],[Km Saída]]</f>
        <v>53</v>
      </c>
      <c r="Q349" s="4">
        <v>269</v>
      </c>
      <c r="R349" s="4">
        <v>20</v>
      </c>
      <c r="S349" s="4">
        <v>20</v>
      </c>
      <c r="T349" s="12">
        <f>Tabela32[[#This Row],[Entregas]]-Tabela32[[#This Row],[Realizadas]]</f>
        <v>0</v>
      </c>
      <c r="U349" s="18">
        <f>Tabela32[[#This Row],[Realizadas]]/Tabela32[[#This Row],[Entregas]]</f>
        <v>1</v>
      </c>
      <c r="V349" s="19" t="str">
        <f>IF(Tabela32[[#This Row],[% Entrega]]&gt;=96%,"Atendeu a Meta","Não Atendeu a Meta")</f>
        <v>Atendeu a Meta</v>
      </c>
      <c r="W349" s="4" t="s">
        <v>39</v>
      </c>
      <c r="X349" s="4">
        <v>0</v>
      </c>
      <c r="Y349" s="5">
        <v>0</v>
      </c>
    </row>
    <row r="350" spans="1:25" x14ac:dyDescent="0.25">
      <c r="A350" s="8">
        <v>46283</v>
      </c>
      <c r="B350" s="16">
        <f>YEAR(Tabela32[[#This Row],[Data]])</f>
        <v>2026</v>
      </c>
      <c r="C350" s="16">
        <f>MONTH(Tabela32[[#This Row],[Data]])</f>
        <v>9</v>
      </c>
      <c r="D350" s="4" t="s">
        <v>53</v>
      </c>
      <c r="E350" s="4">
        <v>4</v>
      </c>
      <c r="F350" s="4" t="str">
        <f>IFERROR(VLOOKUP(Tabela32[[#This Row],[Placa]],Planilha2!$A$1:$B$12,2,0),"")</f>
        <v>Arnaldo</v>
      </c>
      <c r="G350" s="10">
        <v>8358.3700000000008</v>
      </c>
      <c r="H350" s="10">
        <v>204550.14</v>
      </c>
      <c r="I350" s="4">
        <v>2464</v>
      </c>
      <c r="J350" s="17">
        <f>IFERROR(Tabela32[[#This Row],[Valor Frete]]/Tabela32[[#This Row],[Valor Mercadoria]],"")</f>
        <v>4.0862206205285412E-2</v>
      </c>
      <c r="K350" s="11">
        <v>0.29166666666666669</v>
      </c>
      <c r="L350" s="15">
        <v>0.79166666666666663</v>
      </c>
      <c r="M350" s="15">
        <f>Tabela32[[#This Row],[Hr Chegada]]-Tabela32[[#This Row],[Hr Saida]]</f>
        <v>0.49999999999999994</v>
      </c>
      <c r="N350" s="4">
        <v>13855</v>
      </c>
      <c r="O350" s="4">
        <v>13918</v>
      </c>
      <c r="P350" s="4">
        <f>Tabela32[[#This Row],[Km Chegada]]-Tabela32[[#This Row],[Km Saída]]</f>
        <v>63</v>
      </c>
      <c r="Q350" s="4">
        <v>535</v>
      </c>
      <c r="R350" s="4">
        <v>19</v>
      </c>
      <c r="S350" s="4">
        <v>19</v>
      </c>
      <c r="T350" s="12">
        <f>Tabela32[[#This Row],[Entregas]]-Tabela32[[#This Row],[Realizadas]]</f>
        <v>0</v>
      </c>
      <c r="U350" s="18">
        <f>Tabela32[[#This Row],[Realizadas]]/Tabela32[[#This Row],[Entregas]]</f>
        <v>1</v>
      </c>
      <c r="V350" s="19" t="str">
        <f>IF(Tabela32[[#This Row],[% Entrega]]&gt;=96%,"Atendeu a Meta","Não Atendeu a Meta")</f>
        <v>Atendeu a Meta</v>
      </c>
      <c r="W350" s="4" t="s">
        <v>39</v>
      </c>
      <c r="X350" s="4">
        <v>0</v>
      </c>
      <c r="Y350" s="5">
        <v>0</v>
      </c>
    </row>
    <row r="351" spans="1:25" x14ac:dyDescent="0.25">
      <c r="A351" s="8">
        <v>46283</v>
      </c>
      <c r="B351" s="16">
        <f>YEAR(Tabela32[[#This Row],[Data]])</f>
        <v>2026</v>
      </c>
      <c r="C351" s="16">
        <f>MONTH(Tabela32[[#This Row],[Data]])</f>
        <v>9</v>
      </c>
      <c r="D351" s="4" t="s">
        <v>36</v>
      </c>
      <c r="E351" s="4">
        <v>5</v>
      </c>
      <c r="F351" s="4" t="str">
        <f>IFERROR(VLOOKUP(Tabela32[[#This Row],[Placa]],Planilha2!$A$1:$B$12,2,0),"")</f>
        <v>Heremilton</v>
      </c>
      <c r="G351" s="10">
        <v>53283.21</v>
      </c>
      <c r="H351" s="10">
        <v>1088532.82</v>
      </c>
      <c r="I351" s="4">
        <v>9913</v>
      </c>
      <c r="J351" s="17">
        <f>IFERROR(Tabela32[[#This Row],[Valor Frete]]/Tabela32[[#This Row],[Valor Mercadoria]],"")</f>
        <v>4.8949566812326338E-2</v>
      </c>
      <c r="K351" s="11">
        <v>0.27777777777777779</v>
      </c>
      <c r="L351" s="15">
        <v>0.82361111111111107</v>
      </c>
      <c r="M351" s="15">
        <f>Tabela32[[#This Row],[Hr Chegada]]-Tabela32[[#This Row],[Hr Saida]]</f>
        <v>0.54583333333333328</v>
      </c>
      <c r="N351" s="4">
        <v>366162</v>
      </c>
      <c r="O351" s="4">
        <v>366198</v>
      </c>
      <c r="P351" s="4">
        <f>Tabela32[[#This Row],[Km Chegada]]-Tabela32[[#This Row],[Km Saída]]</f>
        <v>36</v>
      </c>
      <c r="Q351" s="4">
        <v>2043</v>
      </c>
      <c r="R351" s="4">
        <v>24</v>
      </c>
      <c r="S351" s="4">
        <v>24</v>
      </c>
      <c r="T351" s="12">
        <f>Tabela32[[#This Row],[Entregas]]-Tabela32[[#This Row],[Realizadas]]</f>
        <v>0</v>
      </c>
      <c r="U351" s="18">
        <f>Tabela32[[#This Row],[Realizadas]]/Tabela32[[#This Row],[Entregas]]</f>
        <v>1</v>
      </c>
      <c r="V351" s="19" t="str">
        <f>IF(Tabela32[[#This Row],[% Entrega]]&gt;=96%,"Atendeu a Meta","Não Atendeu a Meta")</f>
        <v>Atendeu a Meta</v>
      </c>
      <c r="W351" s="4" t="s">
        <v>39</v>
      </c>
      <c r="X351" s="4">
        <v>0</v>
      </c>
      <c r="Y351" s="5">
        <v>0</v>
      </c>
    </row>
    <row r="352" spans="1:25" x14ac:dyDescent="0.25">
      <c r="A352" s="8">
        <v>46283</v>
      </c>
      <c r="B352" s="16">
        <f>YEAR(Tabela32[[#This Row],[Data]])</f>
        <v>2026</v>
      </c>
      <c r="C352" s="16">
        <f>MONTH(Tabela32[[#This Row],[Data]])</f>
        <v>9</v>
      </c>
      <c r="D352" s="4" t="s">
        <v>23</v>
      </c>
      <c r="E352" s="4">
        <v>1</v>
      </c>
      <c r="F352" s="4" t="str">
        <f>IFERROR(VLOOKUP(Tabela32[[#This Row],[Placa]],Planilha2!$A$1:$B$12,2,0),"")</f>
        <v>William</v>
      </c>
      <c r="G352" s="10">
        <v>5252.08</v>
      </c>
      <c r="H352" s="10">
        <v>96048.94</v>
      </c>
      <c r="I352" s="4">
        <v>1159</v>
      </c>
      <c r="J352" s="17">
        <f>IFERROR(Tabela32[[#This Row],[Valor Frete]]/Tabela32[[#This Row],[Valor Mercadoria]],"")</f>
        <v>5.4681290600396004E-2</v>
      </c>
      <c r="K352" s="11">
        <v>0.29166666666666669</v>
      </c>
      <c r="L352" s="15">
        <v>0.72916666666666663</v>
      </c>
      <c r="M352" s="15">
        <f>Tabela32[[#This Row],[Hr Chegada]]-Tabela32[[#This Row],[Hr Saida]]</f>
        <v>0.43749999999999994</v>
      </c>
      <c r="N352" s="4">
        <v>125509</v>
      </c>
      <c r="O352" s="4">
        <v>125582</v>
      </c>
      <c r="P352" s="4">
        <f>Tabela32[[#This Row],[Km Chegada]]-Tabela32[[#This Row],[Km Saída]]</f>
        <v>73</v>
      </c>
      <c r="Q352" s="4">
        <v>168</v>
      </c>
      <c r="R352" s="4">
        <v>13</v>
      </c>
      <c r="S352" s="4">
        <v>13</v>
      </c>
      <c r="T352" s="12">
        <f>Tabela32[[#This Row],[Entregas]]-Tabela32[[#This Row],[Realizadas]]</f>
        <v>0</v>
      </c>
      <c r="U352" s="18">
        <f>Tabela32[[#This Row],[Realizadas]]/Tabela32[[#This Row],[Entregas]]</f>
        <v>1</v>
      </c>
      <c r="V352" s="19" t="str">
        <f>IF(Tabela32[[#This Row],[% Entrega]]&gt;=96%,"Atendeu a Meta","Não Atendeu a Meta")</f>
        <v>Atendeu a Meta</v>
      </c>
      <c r="W352" s="4" t="s">
        <v>40</v>
      </c>
      <c r="X352" s="4">
        <v>0</v>
      </c>
      <c r="Y352" s="5">
        <v>0</v>
      </c>
    </row>
    <row r="353" spans="1:25" x14ac:dyDescent="0.25">
      <c r="A353" s="8">
        <v>46283</v>
      </c>
      <c r="B353" s="16">
        <f>YEAR(Tabela32[[#This Row],[Data]])</f>
        <v>2026</v>
      </c>
      <c r="C353" s="16">
        <f>MONTH(Tabela32[[#This Row],[Data]])</f>
        <v>9</v>
      </c>
      <c r="D353" s="4" t="s">
        <v>22</v>
      </c>
      <c r="E353" s="4">
        <v>2</v>
      </c>
      <c r="F353" s="4" t="str">
        <f>IFERROR(VLOOKUP(Tabela32[[#This Row],[Placa]],Planilha2!$A$1:$B$12,2,0),"")</f>
        <v>Wesley</v>
      </c>
      <c r="G353" s="10">
        <v>11713.19</v>
      </c>
      <c r="H353" s="10">
        <v>212269.7</v>
      </c>
      <c r="I353" s="4">
        <v>598</v>
      </c>
      <c r="J353" s="17">
        <f>IFERROR(Tabela32[[#This Row],[Valor Frete]]/Tabela32[[#This Row],[Valor Mercadoria]],"")</f>
        <v>5.5180697009511954E-2</v>
      </c>
      <c r="K353" s="11">
        <v>0.27291666666666664</v>
      </c>
      <c r="L353" s="15">
        <v>0.81597222222222221</v>
      </c>
      <c r="M353" s="15">
        <f>Tabela32[[#This Row],[Hr Chegada]]-Tabela32[[#This Row],[Hr Saida]]</f>
        <v>0.54305555555555562</v>
      </c>
      <c r="N353" s="4">
        <v>305081</v>
      </c>
      <c r="O353" s="4">
        <v>305140</v>
      </c>
      <c r="P353" s="4">
        <f>Tabela32[[#This Row],[Km Chegada]]-Tabela32[[#This Row],[Km Saída]]</f>
        <v>59</v>
      </c>
      <c r="Q353" s="4">
        <v>317</v>
      </c>
      <c r="R353" s="4">
        <v>16</v>
      </c>
      <c r="S353" s="4">
        <v>16</v>
      </c>
      <c r="T353" s="12">
        <f>Tabela32[[#This Row],[Entregas]]-Tabela32[[#This Row],[Realizadas]]</f>
        <v>0</v>
      </c>
      <c r="U353" s="18">
        <f>Tabela32[[#This Row],[Realizadas]]/Tabela32[[#This Row],[Entregas]]</f>
        <v>1</v>
      </c>
      <c r="V353" s="19" t="str">
        <f>IF(Tabela32[[#This Row],[% Entrega]]&gt;=96%,"Atendeu a Meta","Não Atendeu a Meta")</f>
        <v>Atendeu a Meta</v>
      </c>
      <c r="W353" s="4" t="s">
        <v>39</v>
      </c>
      <c r="X353" s="4">
        <v>0</v>
      </c>
      <c r="Y353" s="5">
        <v>0</v>
      </c>
    </row>
    <row r="354" spans="1:25" x14ac:dyDescent="0.25">
      <c r="A354" s="8">
        <v>46283</v>
      </c>
      <c r="B354" s="16">
        <f>YEAR(Tabela32[[#This Row],[Data]])</f>
        <v>2026</v>
      </c>
      <c r="C354" s="16">
        <f>MONTH(Tabela32[[#This Row],[Data]])</f>
        <v>9</v>
      </c>
      <c r="D354" s="4" t="s">
        <v>31</v>
      </c>
      <c r="E354" s="4">
        <v>1</v>
      </c>
      <c r="F354" s="4" t="str">
        <f>IFERROR(VLOOKUP(Tabela32[[#This Row],[Placa]],Planilha2!$A$1:$B$12,2,0),"")</f>
        <v>Jerson</v>
      </c>
      <c r="G354" s="10">
        <v>7384.41</v>
      </c>
      <c r="H354" s="10">
        <v>185284.08</v>
      </c>
      <c r="I354" s="4">
        <v>1375</v>
      </c>
      <c r="J354" s="17">
        <f>IFERROR(Tabela32[[#This Row],[Valor Frete]]/Tabela32[[#This Row],[Valor Mercadoria]],"")</f>
        <v>3.9854530405418538E-2</v>
      </c>
      <c r="K354" s="11">
        <v>0.2951388888888889</v>
      </c>
      <c r="L354" s="15">
        <v>0.74305555555555558</v>
      </c>
      <c r="M354" s="15">
        <f>Tabela32[[#This Row],[Hr Chegada]]-Tabela32[[#This Row],[Hr Saida]]</f>
        <v>0.44791666666666669</v>
      </c>
      <c r="N354" s="4">
        <v>280667</v>
      </c>
      <c r="O354" s="4">
        <v>280716</v>
      </c>
      <c r="P354" s="4">
        <f>Tabela32[[#This Row],[Km Chegada]]-Tabela32[[#This Row],[Km Saída]]</f>
        <v>49</v>
      </c>
      <c r="Q354" s="4">
        <v>195</v>
      </c>
      <c r="R354" s="4">
        <v>30</v>
      </c>
      <c r="S354" s="4">
        <v>28</v>
      </c>
      <c r="T354" s="12">
        <f>Tabela32[[#This Row],[Entregas]]-Tabela32[[#This Row],[Realizadas]]</f>
        <v>2</v>
      </c>
      <c r="U354" s="18">
        <f>Tabela32[[#This Row],[Realizadas]]/Tabela32[[#This Row],[Entregas]]</f>
        <v>0.93333333333333335</v>
      </c>
      <c r="V354" s="19" t="str">
        <f>IF(Tabela32[[#This Row],[% Entrega]]&gt;=96%,"Atendeu a Meta","Não Atendeu a Meta")</f>
        <v>Não Atendeu a Meta</v>
      </c>
      <c r="W354" s="4" t="s">
        <v>43</v>
      </c>
      <c r="X354" s="4">
        <v>2</v>
      </c>
      <c r="Y354" s="5" t="s">
        <v>83</v>
      </c>
    </row>
    <row r="355" spans="1:25" x14ac:dyDescent="0.25">
      <c r="A355" s="8">
        <v>46286</v>
      </c>
      <c r="B355" s="16">
        <f>YEAR(Tabela32[[#This Row],[Data]])</f>
        <v>2026</v>
      </c>
      <c r="C355" s="16">
        <f>MONTH(Tabela32[[#This Row],[Data]])</f>
        <v>9</v>
      </c>
      <c r="D355" s="4" t="s">
        <v>53</v>
      </c>
      <c r="E355" s="4">
        <v>3</v>
      </c>
      <c r="F355" s="4" t="str">
        <f>IFERROR(VLOOKUP(Tabela32[[#This Row],[Placa]],Planilha2!$A$1:$B$12,2,0),"")</f>
        <v>Arnaldo</v>
      </c>
      <c r="G355" s="10">
        <v>7669.01</v>
      </c>
      <c r="H355" s="10">
        <v>109425.94</v>
      </c>
      <c r="I355" s="4">
        <v>2407</v>
      </c>
      <c r="J355" s="17">
        <f>IFERROR(Tabela32[[#This Row],[Valor Frete]]/Tabela32[[#This Row],[Valor Mercadoria]],"")</f>
        <v>7.008402212491846E-2</v>
      </c>
      <c r="K355" s="11">
        <v>0.29166666666666669</v>
      </c>
      <c r="L355" s="15">
        <v>0.75694444444444442</v>
      </c>
      <c r="M355" s="15">
        <f>Tabela32[[#This Row],[Hr Chegada]]-Tabela32[[#This Row],[Hr Saida]]</f>
        <v>0.46527777777777773</v>
      </c>
      <c r="N355" s="4">
        <v>13919</v>
      </c>
      <c r="O355" s="4">
        <v>13972</v>
      </c>
      <c r="P355" s="4">
        <f>Tabela32[[#This Row],[Km Chegada]]-Tabela32[[#This Row],[Km Saída]]</f>
        <v>53</v>
      </c>
      <c r="Q355" s="4">
        <v>240</v>
      </c>
      <c r="R355" s="4">
        <v>13</v>
      </c>
      <c r="S355" s="4">
        <v>13</v>
      </c>
      <c r="T355" s="12">
        <f>Tabela32[[#This Row],[Entregas]]-Tabela32[[#This Row],[Realizadas]]</f>
        <v>0</v>
      </c>
      <c r="U355" s="18">
        <f>Tabela32[[#This Row],[Realizadas]]/Tabela32[[#This Row],[Entregas]]</f>
        <v>1</v>
      </c>
      <c r="V355" s="19" t="str">
        <f>IF(Tabela32[[#This Row],[% Entrega]]&gt;=96%,"Atendeu a Meta","Não Atendeu a Meta")</f>
        <v>Atendeu a Meta</v>
      </c>
      <c r="W355" s="4" t="s">
        <v>39</v>
      </c>
      <c r="X355" s="4">
        <v>1</v>
      </c>
      <c r="Y355" s="5">
        <v>9</v>
      </c>
    </row>
    <row r="356" spans="1:25" x14ac:dyDescent="0.25">
      <c r="A356" s="8">
        <v>46286</v>
      </c>
      <c r="B356" s="16">
        <f>YEAR(Tabela32[[#This Row],[Data]])</f>
        <v>2026</v>
      </c>
      <c r="C356" s="16">
        <f>MONTH(Tabela32[[#This Row],[Data]])</f>
        <v>9</v>
      </c>
      <c r="D356" s="4" t="s">
        <v>35</v>
      </c>
      <c r="E356" s="4">
        <v>5</v>
      </c>
      <c r="F356" s="4" t="str">
        <f>IFERROR(VLOOKUP(Tabela32[[#This Row],[Placa]],Planilha2!$A$1:$B$12,2,0),"")</f>
        <v>Osvaldo</v>
      </c>
      <c r="G356" s="10">
        <v>5167.83</v>
      </c>
      <c r="H356" s="10">
        <v>46740.68</v>
      </c>
      <c r="I356" s="4">
        <v>567</v>
      </c>
      <c r="J356" s="17">
        <f>IFERROR(Tabela32[[#This Row],[Valor Frete]]/Tabela32[[#This Row],[Valor Mercadoria]],"")</f>
        <v>0.11056386000374833</v>
      </c>
      <c r="K356" s="11">
        <v>0.3125</v>
      </c>
      <c r="L356" s="15">
        <v>0.67152777777777772</v>
      </c>
      <c r="M356" s="15">
        <f>Tabela32[[#This Row],[Hr Chegada]]-Tabela32[[#This Row],[Hr Saida]]</f>
        <v>0.35902777777777772</v>
      </c>
      <c r="N356" s="4">
        <v>143494</v>
      </c>
      <c r="O356" s="4">
        <v>143560</v>
      </c>
      <c r="P356" s="4">
        <f>Tabela32[[#This Row],[Km Chegada]]-Tabela32[[#This Row],[Km Saída]]</f>
        <v>66</v>
      </c>
      <c r="Q356" s="4">
        <v>73</v>
      </c>
      <c r="R356" s="4">
        <v>7</v>
      </c>
      <c r="S356" s="4">
        <v>7</v>
      </c>
      <c r="T356" s="12">
        <f>Tabela32[[#This Row],[Entregas]]-Tabela32[[#This Row],[Realizadas]]</f>
        <v>0</v>
      </c>
      <c r="U356" s="18">
        <f>Tabela32[[#This Row],[Realizadas]]/Tabela32[[#This Row],[Entregas]]</f>
        <v>1</v>
      </c>
      <c r="V356" s="19" t="str">
        <f>IF(Tabela32[[#This Row],[% Entrega]]&gt;=96%,"Atendeu a Meta","Não Atendeu a Meta")</f>
        <v>Atendeu a Meta</v>
      </c>
      <c r="W356" s="4" t="s">
        <v>39</v>
      </c>
      <c r="X356" s="4">
        <v>0</v>
      </c>
      <c r="Y356" s="5">
        <v>0</v>
      </c>
    </row>
    <row r="357" spans="1:25" x14ac:dyDescent="0.25">
      <c r="A357" s="8">
        <v>46286</v>
      </c>
      <c r="B357" s="16">
        <f>YEAR(Tabela32[[#This Row],[Data]])</f>
        <v>2026</v>
      </c>
      <c r="C357" s="16">
        <f>MONTH(Tabela32[[#This Row],[Data]])</f>
        <v>9</v>
      </c>
      <c r="D357" s="4" t="s">
        <v>23</v>
      </c>
      <c r="E357" s="4">
        <v>11</v>
      </c>
      <c r="F357" s="4" t="str">
        <f>IFERROR(VLOOKUP(Tabela32[[#This Row],[Placa]],Planilha2!$A$1:$B$12,2,0),"")</f>
        <v>William</v>
      </c>
      <c r="G357" s="10">
        <v>11465.64</v>
      </c>
      <c r="H357" s="10">
        <v>273006.78999999998</v>
      </c>
      <c r="I357" s="4">
        <v>1599</v>
      </c>
      <c r="J357" s="17">
        <f>IFERROR(Tabela32[[#This Row],[Valor Frete]]/Tabela32[[#This Row],[Valor Mercadoria]],"")</f>
        <v>4.1997636762074672E-2</v>
      </c>
      <c r="K357" s="11">
        <v>0.27083333333333331</v>
      </c>
      <c r="L357" s="15">
        <v>0.8125</v>
      </c>
      <c r="M357" s="15">
        <f>Tabela32[[#This Row],[Hr Chegada]]-Tabela32[[#This Row],[Hr Saida]]</f>
        <v>0.54166666666666674</v>
      </c>
      <c r="N357" s="4">
        <v>125582</v>
      </c>
      <c r="O357" s="4">
        <v>125748</v>
      </c>
      <c r="P357" s="4">
        <f>Tabela32[[#This Row],[Km Chegada]]-Tabela32[[#This Row],[Km Saída]]</f>
        <v>166</v>
      </c>
      <c r="Q357" s="4">
        <v>313</v>
      </c>
      <c r="R357" s="4">
        <v>28</v>
      </c>
      <c r="S357" s="4">
        <v>28</v>
      </c>
      <c r="T357" s="12">
        <f>Tabela32[[#This Row],[Entregas]]-Tabela32[[#This Row],[Realizadas]]</f>
        <v>0</v>
      </c>
      <c r="U357" s="18">
        <f>Tabela32[[#This Row],[Realizadas]]/Tabela32[[#This Row],[Entregas]]</f>
        <v>1</v>
      </c>
      <c r="V357" s="19" t="str">
        <f>IF(Tabela32[[#This Row],[% Entrega]]&gt;=96%,"Atendeu a Meta","Não Atendeu a Meta")</f>
        <v>Atendeu a Meta</v>
      </c>
      <c r="W357" s="4" t="s">
        <v>41</v>
      </c>
      <c r="X357" s="4">
        <v>3</v>
      </c>
      <c r="Y357" s="5" t="s">
        <v>84</v>
      </c>
    </row>
    <row r="358" spans="1:25" x14ac:dyDescent="0.25">
      <c r="A358" s="8">
        <v>46286</v>
      </c>
      <c r="B358" s="16">
        <f>YEAR(Tabela32[[#This Row],[Data]])</f>
        <v>2026</v>
      </c>
      <c r="C358" s="16">
        <f>MONTH(Tabela32[[#This Row],[Data]])</f>
        <v>9</v>
      </c>
      <c r="D358" s="4" t="s">
        <v>22</v>
      </c>
      <c r="E358" s="4">
        <v>2</v>
      </c>
      <c r="F358" s="4" t="str">
        <f>IFERROR(VLOOKUP(Tabela32[[#This Row],[Placa]],Planilha2!$A$1:$B$12,2,0),"")</f>
        <v>Wesley</v>
      </c>
      <c r="G358" s="10">
        <v>7236.81</v>
      </c>
      <c r="H358" s="10">
        <v>173289.63</v>
      </c>
      <c r="I358" s="4">
        <v>1096</v>
      </c>
      <c r="J358" s="17">
        <f>IFERROR(Tabela32[[#This Row],[Valor Frete]]/Tabela32[[#This Row],[Valor Mercadoria]],"")</f>
        <v>4.1761356406612445E-2</v>
      </c>
      <c r="K358" s="11">
        <v>0.27083333333333331</v>
      </c>
      <c r="L358" s="15">
        <v>0.66319444444444442</v>
      </c>
      <c r="M358" s="15">
        <f>Tabela32[[#This Row],[Hr Chegada]]-Tabela32[[#This Row],[Hr Saida]]</f>
        <v>0.3923611111111111</v>
      </c>
      <c r="N358" s="4">
        <v>305258</v>
      </c>
      <c r="O358" s="4">
        <v>305309</v>
      </c>
      <c r="P358" s="4">
        <f>Tabela32[[#This Row],[Km Chegada]]-Tabela32[[#This Row],[Km Saída]]</f>
        <v>51</v>
      </c>
      <c r="Q358" s="4">
        <v>183</v>
      </c>
      <c r="R358" s="4">
        <v>26</v>
      </c>
      <c r="S358" s="4">
        <v>26</v>
      </c>
      <c r="T358" s="12">
        <f>Tabela32[[#This Row],[Entregas]]-Tabela32[[#This Row],[Realizadas]]</f>
        <v>0</v>
      </c>
      <c r="U358" s="18">
        <f>Tabela32[[#This Row],[Realizadas]]/Tabela32[[#This Row],[Entregas]]</f>
        <v>1</v>
      </c>
      <c r="V358" s="19" t="str">
        <f>IF(Tabela32[[#This Row],[% Entrega]]&gt;=96%,"Atendeu a Meta","Não Atendeu a Meta")</f>
        <v>Atendeu a Meta</v>
      </c>
      <c r="W358" s="4" t="s">
        <v>39</v>
      </c>
      <c r="X358" s="4">
        <v>0</v>
      </c>
      <c r="Y358" s="5">
        <v>0</v>
      </c>
    </row>
    <row r="359" spans="1:25" x14ac:dyDescent="0.25">
      <c r="A359" s="8">
        <v>46286</v>
      </c>
      <c r="B359" s="16">
        <f>YEAR(Tabela32[[#This Row],[Data]])</f>
        <v>2026</v>
      </c>
      <c r="C359" s="16">
        <f>MONTH(Tabela32[[#This Row],[Data]])</f>
        <v>9</v>
      </c>
      <c r="D359" s="4" t="s">
        <v>33</v>
      </c>
      <c r="E359" s="4">
        <v>1</v>
      </c>
      <c r="F359" s="4" t="str">
        <f>IFERROR(VLOOKUP(Tabela32[[#This Row],[Placa]],Planilha2!$A$1:$B$12,2,0),"")</f>
        <v>Paulo</v>
      </c>
      <c r="G359" s="10">
        <v>2929.13</v>
      </c>
      <c r="H359" s="10">
        <v>35646.160000000003</v>
      </c>
      <c r="I359" s="4">
        <v>226</v>
      </c>
      <c r="J359" s="17">
        <f>IFERROR(Tabela32[[#This Row],[Valor Frete]]/Tabela32[[#This Row],[Valor Mercadoria]],"")</f>
        <v>8.2172385468729306E-2</v>
      </c>
      <c r="K359" s="11">
        <v>0.29166666666666669</v>
      </c>
      <c r="L359" s="15">
        <v>0.70416666666666672</v>
      </c>
      <c r="M359" s="15">
        <f>Tabela32[[#This Row],[Hr Chegada]]-Tabela32[[#This Row],[Hr Saida]]</f>
        <v>0.41250000000000003</v>
      </c>
      <c r="N359" s="4">
        <v>155786</v>
      </c>
      <c r="O359" s="4">
        <v>155935</v>
      </c>
      <c r="P359" s="4">
        <f>Tabela32[[#This Row],[Km Chegada]]-Tabela32[[#This Row],[Km Saída]]</f>
        <v>149</v>
      </c>
      <c r="Q359" s="4">
        <v>42</v>
      </c>
      <c r="R359" s="4">
        <v>14</v>
      </c>
      <c r="S359" s="4">
        <v>14</v>
      </c>
      <c r="T359" s="12">
        <f>Tabela32[[#This Row],[Entregas]]-Tabela32[[#This Row],[Realizadas]]</f>
        <v>0</v>
      </c>
      <c r="U359" s="18">
        <f>Tabela32[[#This Row],[Realizadas]]/Tabela32[[#This Row],[Entregas]]</f>
        <v>1</v>
      </c>
      <c r="V359" s="19" t="str">
        <f>IF(Tabela32[[#This Row],[% Entrega]]&gt;=96%,"Atendeu a Meta","Não Atendeu a Meta")</f>
        <v>Atendeu a Meta</v>
      </c>
      <c r="W359" s="4" t="s">
        <v>40</v>
      </c>
      <c r="X359" s="4">
        <v>0</v>
      </c>
      <c r="Y359" s="5">
        <v>0</v>
      </c>
    </row>
    <row r="360" spans="1:25" x14ac:dyDescent="0.25">
      <c r="A360" s="8">
        <v>46286</v>
      </c>
      <c r="B360" s="16">
        <f>YEAR(Tabela32[[#This Row],[Data]])</f>
        <v>2026</v>
      </c>
      <c r="C360" s="16">
        <f>MONTH(Tabela32[[#This Row],[Data]])</f>
        <v>9</v>
      </c>
      <c r="D360" s="4" t="s">
        <v>37</v>
      </c>
      <c r="E360" s="4">
        <v>3</v>
      </c>
      <c r="F360" s="4" t="str">
        <f>IFERROR(VLOOKUP(Tabela32[[#This Row],[Placa]],Planilha2!$A$1:$B$12,2,0),"")</f>
        <v>Manoel</v>
      </c>
      <c r="G360" s="10">
        <v>795.97</v>
      </c>
      <c r="H360" s="10">
        <v>15740.97</v>
      </c>
      <c r="I360" s="4">
        <v>13</v>
      </c>
      <c r="J360" s="17">
        <f>IFERROR(Tabela32[[#This Row],[Valor Frete]]/Tabela32[[#This Row],[Valor Mercadoria]],"")</f>
        <v>5.056676939222933E-2</v>
      </c>
      <c r="K360" s="11">
        <v>0.58333333333333337</v>
      </c>
      <c r="L360" s="15">
        <v>0.70833333333333337</v>
      </c>
      <c r="M360" s="15">
        <f>Tabela32[[#This Row],[Hr Chegada]]-Tabela32[[#This Row],[Hr Saida]]</f>
        <v>0.125</v>
      </c>
      <c r="N360" s="4">
        <v>12395</v>
      </c>
      <c r="O360" s="4">
        <v>12437</v>
      </c>
      <c r="P360" s="4">
        <f>Tabela32[[#This Row],[Km Chegada]]-Tabela32[[#This Row],[Km Saída]]</f>
        <v>42</v>
      </c>
      <c r="Q360" s="4">
        <v>13</v>
      </c>
      <c r="R360" s="4">
        <v>2</v>
      </c>
      <c r="S360" s="4">
        <v>2</v>
      </c>
      <c r="T360" s="12">
        <f>Tabela32[[#This Row],[Entregas]]-Tabela32[[#This Row],[Realizadas]]</f>
        <v>0</v>
      </c>
      <c r="U360" s="18">
        <f>Tabela32[[#This Row],[Realizadas]]/Tabela32[[#This Row],[Entregas]]</f>
        <v>1</v>
      </c>
      <c r="V360" s="19" t="str">
        <f>IF(Tabela32[[#This Row],[% Entrega]]&gt;=96%,"Atendeu a Meta","Não Atendeu a Meta")</f>
        <v>Atendeu a Meta</v>
      </c>
      <c r="W360" s="4" t="s">
        <v>39</v>
      </c>
      <c r="X360" s="4">
        <v>0</v>
      </c>
      <c r="Y360" s="5">
        <v>0</v>
      </c>
    </row>
    <row r="361" spans="1:25" x14ac:dyDescent="0.25">
      <c r="A361" s="8">
        <v>46286</v>
      </c>
      <c r="B361" s="16">
        <f>YEAR(Tabela32[[#This Row],[Data]])</f>
        <v>2026</v>
      </c>
      <c r="C361" s="16">
        <f>MONTH(Tabela32[[#This Row],[Data]])</f>
        <v>9</v>
      </c>
      <c r="D361" s="4" t="s">
        <v>25</v>
      </c>
      <c r="E361" s="4">
        <v>1</v>
      </c>
      <c r="F361" s="4" t="str">
        <f>IFERROR(VLOOKUP(Tabela32[[#This Row],[Placa]],Planilha2!$A$1:$B$12,2,0),"")</f>
        <v>Gilberto</v>
      </c>
      <c r="G361" s="10">
        <v>7949.91</v>
      </c>
      <c r="H361" s="10">
        <v>124108.67</v>
      </c>
      <c r="I361" s="4">
        <v>1127</v>
      </c>
      <c r="J361" s="17">
        <f>IFERROR(Tabela32[[#This Row],[Valor Frete]]/Tabela32[[#This Row],[Valor Mercadoria]],"")</f>
        <v>6.405604056509509E-2</v>
      </c>
      <c r="K361" s="11">
        <v>0.3125</v>
      </c>
      <c r="L361" s="15">
        <v>0.70833333333333337</v>
      </c>
      <c r="M361" s="15">
        <f>Tabela32[[#This Row],[Hr Chegada]]-Tabela32[[#This Row],[Hr Saida]]</f>
        <v>0.39583333333333337</v>
      </c>
      <c r="N361" s="4">
        <v>120142</v>
      </c>
      <c r="O361" s="4">
        <v>120182</v>
      </c>
      <c r="P361" s="4">
        <f>Tabela32[[#This Row],[Km Chegada]]-Tabela32[[#This Row],[Km Saída]]</f>
        <v>40</v>
      </c>
      <c r="Q361" s="4">
        <v>155</v>
      </c>
      <c r="R361" s="4">
        <v>26</v>
      </c>
      <c r="S361" s="4">
        <v>23</v>
      </c>
      <c r="T361" s="12">
        <f>Tabela32[[#This Row],[Entregas]]-Tabela32[[#This Row],[Realizadas]]</f>
        <v>3</v>
      </c>
      <c r="U361" s="18">
        <f>Tabela32[[#This Row],[Realizadas]]/Tabela32[[#This Row],[Entregas]]</f>
        <v>0.88461538461538458</v>
      </c>
      <c r="V361" s="19" t="str">
        <f>IF(Tabela32[[#This Row],[% Entrega]]&gt;=96%,"Atendeu a Meta","Não Atendeu a Meta")</f>
        <v>Não Atendeu a Meta</v>
      </c>
      <c r="W361" s="4" t="s">
        <v>43</v>
      </c>
      <c r="X361" s="4">
        <v>4</v>
      </c>
      <c r="Y361" s="5" t="s">
        <v>85</v>
      </c>
    </row>
    <row r="362" spans="1:25" x14ac:dyDescent="0.25">
      <c r="A362" s="8">
        <v>46286</v>
      </c>
      <c r="B362" s="16">
        <f>YEAR(Tabela32[[#This Row],[Data]])</f>
        <v>2026</v>
      </c>
      <c r="C362" s="16">
        <f>MONTH(Tabela32[[#This Row],[Data]])</f>
        <v>9</v>
      </c>
      <c r="D362" s="4" t="s">
        <v>31</v>
      </c>
      <c r="E362" s="4">
        <v>5</v>
      </c>
      <c r="F362" s="4" t="str">
        <f>IFERROR(VLOOKUP(Tabela32[[#This Row],[Placa]],Planilha2!$A$1:$B$12,2,0),"")</f>
        <v>Jerson</v>
      </c>
      <c r="G362" s="10">
        <v>5549.43</v>
      </c>
      <c r="H362" s="10">
        <v>94435.31</v>
      </c>
      <c r="I362" s="4">
        <v>541</v>
      </c>
      <c r="J362" s="17">
        <f>IFERROR(Tabela32[[#This Row],[Valor Frete]]/Tabela32[[#This Row],[Valor Mercadoria]],"")</f>
        <v>5.8764354138298489E-2</v>
      </c>
      <c r="K362" s="11">
        <v>0.33333333333333331</v>
      </c>
      <c r="L362" s="15">
        <v>0.71666666666666667</v>
      </c>
      <c r="M362" s="15">
        <f>Tabela32[[#This Row],[Hr Chegada]]-Tabela32[[#This Row],[Hr Saida]]</f>
        <v>0.38333333333333336</v>
      </c>
      <c r="N362" s="4">
        <v>280717</v>
      </c>
      <c r="O362" s="4">
        <v>280801</v>
      </c>
      <c r="P362" s="4">
        <f>Tabela32[[#This Row],[Km Chegada]]-Tabela32[[#This Row],[Km Saída]]</f>
        <v>84</v>
      </c>
      <c r="Q362" s="4">
        <v>108</v>
      </c>
      <c r="R362" s="4">
        <v>31</v>
      </c>
      <c r="S362" s="4">
        <v>31</v>
      </c>
      <c r="T362" s="12">
        <f>Tabela32[[#This Row],[Entregas]]-Tabela32[[#This Row],[Realizadas]]</f>
        <v>0</v>
      </c>
      <c r="U362" s="18">
        <f>Tabela32[[#This Row],[Realizadas]]/Tabela32[[#This Row],[Entregas]]</f>
        <v>1</v>
      </c>
      <c r="V362" s="19" t="str">
        <f>IF(Tabela32[[#This Row],[% Entrega]]&gt;=96%,"Atendeu a Meta","Não Atendeu a Meta")</f>
        <v>Atendeu a Meta</v>
      </c>
      <c r="W362" s="4" t="s">
        <v>39</v>
      </c>
      <c r="X362" s="4">
        <v>1</v>
      </c>
      <c r="Y362" s="5">
        <v>9</v>
      </c>
    </row>
    <row r="363" spans="1:25" x14ac:dyDescent="0.25">
      <c r="A363" s="8">
        <v>46286</v>
      </c>
      <c r="B363" s="16">
        <f>YEAR(Tabela32[[#This Row],[Data]])</f>
        <v>2026</v>
      </c>
      <c r="C363" s="16">
        <f>MONTH(Tabela32[[#This Row],[Data]])</f>
        <v>9</v>
      </c>
      <c r="D363" s="4" t="s">
        <v>28</v>
      </c>
      <c r="E363" s="4">
        <v>1</v>
      </c>
      <c r="F363" s="4" t="str">
        <f>IFERROR(VLOOKUP(Tabela32[[#This Row],[Placa]],Planilha2!$A$1:$B$12,2,0),"")</f>
        <v>Edilson</v>
      </c>
      <c r="G363" s="10">
        <v>29994.17</v>
      </c>
      <c r="H363" s="10">
        <v>232856.46</v>
      </c>
      <c r="I363" s="4">
        <v>3895</v>
      </c>
      <c r="J363" s="17">
        <f>IFERROR(Tabela32[[#This Row],[Valor Frete]]/Tabela32[[#This Row],[Valor Mercadoria]],"")</f>
        <v>0.12880969675481624</v>
      </c>
      <c r="K363" s="11">
        <v>0.29166666666666669</v>
      </c>
      <c r="L363" s="15">
        <v>0.75</v>
      </c>
      <c r="M363" s="15">
        <f>Tabela32[[#This Row],[Hr Chegada]]-Tabela32[[#This Row],[Hr Saida]]</f>
        <v>0.45833333333333331</v>
      </c>
      <c r="N363" s="4">
        <v>105897</v>
      </c>
      <c r="O363" s="4">
        <v>105931</v>
      </c>
      <c r="P363" s="4">
        <f>Tabela32[[#This Row],[Km Chegada]]-Tabela32[[#This Row],[Km Saída]]</f>
        <v>34</v>
      </c>
      <c r="Q363" s="4">
        <v>1187</v>
      </c>
      <c r="R363" s="4">
        <v>1</v>
      </c>
      <c r="S363" s="4">
        <v>1</v>
      </c>
      <c r="T363" s="12">
        <f>Tabela32[[#This Row],[Entregas]]-Tabela32[[#This Row],[Realizadas]]</f>
        <v>0</v>
      </c>
      <c r="U363" s="18">
        <f>Tabela32[[#This Row],[Realizadas]]/Tabela32[[#This Row],[Entregas]]</f>
        <v>1</v>
      </c>
      <c r="V363" s="19" t="str">
        <f>IF(Tabela32[[#This Row],[% Entrega]]&gt;=96%,"Atendeu a Meta","Não Atendeu a Meta")</f>
        <v>Atendeu a Meta</v>
      </c>
      <c r="W363" s="4" t="s">
        <v>40</v>
      </c>
      <c r="X363" s="4">
        <v>0</v>
      </c>
      <c r="Y363" s="5">
        <v>0</v>
      </c>
    </row>
    <row r="364" spans="1:25" x14ac:dyDescent="0.25">
      <c r="A364" s="8">
        <v>46286</v>
      </c>
      <c r="B364" s="16">
        <f>YEAR(Tabela32[[#This Row],[Data]])</f>
        <v>2026</v>
      </c>
      <c r="C364" s="16">
        <f>MONTH(Tabela32[[#This Row],[Data]])</f>
        <v>9</v>
      </c>
      <c r="D364" s="4" t="s">
        <v>27</v>
      </c>
      <c r="E364" s="4">
        <v>4</v>
      </c>
      <c r="F364" s="4" t="str">
        <f>IFERROR(VLOOKUP(Tabela32[[#This Row],[Placa]],Planilha2!$A$1:$B$12,2,0),"")</f>
        <v>Rosinaldo</v>
      </c>
      <c r="G364" s="10">
        <v>8805.2099999999991</v>
      </c>
      <c r="H364" s="10">
        <v>200874.32</v>
      </c>
      <c r="I364" s="4">
        <v>1306</v>
      </c>
      <c r="J364" s="17">
        <f>IFERROR(Tabela32[[#This Row],[Valor Frete]]/Tabela32[[#This Row],[Valor Mercadoria]],"")</f>
        <v>4.3834423434513672E-2</v>
      </c>
      <c r="K364" s="11">
        <v>0.29166666666666669</v>
      </c>
      <c r="L364" s="15">
        <v>0.75208333333333333</v>
      </c>
      <c r="M364" s="15">
        <f>Tabela32[[#This Row],[Hr Chegada]]-Tabela32[[#This Row],[Hr Saida]]</f>
        <v>0.46041666666666664</v>
      </c>
      <c r="N364" s="4">
        <v>291597</v>
      </c>
      <c r="O364" s="4">
        <v>291668</v>
      </c>
      <c r="P364" s="4">
        <f>Tabela32[[#This Row],[Km Chegada]]-Tabela32[[#This Row],[Km Saída]]</f>
        <v>71</v>
      </c>
      <c r="Q364" s="4">
        <v>185</v>
      </c>
      <c r="R364" s="4">
        <v>30</v>
      </c>
      <c r="S364" s="4">
        <v>30</v>
      </c>
      <c r="T364" s="12">
        <f>Tabela32[[#This Row],[Entregas]]-Tabela32[[#This Row],[Realizadas]]</f>
        <v>0</v>
      </c>
      <c r="U364" s="18">
        <f>Tabela32[[#This Row],[Realizadas]]/Tabela32[[#This Row],[Entregas]]</f>
        <v>1</v>
      </c>
      <c r="V364" s="19" t="str">
        <f>IF(Tabela32[[#This Row],[% Entrega]]&gt;=96%,"Atendeu a Meta","Não Atendeu a Meta")</f>
        <v>Atendeu a Meta</v>
      </c>
      <c r="W364" s="4" t="s">
        <v>39</v>
      </c>
      <c r="X364" s="4">
        <v>0</v>
      </c>
      <c r="Y364" s="5">
        <v>0</v>
      </c>
    </row>
    <row r="365" spans="1:25" x14ac:dyDescent="0.25">
      <c r="A365" s="8">
        <v>46286</v>
      </c>
      <c r="B365" s="16">
        <f>YEAR(Tabela32[[#This Row],[Data]])</f>
        <v>2026</v>
      </c>
      <c r="C365" s="16">
        <f>MONTH(Tabela32[[#This Row],[Data]])</f>
        <v>9</v>
      </c>
      <c r="D365" s="4" t="s">
        <v>29</v>
      </c>
      <c r="E365" s="4">
        <v>1</v>
      </c>
      <c r="F365" s="4" t="str">
        <f>IFERROR(VLOOKUP(Tabela32[[#This Row],[Placa]],Planilha2!$A$1:$B$12,2,0),"")</f>
        <v>Sandro</v>
      </c>
      <c r="G365" s="10">
        <v>3409.79</v>
      </c>
      <c r="H365" s="10">
        <v>67607.839999999997</v>
      </c>
      <c r="I365" s="4">
        <v>478</v>
      </c>
      <c r="J365" s="17">
        <f>IFERROR(Tabela32[[#This Row],[Valor Frete]]/Tabela32[[#This Row],[Valor Mercadoria]],"")</f>
        <v>5.0434831226674304E-2</v>
      </c>
      <c r="K365" s="11">
        <v>0.29166666666666669</v>
      </c>
      <c r="L365" s="15">
        <v>0.76041666666666663</v>
      </c>
      <c r="M365" s="15">
        <f>Tabela32[[#This Row],[Hr Chegada]]-Tabela32[[#This Row],[Hr Saida]]</f>
        <v>0.46874999999999994</v>
      </c>
      <c r="N365" s="4">
        <v>275923</v>
      </c>
      <c r="O365" s="4">
        <v>276025</v>
      </c>
      <c r="P365" s="4">
        <f>Tabela32[[#This Row],[Km Chegada]]-Tabela32[[#This Row],[Km Saída]]</f>
        <v>102</v>
      </c>
      <c r="Q365" s="4">
        <v>103</v>
      </c>
      <c r="R365" s="4">
        <v>10</v>
      </c>
      <c r="S365" s="4">
        <v>10</v>
      </c>
      <c r="T365" s="12">
        <f>Tabela32[[#This Row],[Entregas]]-Tabela32[[#This Row],[Realizadas]]</f>
        <v>0</v>
      </c>
      <c r="U365" s="18">
        <f>Tabela32[[#This Row],[Realizadas]]/Tabela32[[#This Row],[Entregas]]</f>
        <v>1</v>
      </c>
      <c r="V365" s="19" t="str">
        <f>IF(Tabela32[[#This Row],[% Entrega]]&gt;=96%,"Atendeu a Meta","Não Atendeu a Meta")</f>
        <v>Atendeu a Meta</v>
      </c>
      <c r="W365" s="4" t="s">
        <v>43</v>
      </c>
      <c r="X365" s="4">
        <v>0</v>
      </c>
      <c r="Y365" s="5">
        <v>0</v>
      </c>
    </row>
    <row r="366" spans="1:25" x14ac:dyDescent="0.25">
      <c r="A366" s="8">
        <v>46284</v>
      </c>
      <c r="B366" s="16">
        <f>YEAR(Tabela32[[#This Row],[Data]])</f>
        <v>2026</v>
      </c>
      <c r="C366" s="16">
        <f>MONTH(Tabela32[[#This Row],[Data]])</f>
        <v>9</v>
      </c>
      <c r="D366" s="4" t="s">
        <v>22</v>
      </c>
      <c r="E366" s="4">
        <v>11</v>
      </c>
      <c r="F366" s="4" t="str">
        <f>IFERROR(VLOOKUP(Tabela32[[#This Row],[Placa]],Planilha2!$A$1:$B$12,2,0),"")</f>
        <v>Wesley</v>
      </c>
      <c r="G366" s="10">
        <v>9000.1200000000008</v>
      </c>
      <c r="H366" s="10">
        <v>133683.42000000001</v>
      </c>
      <c r="I366" s="4">
        <v>1122</v>
      </c>
      <c r="J366" s="17">
        <f>IFERROR(Tabela32[[#This Row],[Valor Frete]]/Tabela32[[#This Row],[Valor Mercadoria]],"")</f>
        <v>6.7324130397023049E-2</v>
      </c>
      <c r="K366" s="11">
        <v>0.27083333333333331</v>
      </c>
      <c r="L366" s="15">
        <v>0.48333333333333334</v>
      </c>
      <c r="M366" s="15">
        <f>Tabela32[[#This Row],[Hr Chegada]]-Tabela32[[#This Row],[Hr Saida]]</f>
        <v>0.21250000000000002</v>
      </c>
      <c r="N366" s="4">
        <v>305140</v>
      </c>
      <c r="O366" s="4">
        <v>305258</v>
      </c>
      <c r="P366" s="4">
        <f>Tabela32[[#This Row],[Km Chegada]]-Tabela32[[#This Row],[Km Saída]]</f>
        <v>118</v>
      </c>
      <c r="Q366" s="4">
        <v>164</v>
      </c>
      <c r="R366" s="4">
        <v>37</v>
      </c>
      <c r="S366" s="4">
        <v>37</v>
      </c>
      <c r="T366" s="12">
        <f>Tabela32[[#This Row],[Entregas]]-Tabela32[[#This Row],[Realizadas]]</f>
        <v>0</v>
      </c>
      <c r="U366" s="18">
        <f>Tabela32[[#This Row],[Realizadas]]/Tabela32[[#This Row],[Entregas]]</f>
        <v>1</v>
      </c>
      <c r="V366" s="19" t="str">
        <f>IF(Tabela32[[#This Row],[% Entrega]]&gt;=96%,"Atendeu a Meta","Não Atendeu a Meta")</f>
        <v>Atendeu a Meta</v>
      </c>
      <c r="W366" s="4" t="s">
        <v>41</v>
      </c>
      <c r="X366" s="4">
        <v>0</v>
      </c>
      <c r="Y366" s="5">
        <v>0</v>
      </c>
    </row>
    <row r="367" spans="1:25" x14ac:dyDescent="0.25">
      <c r="A367" s="8">
        <v>46284</v>
      </c>
      <c r="B367" s="16">
        <f>YEAR(Tabela32[[#This Row],[Data]])</f>
        <v>2026</v>
      </c>
      <c r="C367" s="16">
        <f>MONTH(Tabela32[[#This Row],[Data]])</f>
        <v>9</v>
      </c>
      <c r="D367" s="4" t="s">
        <v>35</v>
      </c>
      <c r="E367" s="4">
        <v>3</v>
      </c>
      <c r="F367" s="4" t="str">
        <f>IFERROR(VLOOKUP(Tabela32[[#This Row],[Placa]],Planilha2!$A$1:$B$12,2,0),"")</f>
        <v>Osvaldo</v>
      </c>
      <c r="G367" s="10">
        <v>4098.82</v>
      </c>
      <c r="H367" s="10">
        <v>104510.87</v>
      </c>
      <c r="I367" s="4">
        <v>726</v>
      </c>
      <c r="J367" s="17">
        <f>IFERROR(Tabela32[[#This Row],[Valor Frete]]/Tabela32[[#This Row],[Valor Mercadoria]],"")</f>
        <v>3.9219078359983034E-2</v>
      </c>
      <c r="K367" s="11">
        <v>0.3125</v>
      </c>
      <c r="L367" s="15">
        <v>0.50416666666666665</v>
      </c>
      <c r="M367" s="15">
        <f>Tabela32[[#This Row],[Hr Chegada]]-Tabela32[[#This Row],[Hr Saida]]</f>
        <v>0.19166666666666665</v>
      </c>
      <c r="N367" s="4">
        <v>143445</v>
      </c>
      <c r="O367" s="4">
        <v>143494</v>
      </c>
      <c r="P367" s="4">
        <f>Tabela32[[#This Row],[Km Chegada]]-Tabela32[[#This Row],[Km Saída]]</f>
        <v>49</v>
      </c>
      <c r="Q367" s="4">
        <v>137</v>
      </c>
      <c r="R367" s="4">
        <v>7</v>
      </c>
      <c r="S367" s="4">
        <v>7</v>
      </c>
      <c r="T367" s="12">
        <f>Tabela32[[#This Row],[Entregas]]-Tabela32[[#This Row],[Realizadas]]</f>
        <v>0</v>
      </c>
      <c r="U367" s="18">
        <f>Tabela32[[#This Row],[Realizadas]]/Tabela32[[#This Row],[Entregas]]</f>
        <v>1</v>
      </c>
      <c r="V367" s="19" t="str">
        <f>IF(Tabela32[[#This Row],[% Entrega]]&gt;=96%,"Atendeu a Meta","Não Atendeu a Meta")</f>
        <v>Atendeu a Meta</v>
      </c>
      <c r="W367" s="4" t="s">
        <v>39</v>
      </c>
      <c r="X367" s="4">
        <v>0</v>
      </c>
      <c r="Y367" s="5">
        <v>0</v>
      </c>
    </row>
    <row r="368" spans="1:25" x14ac:dyDescent="0.25">
      <c r="A368" s="8">
        <v>46284</v>
      </c>
      <c r="B368" s="16">
        <f>YEAR(Tabela32[[#This Row],[Data]])</f>
        <v>2026</v>
      </c>
      <c r="C368" s="16">
        <f>MONTH(Tabela32[[#This Row],[Data]])</f>
        <v>9</v>
      </c>
      <c r="D368" s="4" t="s">
        <v>33</v>
      </c>
      <c r="E368" s="4">
        <v>1</v>
      </c>
      <c r="F368" s="4" t="str">
        <f>IFERROR(VLOOKUP(Tabela32[[#This Row],[Placa]],Planilha2!$A$1:$B$12,2,0),"")</f>
        <v>Paulo</v>
      </c>
      <c r="G368" s="10">
        <v>512.66999999999996</v>
      </c>
      <c r="H368" s="10">
        <v>31213</v>
      </c>
      <c r="I368" s="4">
        <v>62</v>
      </c>
      <c r="J368" s="17">
        <f>IFERROR(Tabela32[[#This Row],[Valor Frete]]/Tabela32[[#This Row],[Valor Mercadoria]],"")</f>
        <v>1.6424887066286482E-2</v>
      </c>
      <c r="K368" s="11">
        <v>0.33333333333333331</v>
      </c>
      <c r="L368" s="15">
        <v>0.45833333333333331</v>
      </c>
      <c r="M368" s="15">
        <f>Tabela32[[#This Row],[Hr Chegada]]-Tabela32[[#This Row],[Hr Saida]]</f>
        <v>0.125</v>
      </c>
      <c r="N368" s="4">
        <v>155756</v>
      </c>
      <c r="O368" s="4">
        <v>155786</v>
      </c>
      <c r="P368" s="4">
        <f>Tabela32[[#This Row],[Km Chegada]]-Tabela32[[#This Row],[Km Saída]]</f>
        <v>30</v>
      </c>
      <c r="Q368" s="4">
        <v>20</v>
      </c>
      <c r="R368" s="4">
        <v>1</v>
      </c>
      <c r="S368" s="4">
        <v>1</v>
      </c>
      <c r="T368" s="12">
        <f>Tabela32[[#This Row],[Entregas]]-Tabela32[[#This Row],[Realizadas]]</f>
        <v>0</v>
      </c>
      <c r="U368" s="18">
        <f>Tabela32[[#This Row],[Realizadas]]/Tabela32[[#This Row],[Entregas]]</f>
        <v>1</v>
      </c>
      <c r="V368" s="19" t="str">
        <f>IF(Tabela32[[#This Row],[% Entrega]]&gt;=96%,"Atendeu a Meta","Não Atendeu a Meta")</f>
        <v>Atendeu a Meta</v>
      </c>
      <c r="W368" s="4" t="s">
        <v>40</v>
      </c>
      <c r="X368" s="4">
        <v>0</v>
      </c>
      <c r="Y368" s="5">
        <v>0</v>
      </c>
    </row>
    <row r="369" spans="1:25" x14ac:dyDescent="0.25">
      <c r="A369" s="8">
        <v>46287</v>
      </c>
      <c r="B369" s="16">
        <f>YEAR(Tabela32[[#This Row],[Data]])</f>
        <v>2026</v>
      </c>
      <c r="C369" s="16">
        <f>MONTH(Tabela32[[#This Row],[Data]])</f>
        <v>9</v>
      </c>
      <c r="D369" s="4" t="s">
        <v>31</v>
      </c>
      <c r="E369" s="4">
        <v>5</v>
      </c>
      <c r="F369" s="4" t="str">
        <f>IFERROR(VLOOKUP(Tabela32[[#This Row],[Placa]],Planilha2!$A$1:$B$12,2,0),"")</f>
        <v>Jerson</v>
      </c>
      <c r="G369" s="10">
        <v>4644.68</v>
      </c>
      <c r="H369" s="10">
        <v>94224.9</v>
      </c>
      <c r="I369" s="4">
        <v>913</v>
      </c>
      <c r="J369" s="17">
        <f>IFERROR(Tabela32[[#This Row],[Valor Frete]]/Tabela32[[#This Row],[Valor Mercadoria]],"")</f>
        <v>4.929355191674388E-2</v>
      </c>
      <c r="K369" s="11">
        <v>0.30208333333333331</v>
      </c>
      <c r="L369" s="15">
        <v>0.75</v>
      </c>
      <c r="M369" s="15">
        <f>Tabela32[[#This Row],[Hr Chegada]]-Tabela32[[#This Row],[Hr Saida]]</f>
        <v>0.44791666666666669</v>
      </c>
      <c r="N369" s="4">
        <v>280801</v>
      </c>
      <c r="O369" s="4">
        <v>280890</v>
      </c>
      <c r="P369" s="4">
        <f>Tabela32[[#This Row],[Km Chegada]]-Tabela32[[#This Row],[Km Saída]]</f>
        <v>89</v>
      </c>
      <c r="Q369" s="4">
        <v>201</v>
      </c>
      <c r="R369" s="4">
        <v>13</v>
      </c>
      <c r="S369" s="4">
        <v>13</v>
      </c>
      <c r="T369" s="12">
        <f>Tabela32[[#This Row],[Entregas]]-Tabela32[[#This Row],[Realizadas]]</f>
        <v>0</v>
      </c>
      <c r="U369" s="18">
        <f>Tabela32[[#This Row],[Realizadas]]/Tabela32[[#This Row],[Entregas]]</f>
        <v>1</v>
      </c>
      <c r="V369" s="19" t="str">
        <f>IF(Tabela32[[#This Row],[% Entrega]]&gt;=96%,"Atendeu a Meta","Não Atendeu a Meta")</f>
        <v>Atendeu a Meta</v>
      </c>
      <c r="W369" s="4" t="s">
        <v>39</v>
      </c>
      <c r="X369" s="4">
        <v>0</v>
      </c>
      <c r="Y369" s="5">
        <v>0</v>
      </c>
    </row>
    <row r="370" spans="1:25" x14ac:dyDescent="0.25">
      <c r="A370" s="8">
        <v>46287</v>
      </c>
      <c r="B370" s="16">
        <f>YEAR(Tabela32[[#This Row],[Data]])</f>
        <v>2026</v>
      </c>
      <c r="C370" s="16">
        <f>MONTH(Tabela32[[#This Row],[Data]])</f>
        <v>9</v>
      </c>
      <c r="D370" s="4" t="s">
        <v>29</v>
      </c>
      <c r="E370" s="4">
        <v>3</v>
      </c>
      <c r="F370" s="4" t="str">
        <f>IFERROR(VLOOKUP(Tabela32[[#This Row],[Placa]],Planilha2!$A$1:$B$12,2,0),"")</f>
        <v>Sandro</v>
      </c>
      <c r="G370" s="10">
        <v>7506.49</v>
      </c>
      <c r="H370" s="10">
        <v>202005.7</v>
      </c>
      <c r="I370" s="4">
        <v>1611</v>
      </c>
      <c r="J370" s="17">
        <f>IFERROR(Tabela32[[#This Row],[Valor Frete]]/Tabela32[[#This Row],[Valor Mercadoria]],"")</f>
        <v>3.7159793015741634E-2</v>
      </c>
      <c r="K370" s="11">
        <v>0.29166666666666669</v>
      </c>
      <c r="L370" s="15">
        <v>0.80902777777777779</v>
      </c>
      <c r="M370" s="15">
        <f>Tabela32[[#This Row],[Hr Chegada]]-Tabela32[[#This Row],[Hr Saida]]</f>
        <v>0.51736111111111116</v>
      </c>
      <c r="N370" s="4">
        <v>276025</v>
      </c>
      <c r="O370" s="4">
        <v>276067</v>
      </c>
      <c r="P370" s="4">
        <f>Tabela32[[#This Row],[Km Chegada]]-Tabela32[[#This Row],[Km Saída]]</f>
        <v>42</v>
      </c>
      <c r="Q370" s="4">
        <v>3</v>
      </c>
      <c r="R370" s="4">
        <v>1</v>
      </c>
      <c r="S370" s="4">
        <v>1</v>
      </c>
      <c r="T370" s="12">
        <f>Tabela32[[#This Row],[Entregas]]-Tabela32[[#This Row],[Realizadas]]</f>
        <v>0</v>
      </c>
      <c r="U370" s="18">
        <f>Tabela32[[#This Row],[Realizadas]]/Tabela32[[#This Row],[Entregas]]</f>
        <v>1</v>
      </c>
      <c r="V370" s="19" t="str">
        <f>IF(Tabela32[[#This Row],[% Entrega]]&gt;=96%,"Atendeu a Meta","Não Atendeu a Meta")</f>
        <v>Atendeu a Meta</v>
      </c>
      <c r="W370" s="4" t="s">
        <v>40</v>
      </c>
      <c r="X370" s="4">
        <v>0</v>
      </c>
      <c r="Y370" s="5">
        <v>0</v>
      </c>
    </row>
    <row r="371" spans="1:25" x14ac:dyDescent="0.25">
      <c r="A371" s="8">
        <v>46287</v>
      </c>
      <c r="B371" s="16">
        <f>YEAR(Tabela32[[#This Row],[Data]])</f>
        <v>2026</v>
      </c>
      <c r="C371" s="16">
        <f>MONTH(Tabela32[[#This Row],[Data]])</f>
        <v>9</v>
      </c>
      <c r="D371" s="4" t="s">
        <v>27</v>
      </c>
      <c r="E371" s="4">
        <v>1</v>
      </c>
      <c r="F371" s="4" t="str">
        <f>IFERROR(VLOOKUP(Tabela32[[#This Row],[Placa]],Planilha2!$A$1:$B$12,2,0),"")</f>
        <v>Rosinaldo</v>
      </c>
      <c r="G371" s="10">
        <v>4164.1000000000004</v>
      </c>
      <c r="H371" s="10">
        <v>43167.4</v>
      </c>
      <c r="I371" s="4">
        <v>778</v>
      </c>
      <c r="J371" s="17">
        <f>IFERROR(Tabela32[[#This Row],[Valor Frete]]/Tabela32[[#This Row],[Valor Mercadoria]],"")</f>
        <v>9.6463998295009665E-2</v>
      </c>
      <c r="K371" s="11">
        <v>0.29166666666666669</v>
      </c>
      <c r="L371" s="15">
        <v>0.66388888888888886</v>
      </c>
      <c r="M371" s="15">
        <f>Tabela32[[#This Row],[Hr Chegada]]-Tabela32[[#This Row],[Hr Saida]]</f>
        <v>0.37222222222222218</v>
      </c>
      <c r="N371" s="4">
        <v>291668</v>
      </c>
      <c r="O371" s="4">
        <v>291707</v>
      </c>
      <c r="P371" s="4">
        <f>Tabela32[[#This Row],[Km Chegada]]-Tabela32[[#This Row],[Km Saída]]</f>
        <v>39</v>
      </c>
      <c r="Q371" s="4">
        <v>155</v>
      </c>
      <c r="R371" s="4">
        <v>6</v>
      </c>
      <c r="S371" s="4">
        <v>6</v>
      </c>
      <c r="T371" s="12">
        <f>Tabela32[[#This Row],[Entregas]]-Tabela32[[#This Row],[Realizadas]]</f>
        <v>0</v>
      </c>
      <c r="U371" s="18">
        <f>Tabela32[[#This Row],[Realizadas]]/Tabela32[[#This Row],[Entregas]]</f>
        <v>1</v>
      </c>
      <c r="V371" s="19" t="str">
        <f>IF(Tabela32[[#This Row],[% Entrega]]&gt;=96%,"Atendeu a Meta","Não Atendeu a Meta")</f>
        <v>Atendeu a Meta</v>
      </c>
      <c r="W371" s="4" t="s">
        <v>43</v>
      </c>
      <c r="X371" s="4">
        <v>0</v>
      </c>
      <c r="Y371" s="5">
        <v>0</v>
      </c>
    </row>
    <row r="372" spans="1:25" x14ac:dyDescent="0.25">
      <c r="A372" s="8">
        <v>46287</v>
      </c>
      <c r="B372" s="16">
        <f>YEAR(Tabela32[[#This Row],[Data]])</f>
        <v>2026</v>
      </c>
      <c r="C372" s="16">
        <f>MONTH(Tabela32[[#This Row],[Data]])</f>
        <v>9</v>
      </c>
      <c r="D372" s="4" t="s">
        <v>35</v>
      </c>
      <c r="E372" s="4">
        <v>1</v>
      </c>
      <c r="F372" s="4" t="str">
        <f>IFERROR(VLOOKUP(Tabela32[[#This Row],[Placa]],Planilha2!$A$1:$B$12,2,0),"")</f>
        <v>Osvaldo</v>
      </c>
      <c r="G372" s="10">
        <v>6513.12</v>
      </c>
      <c r="H372" s="10">
        <v>54219.19</v>
      </c>
      <c r="I372" s="4">
        <v>229</v>
      </c>
      <c r="J372" s="17">
        <f>IFERROR(Tabela32[[#This Row],[Valor Frete]]/Tabela32[[#This Row],[Valor Mercadoria]],"")</f>
        <v>0.12012573408049806</v>
      </c>
      <c r="K372" s="11">
        <v>0.29166666666666669</v>
      </c>
      <c r="L372" s="15">
        <v>0.71666666666666667</v>
      </c>
      <c r="M372" s="15">
        <f>Tabela32[[#This Row],[Hr Chegada]]-Tabela32[[#This Row],[Hr Saida]]</f>
        <v>0.42499999999999999</v>
      </c>
      <c r="N372" s="4">
        <v>143560</v>
      </c>
      <c r="O372" s="4">
        <v>143701</v>
      </c>
      <c r="P372" s="4">
        <f>Tabela32[[#This Row],[Km Chegada]]-Tabela32[[#This Row],[Km Saída]]</f>
        <v>141</v>
      </c>
      <c r="Q372" s="4">
        <v>229</v>
      </c>
      <c r="R372" s="4">
        <v>10</v>
      </c>
      <c r="S372" s="4">
        <v>10</v>
      </c>
      <c r="T372" s="12">
        <f>Tabela32[[#This Row],[Entregas]]-Tabela32[[#This Row],[Realizadas]]</f>
        <v>0</v>
      </c>
      <c r="U372" s="18">
        <f>Tabela32[[#This Row],[Realizadas]]/Tabela32[[#This Row],[Entregas]]</f>
        <v>1</v>
      </c>
      <c r="V372" s="19" t="str">
        <f>IF(Tabela32[[#This Row],[% Entrega]]&gt;=96%,"Atendeu a Meta","Não Atendeu a Meta")</f>
        <v>Atendeu a Meta</v>
      </c>
      <c r="W372" s="4" t="s">
        <v>40</v>
      </c>
      <c r="X372" s="4">
        <v>4</v>
      </c>
      <c r="Y372" s="5" t="s">
        <v>86</v>
      </c>
    </row>
    <row r="373" spans="1:25" x14ac:dyDescent="0.25">
      <c r="A373" s="8">
        <v>46287</v>
      </c>
      <c r="B373" s="16">
        <f>YEAR(Tabela32[[#This Row],[Data]])</f>
        <v>2026</v>
      </c>
      <c r="C373" s="16">
        <f>MONTH(Tabela32[[#This Row],[Data]])</f>
        <v>9</v>
      </c>
      <c r="D373" s="4" t="s">
        <v>25</v>
      </c>
      <c r="E373" s="4">
        <v>3</v>
      </c>
      <c r="F373" s="4" t="str">
        <f>IFERROR(VLOOKUP(Tabela32[[#This Row],[Placa]],Planilha2!$A$1:$B$12,2,0),"")</f>
        <v>Gilberto</v>
      </c>
      <c r="G373" s="10">
        <v>503.65</v>
      </c>
      <c r="H373" s="10">
        <v>7881.12</v>
      </c>
      <c r="I373" s="4">
        <v>28</v>
      </c>
      <c r="J373" s="17">
        <f>IFERROR(Tabela32[[#This Row],[Valor Frete]]/Tabela32[[#This Row],[Valor Mercadoria]],"")</f>
        <v>6.3905891548409366E-2</v>
      </c>
      <c r="K373" s="11">
        <v>0.41666666666666669</v>
      </c>
      <c r="L373" s="15">
        <v>0.53125</v>
      </c>
      <c r="M373" s="15">
        <f>Tabela32[[#This Row],[Hr Chegada]]-Tabela32[[#This Row],[Hr Saida]]</f>
        <v>0.11458333333333331</v>
      </c>
      <c r="N373" s="4">
        <v>120182</v>
      </c>
      <c r="O373" s="4">
        <v>120198</v>
      </c>
      <c r="P373" s="4">
        <f>Tabela32[[#This Row],[Km Chegada]]-Tabela32[[#This Row],[Km Saída]]</f>
        <v>16</v>
      </c>
      <c r="Q373" s="4">
        <v>4</v>
      </c>
      <c r="R373" s="4">
        <v>2</v>
      </c>
      <c r="S373" s="4">
        <v>2</v>
      </c>
      <c r="T373" s="12">
        <f>Tabela32[[#This Row],[Entregas]]-Tabela32[[#This Row],[Realizadas]]</f>
        <v>0</v>
      </c>
      <c r="U373" s="18">
        <f>Tabela32[[#This Row],[Realizadas]]/Tabela32[[#This Row],[Entregas]]</f>
        <v>1</v>
      </c>
      <c r="V373" s="19" t="str">
        <f>IF(Tabela32[[#This Row],[% Entrega]]&gt;=96%,"Atendeu a Meta","Não Atendeu a Meta")</f>
        <v>Atendeu a Meta</v>
      </c>
      <c r="W373" s="4" t="s">
        <v>39</v>
      </c>
      <c r="X373" s="4">
        <v>0</v>
      </c>
      <c r="Y373" s="5">
        <v>0</v>
      </c>
    </row>
    <row r="374" spans="1:25" x14ac:dyDescent="0.25">
      <c r="A374" s="8">
        <v>46287</v>
      </c>
      <c r="B374" s="16">
        <f>YEAR(Tabela32[[#This Row],[Data]])</f>
        <v>2026</v>
      </c>
      <c r="C374" s="16">
        <f>MONTH(Tabela32[[#This Row],[Data]])</f>
        <v>9</v>
      </c>
      <c r="D374" s="4" t="s">
        <v>36</v>
      </c>
      <c r="E374" s="4">
        <v>5</v>
      </c>
      <c r="F374" s="4" t="str">
        <f>IFERROR(VLOOKUP(Tabela32[[#This Row],[Placa]],Planilha2!$A$1:$B$12,2,0),"")</f>
        <v>Heremilton</v>
      </c>
      <c r="G374" s="10">
        <v>34255.589999999997</v>
      </c>
      <c r="H374" s="10">
        <v>676663.59</v>
      </c>
      <c r="I374" s="4">
        <v>8307</v>
      </c>
      <c r="J374" s="17">
        <f>IFERROR(Tabela32[[#This Row],[Valor Frete]]/Tabela32[[#This Row],[Valor Mercadoria]],"")</f>
        <v>5.0624254808803879E-2</v>
      </c>
      <c r="K374" s="11">
        <v>0.27569444444444446</v>
      </c>
      <c r="L374" s="15">
        <v>0.64583333333333337</v>
      </c>
      <c r="M374" s="15">
        <f>Tabela32[[#This Row],[Hr Chegada]]-Tabela32[[#This Row],[Hr Saida]]</f>
        <v>0.37013888888888891</v>
      </c>
      <c r="N374" s="4">
        <v>366295</v>
      </c>
      <c r="O374" s="4">
        <v>366330</v>
      </c>
      <c r="P374" s="4">
        <f>Tabela32[[#This Row],[Km Chegada]]-Tabela32[[#This Row],[Km Saída]]</f>
        <v>35</v>
      </c>
      <c r="Q374" s="4">
        <v>1640</v>
      </c>
      <c r="R374" s="4">
        <v>10</v>
      </c>
      <c r="S374" s="4">
        <v>10</v>
      </c>
      <c r="T374" s="12">
        <f>Tabela32[[#This Row],[Entregas]]-Tabela32[[#This Row],[Realizadas]]</f>
        <v>0</v>
      </c>
      <c r="U374" s="18">
        <f>Tabela32[[#This Row],[Realizadas]]/Tabela32[[#This Row],[Entregas]]</f>
        <v>1</v>
      </c>
      <c r="V374" s="19" t="str">
        <f>IF(Tabela32[[#This Row],[% Entrega]]&gt;=96%,"Atendeu a Meta","Não Atendeu a Meta")</f>
        <v>Atendeu a Meta</v>
      </c>
      <c r="W374" s="4" t="s">
        <v>39</v>
      </c>
      <c r="X374" s="4">
        <v>0</v>
      </c>
      <c r="Y374" s="5">
        <v>0</v>
      </c>
    </row>
    <row r="375" spans="1:25" x14ac:dyDescent="0.25">
      <c r="A375" s="8">
        <v>46287</v>
      </c>
      <c r="B375" s="16">
        <f>YEAR(Tabela32[[#This Row],[Data]])</f>
        <v>2026</v>
      </c>
      <c r="C375" s="16">
        <f>MONTH(Tabela32[[#This Row],[Data]])</f>
        <v>9</v>
      </c>
      <c r="D375" s="4" t="s">
        <v>23</v>
      </c>
      <c r="E375" s="4">
        <v>1</v>
      </c>
      <c r="F375" s="4" t="str">
        <f>IFERROR(VLOOKUP(Tabela32[[#This Row],[Placa]],Planilha2!$A$1:$B$12,2,0),"")</f>
        <v>William</v>
      </c>
      <c r="G375" s="10">
        <v>6596.24</v>
      </c>
      <c r="H375" s="10">
        <v>24651.56</v>
      </c>
      <c r="I375" s="4">
        <v>743</v>
      </c>
      <c r="J375" s="17">
        <f>IFERROR(Tabela32[[#This Row],[Valor Frete]]/Tabela32[[#This Row],[Valor Mercadoria]],"")</f>
        <v>0.2675790091986065</v>
      </c>
      <c r="K375" s="11">
        <v>0.3125</v>
      </c>
      <c r="L375" s="15">
        <v>0.72916666666666663</v>
      </c>
      <c r="M375" s="15">
        <f>Tabela32[[#This Row],[Hr Chegada]]-Tabela32[[#This Row],[Hr Saida]]</f>
        <v>0.41666666666666663</v>
      </c>
      <c r="N375" s="4">
        <v>125748</v>
      </c>
      <c r="O375" s="4">
        <v>125778</v>
      </c>
      <c r="P375" s="4">
        <f>Tabela32[[#This Row],[Km Chegada]]-Tabela32[[#This Row],[Km Saída]]</f>
        <v>30</v>
      </c>
      <c r="Q375" s="4">
        <v>366</v>
      </c>
      <c r="R375" s="4">
        <v>1</v>
      </c>
      <c r="S375" s="4">
        <v>1</v>
      </c>
      <c r="T375" s="12">
        <f>Tabela32[[#This Row],[Entregas]]-Tabela32[[#This Row],[Realizadas]]</f>
        <v>0</v>
      </c>
      <c r="U375" s="18">
        <f>Tabela32[[#This Row],[Realizadas]]/Tabela32[[#This Row],[Entregas]]</f>
        <v>1</v>
      </c>
      <c r="V375" s="19" t="str">
        <f>IF(Tabela32[[#This Row],[% Entrega]]&gt;=96%,"Atendeu a Meta","Não Atendeu a Meta")</f>
        <v>Atendeu a Meta</v>
      </c>
      <c r="W375" s="4" t="s">
        <v>40</v>
      </c>
      <c r="X375" s="4">
        <v>0</v>
      </c>
      <c r="Y375" s="5">
        <v>0</v>
      </c>
    </row>
    <row r="376" spans="1:25" x14ac:dyDescent="0.25">
      <c r="A376" s="8">
        <v>46287</v>
      </c>
      <c r="B376" s="16">
        <f>YEAR(Tabela32[[#This Row],[Data]])</f>
        <v>2026</v>
      </c>
      <c r="C376" s="16">
        <f>MONTH(Tabela32[[#This Row],[Data]])</f>
        <v>9</v>
      </c>
      <c r="D376" s="4" t="s">
        <v>33</v>
      </c>
      <c r="E376" s="4">
        <v>1</v>
      </c>
      <c r="F376" s="4" t="str">
        <f>IFERROR(VLOOKUP(Tabela32[[#This Row],[Placa]],Planilha2!$A$1:$B$12,2,0),"")</f>
        <v>Paulo</v>
      </c>
      <c r="G376" s="10">
        <v>1974.29</v>
      </c>
      <c r="H376" s="10">
        <v>76472.990000000005</v>
      </c>
      <c r="I376" s="4">
        <v>195</v>
      </c>
      <c r="J376" s="17">
        <f>IFERROR(Tabela32[[#This Row],[Valor Frete]]/Tabela32[[#This Row],[Valor Mercadoria]],"")</f>
        <v>2.5816827614560379E-2</v>
      </c>
      <c r="K376" s="11">
        <v>0.29583333333333334</v>
      </c>
      <c r="L376" s="15">
        <v>0.5625</v>
      </c>
      <c r="M376" s="15">
        <f>Tabela32[[#This Row],[Hr Chegada]]-Tabela32[[#This Row],[Hr Saida]]</f>
        <v>0.26666666666666666</v>
      </c>
      <c r="N376" s="4">
        <v>155978</v>
      </c>
      <c r="O376" s="4">
        <v>156013</v>
      </c>
      <c r="P376" s="4">
        <f>Tabela32[[#This Row],[Km Chegada]]-Tabela32[[#This Row],[Km Saída]]</f>
        <v>35</v>
      </c>
      <c r="Q376" s="4">
        <v>63</v>
      </c>
      <c r="R376" s="4">
        <v>3</v>
      </c>
      <c r="S376" s="4">
        <v>3</v>
      </c>
      <c r="T376" s="12">
        <f>Tabela32[[#This Row],[Entregas]]-Tabela32[[#This Row],[Realizadas]]</f>
        <v>0</v>
      </c>
      <c r="U376" s="18">
        <f>Tabela32[[#This Row],[Realizadas]]/Tabela32[[#This Row],[Entregas]]</f>
        <v>1</v>
      </c>
      <c r="V376" s="19" t="str">
        <f>IF(Tabela32[[#This Row],[% Entrega]]&gt;=96%,"Atendeu a Meta","Não Atendeu a Meta")</f>
        <v>Atendeu a Meta</v>
      </c>
      <c r="W376" s="4" t="s">
        <v>40</v>
      </c>
      <c r="X376" s="4">
        <v>0</v>
      </c>
      <c r="Y376" s="5">
        <v>0</v>
      </c>
    </row>
    <row r="377" spans="1:25" x14ac:dyDescent="0.25">
      <c r="A377" s="8">
        <v>46287</v>
      </c>
      <c r="B377" s="16">
        <f>YEAR(Tabela32[[#This Row],[Data]])</f>
        <v>2026</v>
      </c>
      <c r="C377" s="16">
        <f>MONTH(Tabela32[[#This Row],[Data]])</f>
        <v>9</v>
      </c>
      <c r="D377" s="4" t="s">
        <v>53</v>
      </c>
      <c r="E377" s="4">
        <v>3</v>
      </c>
      <c r="F377" s="4" t="str">
        <f>IFERROR(VLOOKUP(Tabela32[[#This Row],[Placa]],Planilha2!$A$1:$B$12,2,0),"")</f>
        <v>Arnaldo</v>
      </c>
      <c r="G377" s="10">
        <v>7055.93</v>
      </c>
      <c r="H377" s="10">
        <v>114579.97</v>
      </c>
      <c r="I377" s="4">
        <v>1549</v>
      </c>
      <c r="J377" s="17">
        <f>IFERROR(Tabela32[[#This Row],[Valor Frete]]/Tabela32[[#This Row],[Valor Mercadoria]],"")</f>
        <v>6.158083301994232E-2</v>
      </c>
      <c r="K377" s="11">
        <v>0.2986111111111111</v>
      </c>
      <c r="L377" s="15">
        <v>0.81805555555555554</v>
      </c>
      <c r="M377" s="15">
        <f>Tabela32[[#This Row],[Hr Chegada]]-Tabela32[[#This Row],[Hr Saida]]</f>
        <v>0.51944444444444438</v>
      </c>
      <c r="N377" s="4">
        <v>13972</v>
      </c>
      <c r="O377" s="4">
        <v>14008</v>
      </c>
      <c r="P377" s="4">
        <f>Tabela32[[#This Row],[Km Chegada]]-Tabela32[[#This Row],[Km Saída]]</f>
        <v>36</v>
      </c>
      <c r="Q377" s="4">
        <v>301</v>
      </c>
      <c r="R377" s="4">
        <v>22</v>
      </c>
      <c r="S377" s="4">
        <v>18</v>
      </c>
      <c r="T377" s="12">
        <f>Tabela32[[#This Row],[Entregas]]-Tabela32[[#This Row],[Realizadas]]</f>
        <v>4</v>
      </c>
      <c r="U377" s="18">
        <f>Tabela32[[#This Row],[Realizadas]]/Tabela32[[#This Row],[Entregas]]</f>
        <v>0.81818181818181823</v>
      </c>
      <c r="V377" s="19" t="str">
        <f>IF(Tabela32[[#This Row],[% Entrega]]&gt;=96%,"Atendeu a Meta","Não Atendeu a Meta")</f>
        <v>Não Atendeu a Meta</v>
      </c>
      <c r="W377" s="4" t="s">
        <v>39</v>
      </c>
      <c r="X377" s="4">
        <v>5</v>
      </c>
      <c r="Y377" s="5" t="s">
        <v>87</v>
      </c>
    </row>
    <row r="378" spans="1:25" x14ac:dyDescent="0.25">
      <c r="A378" s="8">
        <v>46287</v>
      </c>
      <c r="B378" s="16">
        <f>YEAR(Tabela32[[#This Row],[Data]])</f>
        <v>2026</v>
      </c>
      <c r="C378" s="16">
        <f>MONTH(Tabela32[[#This Row],[Data]])</f>
        <v>9</v>
      </c>
      <c r="D378" s="4" t="s">
        <v>28</v>
      </c>
      <c r="E378" s="4">
        <v>11</v>
      </c>
      <c r="F378" s="4" t="str">
        <f>IFERROR(VLOOKUP(Tabela32[[#This Row],[Placa]],Planilha2!$A$1:$B$12,2,0),"")</f>
        <v>Edilson</v>
      </c>
      <c r="G378" s="10">
        <v>30371.46</v>
      </c>
      <c r="H378" s="10">
        <v>407002.73</v>
      </c>
      <c r="I378" s="4">
        <v>6712</v>
      </c>
      <c r="J378" s="17">
        <f>IFERROR(Tabela32[[#This Row],[Valor Frete]]/Tabela32[[#This Row],[Valor Mercadoria]],"")</f>
        <v>7.4622251305292223E-2</v>
      </c>
      <c r="K378" s="11">
        <v>0.27083333333333331</v>
      </c>
      <c r="L378" s="15">
        <v>0.82430555555555551</v>
      </c>
      <c r="M378" s="15">
        <f>Tabela32[[#This Row],[Hr Chegada]]-Tabela32[[#This Row],[Hr Saida]]</f>
        <v>0.55347222222222214</v>
      </c>
      <c r="N378" s="4">
        <v>105897</v>
      </c>
      <c r="O378" s="4">
        <v>106073</v>
      </c>
      <c r="P378" s="4">
        <f>Tabela32[[#This Row],[Km Chegada]]-Tabela32[[#This Row],[Km Saída]]</f>
        <v>176</v>
      </c>
      <c r="Q378" s="4">
        <v>951</v>
      </c>
      <c r="R378" s="4">
        <v>23</v>
      </c>
      <c r="S378" s="4">
        <v>23</v>
      </c>
      <c r="T378" s="12">
        <f>Tabela32[[#This Row],[Entregas]]-Tabela32[[#This Row],[Realizadas]]</f>
        <v>0</v>
      </c>
      <c r="U378" s="18">
        <f>Tabela32[[#This Row],[Realizadas]]/Tabela32[[#This Row],[Entregas]]</f>
        <v>1</v>
      </c>
      <c r="V378" s="19" t="str">
        <f>IF(Tabela32[[#This Row],[% Entrega]]&gt;=96%,"Atendeu a Meta","Não Atendeu a Meta")</f>
        <v>Atendeu a Meta</v>
      </c>
      <c r="W378" s="4" t="s">
        <v>41</v>
      </c>
      <c r="X378" s="4">
        <v>0</v>
      </c>
      <c r="Y378" s="5">
        <v>0</v>
      </c>
    </row>
    <row r="379" spans="1:25" x14ac:dyDescent="0.25">
      <c r="A379" s="8">
        <v>46287</v>
      </c>
      <c r="B379" s="16">
        <f>YEAR(Tabela32[[#This Row],[Data]])</f>
        <v>2026</v>
      </c>
      <c r="C379" s="16">
        <f>MONTH(Tabela32[[#This Row],[Data]])</f>
        <v>9</v>
      </c>
      <c r="D379" s="4" t="s">
        <v>33</v>
      </c>
      <c r="E379" s="4">
        <v>1</v>
      </c>
      <c r="F379" s="4" t="str">
        <f>IFERROR(VLOOKUP(Tabela32[[#This Row],[Placa]],Planilha2!$A$1:$B$12,2,0),"")</f>
        <v>Paulo</v>
      </c>
      <c r="G379" s="10">
        <v>1536.76</v>
      </c>
      <c r="H379" s="10">
        <v>27858.75</v>
      </c>
      <c r="I379" s="4">
        <v>286</v>
      </c>
      <c r="J379" s="17">
        <f>IFERROR(Tabela32[[#This Row],[Valor Frete]]/Tabela32[[#This Row],[Valor Mercadoria]],"")</f>
        <v>5.5162561134293533E-2</v>
      </c>
      <c r="K379" s="11">
        <v>0.59375</v>
      </c>
      <c r="L379" s="15">
        <v>0.72569444444444442</v>
      </c>
      <c r="M379" s="15">
        <f>Tabela32[[#This Row],[Hr Chegada]]-Tabela32[[#This Row],[Hr Saida]]</f>
        <v>0.13194444444444442</v>
      </c>
      <c r="N379" s="4">
        <v>156013</v>
      </c>
      <c r="O379" s="4">
        <v>156044</v>
      </c>
      <c r="P379" s="4">
        <f>Tabela32[[#This Row],[Km Chegada]]-Tabela32[[#This Row],[Km Saída]]</f>
        <v>31</v>
      </c>
      <c r="Q379" s="4">
        <v>32</v>
      </c>
      <c r="R379" s="4">
        <v>6</v>
      </c>
      <c r="S379" s="4">
        <v>6</v>
      </c>
      <c r="T379" s="12">
        <f>Tabela32[[#This Row],[Entregas]]-Tabela32[[#This Row],[Realizadas]]</f>
        <v>0</v>
      </c>
      <c r="U379" s="18">
        <f>Tabela32[[#This Row],[Realizadas]]/Tabela32[[#This Row],[Entregas]]</f>
        <v>1</v>
      </c>
      <c r="V379" s="19" t="str">
        <f>IF(Tabela32[[#This Row],[% Entrega]]&gt;=96%,"Atendeu a Meta","Não Atendeu a Meta")</f>
        <v>Atendeu a Meta</v>
      </c>
      <c r="W379" s="4" t="s">
        <v>43</v>
      </c>
      <c r="X379" s="4">
        <v>0</v>
      </c>
      <c r="Y379" s="5">
        <v>0</v>
      </c>
    </row>
    <row r="380" spans="1:25" x14ac:dyDescent="0.25">
      <c r="A380" s="8">
        <v>46287</v>
      </c>
      <c r="B380" s="16">
        <f>YEAR(Tabela32[[#This Row],[Data]])</f>
        <v>2026</v>
      </c>
      <c r="C380" s="16">
        <f>MONTH(Tabela32[[#This Row],[Data]])</f>
        <v>9</v>
      </c>
      <c r="D380" s="4" t="s">
        <v>22</v>
      </c>
      <c r="E380" s="4">
        <v>2</v>
      </c>
      <c r="F380" s="4" t="str">
        <f>IFERROR(VLOOKUP(Tabela32[[#This Row],[Placa]],Planilha2!$A$1:$B$12,2,0),"")</f>
        <v>Wesley</v>
      </c>
      <c r="G380" s="10">
        <v>8171.1</v>
      </c>
      <c r="H380" s="10">
        <v>181524.78</v>
      </c>
      <c r="I380" s="4">
        <v>1715</v>
      </c>
      <c r="J380" s="17">
        <f>IFERROR(Tabela32[[#This Row],[Valor Frete]]/Tabela32[[#This Row],[Valor Mercadoria]],"")</f>
        <v>4.5013689040140969E-2</v>
      </c>
      <c r="K380" s="11">
        <v>0.27083333333333331</v>
      </c>
      <c r="L380" s="15">
        <v>0.70833333333333337</v>
      </c>
      <c r="M380" s="15">
        <f>Tabela32[[#This Row],[Hr Chegada]]-Tabela32[[#This Row],[Hr Saida]]</f>
        <v>0.43750000000000006</v>
      </c>
      <c r="N380" s="4">
        <v>305309</v>
      </c>
      <c r="O380" s="4">
        <v>305368</v>
      </c>
      <c r="P380" s="4">
        <f>Tabela32[[#This Row],[Km Chegada]]-Tabela32[[#This Row],[Km Saída]]</f>
        <v>59</v>
      </c>
      <c r="Q380" s="4">
        <v>299</v>
      </c>
      <c r="R380" s="4">
        <v>27</v>
      </c>
      <c r="S380" s="4">
        <v>27</v>
      </c>
      <c r="T380" s="12">
        <f>Tabela32[[#This Row],[Entregas]]-Tabela32[[#This Row],[Realizadas]]</f>
        <v>0</v>
      </c>
      <c r="U380" s="18">
        <f>Tabela32[[#This Row],[Realizadas]]/Tabela32[[#This Row],[Entregas]]</f>
        <v>1</v>
      </c>
      <c r="V380" s="19" t="str">
        <f>IF(Tabela32[[#This Row],[% Entrega]]&gt;=96%,"Atendeu a Meta","Não Atendeu a Meta")</f>
        <v>Atendeu a Meta</v>
      </c>
      <c r="W380" s="4" t="s">
        <v>39</v>
      </c>
      <c r="X380" s="4">
        <v>0</v>
      </c>
      <c r="Y380" s="5">
        <v>0</v>
      </c>
    </row>
    <row r="381" spans="1:25" x14ac:dyDescent="0.25">
      <c r="A381" s="8">
        <v>46288</v>
      </c>
      <c r="B381" s="16">
        <f>YEAR(Tabela32[[#This Row],[Data]])</f>
        <v>2026</v>
      </c>
      <c r="C381" s="16">
        <f>MONTH(Tabela32[[#This Row],[Data]])</f>
        <v>9</v>
      </c>
      <c r="D381" s="4" t="s">
        <v>27</v>
      </c>
      <c r="E381" s="4">
        <v>1</v>
      </c>
      <c r="F381" s="4" t="str">
        <f>IFERROR(VLOOKUP(Tabela32[[#This Row],[Placa]],Planilha2!$A$1:$B$12,2,0),"")</f>
        <v>Rosinaldo</v>
      </c>
      <c r="G381" s="10">
        <v>11813.92</v>
      </c>
      <c r="H381" s="10">
        <v>564102.5</v>
      </c>
      <c r="I381" s="4">
        <v>1127</v>
      </c>
      <c r="J381" s="17">
        <f>IFERROR(Tabela32[[#This Row],[Valor Frete]]/Tabela32[[#This Row],[Valor Mercadoria]],"")</f>
        <v>2.09428605616887E-2</v>
      </c>
      <c r="K381" s="11">
        <v>0.29166666666666669</v>
      </c>
      <c r="L381" s="15">
        <v>0.73611111111111116</v>
      </c>
      <c r="M381" s="15">
        <f>Tabela32[[#This Row],[Hr Chegada]]-Tabela32[[#This Row],[Hr Saida]]</f>
        <v>0.44444444444444448</v>
      </c>
      <c r="N381" s="4">
        <v>291707</v>
      </c>
      <c r="O381" s="4">
        <v>291751</v>
      </c>
      <c r="P381" s="4">
        <f>Tabela32[[#This Row],[Km Chegada]]-Tabela32[[#This Row],[Km Saída]]</f>
        <v>44</v>
      </c>
      <c r="Q381" s="4">
        <v>5</v>
      </c>
      <c r="R381" s="4">
        <v>1</v>
      </c>
      <c r="S381" s="4">
        <v>1</v>
      </c>
      <c r="T381" s="12">
        <f>Tabela32[[#This Row],[Entregas]]-Tabela32[[#This Row],[Realizadas]]</f>
        <v>0</v>
      </c>
      <c r="U381" s="18">
        <f>Tabela32[[#This Row],[Realizadas]]/Tabela32[[#This Row],[Entregas]]</f>
        <v>1</v>
      </c>
      <c r="V381" s="19" t="str">
        <f>IF(Tabela32[[#This Row],[% Entrega]]&gt;=96%,"Atendeu a Meta","Não Atendeu a Meta")</f>
        <v>Atendeu a Meta</v>
      </c>
      <c r="W381" s="4" t="s">
        <v>40</v>
      </c>
      <c r="X381" s="4">
        <v>0</v>
      </c>
      <c r="Y381" s="5">
        <v>0</v>
      </c>
    </row>
    <row r="382" spans="1:25" x14ac:dyDescent="0.25">
      <c r="A382" s="8">
        <v>46288</v>
      </c>
      <c r="B382" s="16">
        <f>YEAR(Tabela32[[#This Row],[Data]])</f>
        <v>2026</v>
      </c>
      <c r="C382" s="16">
        <f>MONTH(Tabela32[[#This Row],[Data]])</f>
        <v>9</v>
      </c>
      <c r="D382" s="4" t="s">
        <v>35</v>
      </c>
      <c r="E382" s="4">
        <v>1</v>
      </c>
      <c r="F382" s="4" t="str">
        <f>IFERROR(VLOOKUP(Tabela32[[#This Row],[Placa]],Planilha2!$A$1:$B$12,2,0),"")</f>
        <v>Osvaldo</v>
      </c>
      <c r="G382" s="10">
        <v>2738.5</v>
      </c>
      <c r="H382" s="10">
        <v>132086.92000000001</v>
      </c>
      <c r="I382" s="4">
        <v>411</v>
      </c>
      <c r="J382" s="17">
        <f>IFERROR(Tabela32[[#This Row],[Valor Frete]]/Tabela32[[#This Row],[Valor Mercadoria]],"")</f>
        <v>2.073256004455248E-2</v>
      </c>
      <c r="K382" s="11">
        <v>0.29166666666666669</v>
      </c>
      <c r="L382" s="15">
        <v>0.46736111111111112</v>
      </c>
      <c r="M382" s="15">
        <f>Tabela32[[#This Row],[Hr Chegada]]-Tabela32[[#This Row],[Hr Saida]]</f>
        <v>0.17569444444444443</v>
      </c>
      <c r="N382" s="4">
        <v>143702</v>
      </c>
      <c r="O382" s="4">
        <v>143739</v>
      </c>
      <c r="P382" s="4">
        <f>Tabela32[[#This Row],[Km Chegada]]-Tabela32[[#This Row],[Km Saída]]</f>
        <v>37</v>
      </c>
      <c r="Q382" s="4">
        <v>136</v>
      </c>
      <c r="R382" s="4">
        <v>3</v>
      </c>
      <c r="S382" s="4">
        <v>3</v>
      </c>
      <c r="T382" s="12">
        <f>Tabela32[[#This Row],[Entregas]]-Tabela32[[#This Row],[Realizadas]]</f>
        <v>0</v>
      </c>
      <c r="U382" s="18">
        <f>Tabela32[[#This Row],[Realizadas]]/Tabela32[[#This Row],[Entregas]]</f>
        <v>1</v>
      </c>
      <c r="V382" s="19" t="str">
        <f>IF(Tabela32[[#This Row],[% Entrega]]&gt;=96%,"Atendeu a Meta","Não Atendeu a Meta")</f>
        <v>Atendeu a Meta</v>
      </c>
      <c r="W382" s="4" t="s">
        <v>40</v>
      </c>
      <c r="X382" s="4">
        <v>0</v>
      </c>
      <c r="Y382" s="5">
        <v>0</v>
      </c>
    </row>
    <row r="383" spans="1:25" x14ac:dyDescent="0.25">
      <c r="A383" s="8">
        <v>46288</v>
      </c>
      <c r="B383" s="16">
        <f>YEAR(Tabela32[[#This Row],[Data]])</f>
        <v>2026</v>
      </c>
      <c r="C383" s="16">
        <f>MONTH(Tabela32[[#This Row],[Data]])</f>
        <v>9</v>
      </c>
      <c r="D383" s="4" t="s">
        <v>29</v>
      </c>
      <c r="E383" s="4">
        <v>1</v>
      </c>
      <c r="F383" s="4" t="str">
        <f>IFERROR(VLOOKUP(Tabela32[[#This Row],[Placa]],Planilha2!$A$1:$B$12,2,0),"")</f>
        <v>Sandro</v>
      </c>
      <c r="G383" s="10">
        <v>2511.91</v>
      </c>
      <c r="H383" s="10">
        <v>27293.42</v>
      </c>
      <c r="I383" s="4">
        <v>344</v>
      </c>
      <c r="J383" s="17">
        <f>IFERROR(Tabela32[[#This Row],[Valor Frete]]/Tabela32[[#This Row],[Valor Mercadoria]],"")</f>
        <v>9.203353775378828E-2</v>
      </c>
      <c r="K383" s="11">
        <v>0.29166666666666669</v>
      </c>
      <c r="L383" s="15">
        <v>0.61111111111111116</v>
      </c>
      <c r="M383" s="15">
        <f>Tabela32[[#This Row],[Hr Chegada]]-Tabela32[[#This Row],[Hr Saida]]</f>
        <v>0.31944444444444448</v>
      </c>
      <c r="N383" s="4">
        <v>276067</v>
      </c>
      <c r="O383" s="4">
        <v>276205</v>
      </c>
      <c r="P383" s="4">
        <f>Tabela32[[#This Row],[Km Chegada]]-Tabela32[[#This Row],[Km Saída]]</f>
        <v>138</v>
      </c>
      <c r="Q383" s="4">
        <v>71</v>
      </c>
      <c r="R383" s="4">
        <v>5</v>
      </c>
      <c r="S383" s="4">
        <v>5</v>
      </c>
      <c r="T383" s="12">
        <f>Tabela32[[#This Row],[Entregas]]-Tabela32[[#This Row],[Realizadas]]</f>
        <v>0</v>
      </c>
      <c r="U383" s="18">
        <f>Tabela32[[#This Row],[Realizadas]]/Tabela32[[#This Row],[Entregas]]</f>
        <v>1</v>
      </c>
      <c r="V383" s="19" t="str">
        <f>IF(Tabela32[[#This Row],[% Entrega]]&gt;=96%,"Atendeu a Meta","Não Atendeu a Meta")</f>
        <v>Atendeu a Meta</v>
      </c>
      <c r="W383" s="4" t="s">
        <v>40</v>
      </c>
      <c r="X383" s="4">
        <v>0</v>
      </c>
      <c r="Y383" s="5">
        <v>0</v>
      </c>
    </row>
    <row r="384" spans="1:25" x14ac:dyDescent="0.25">
      <c r="A384" s="8">
        <v>46288</v>
      </c>
      <c r="B384" s="16">
        <f>YEAR(Tabela32[[#This Row],[Data]])</f>
        <v>2026</v>
      </c>
      <c r="C384" s="16">
        <f>MONTH(Tabela32[[#This Row],[Data]])</f>
        <v>9</v>
      </c>
      <c r="D384" s="4" t="s">
        <v>23</v>
      </c>
      <c r="E384" s="4">
        <v>11</v>
      </c>
      <c r="F384" s="4" t="str">
        <f>IFERROR(VLOOKUP(Tabela32[[#This Row],[Placa]],Planilha2!$A$1:$B$12,2,0),"")</f>
        <v>William</v>
      </c>
      <c r="G384" s="10">
        <v>9796.26</v>
      </c>
      <c r="H384" s="10">
        <v>171667.59</v>
      </c>
      <c r="I384" s="4">
        <v>1400</v>
      </c>
      <c r="J384" s="17">
        <f>IFERROR(Tabela32[[#This Row],[Valor Frete]]/Tabela32[[#This Row],[Valor Mercadoria]],"")</f>
        <v>5.7065285299339269E-2</v>
      </c>
      <c r="K384" s="11">
        <v>0.29166666666666669</v>
      </c>
      <c r="L384" s="15">
        <v>0.76388888888888884</v>
      </c>
      <c r="M384" s="15">
        <f>Tabela32[[#This Row],[Hr Chegada]]-Tabela32[[#This Row],[Hr Saida]]</f>
        <v>0.47222222222222215</v>
      </c>
      <c r="N384" s="4">
        <v>125779</v>
      </c>
      <c r="O384" s="4">
        <v>125926</v>
      </c>
      <c r="P384" s="4">
        <f>Tabela32[[#This Row],[Km Chegada]]-Tabela32[[#This Row],[Km Saída]]</f>
        <v>147</v>
      </c>
      <c r="Q384" s="4">
        <v>217</v>
      </c>
      <c r="R384" s="4">
        <v>26</v>
      </c>
      <c r="S384" s="4">
        <v>26</v>
      </c>
      <c r="T384" s="12">
        <f>Tabela32[[#This Row],[Entregas]]-Tabela32[[#This Row],[Realizadas]]</f>
        <v>0</v>
      </c>
      <c r="U384" s="18">
        <f>Tabela32[[#This Row],[Realizadas]]/Tabela32[[#This Row],[Entregas]]</f>
        <v>1</v>
      </c>
      <c r="V384" s="19" t="str">
        <f>IF(Tabela32[[#This Row],[% Entrega]]&gt;=96%,"Atendeu a Meta","Não Atendeu a Meta")</f>
        <v>Atendeu a Meta</v>
      </c>
      <c r="W384" s="4" t="s">
        <v>41</v>
      </c>
      <c r="X384" s="4">
        <v>1</v>
      </c>
      <c r="Y384" s="5">
        <v>42</v>
      </c>
    </row>
    <row r="385" spans="1:25" x14ac:dyDescent="0.25">
      <c r="A385" s="8">
        <v>46288</v>
      </c>
      <c r="B385" s="16">
        <f>YEAR(Tabela32[[#This Row],[Data]])</f>
        <v>2026</v>
      </c>
      <c r="C385" s="16">
        <f>MONTH(Tabela32[[#This Row],[Data]])</f>
        <v>9</v>
      </c>
      <c r="D385" s="4" t="s">
        <v>35</v>
      </c>
      <c r="E385" s="4">
        <v>1</v>
      </c>
      <c r="F385" s="4" t="str">
        <f>IFERROR(VLOOKUP(Tabela32[[#This Row],[Placa]],Planilha2!$A$1:$B$12,2,0),"")</f>
        <v>Osvaldo</v>
      </c>
      <c r="G385" s="10">
        <v>849.66</v>
      </c>
      <c r="H385" s="10">
        <v>16194.12</v>
      </c>
      <c r="I385" s="4">
        <v>510</v>
      </c>
      <c r="J385" s="17">
        <f>IFERROR(Tabela32[[#This Row],[Valor Frete]]/Tabela32[[#This Row],[Valor Mercadoria]],"")</f>
        <v>5.2467191795540602E-2</v>
      </c>
      <c r="K385" s="11">
        <v>0.47638888888888886</v>
      </c>
      <c r="L385" s="15">
        <v>0.72291666666666665</v>
      </c>
      <c r="M385" s="15">
        <f>Tabela32[[#This Row],[Hr Chegada]]-Tabela32[[#This Row],[Hr Saida]]</f>
        <v>0.24652777777777779</v>
      </c>
      <c r="N385" s="4">
        <v>143739</v>
      </c>
      <c r="O385" s="4">
        <v>143759</v>
      </c>
      <c r="P385" s="4">
        <f>Tabela32[[#This Row],[Km Chegada]]-Tabela32[[#This Row],[Km Saída]]</f>
        <v>20</v>
      </c>
      <c r="Q385" s="4">
        <v>109</v>
      </c>
      <c r="R385" s="4">
        <v>4</v>
      </c>
      <c r="S385" s="4">
        <v>4</v>
      </c>
      <c r="T385" s="12">
        <f>Tabela32[[#This Row],[Entregas]]-Tabela32[[#This Row],[Realizadas]]</f>
        <v>0</v>
      </c>
      <c r="U385" s="18">
        <f>Tabela32[[#This Row],[Realizadas]]/Tabela32[[#This Row],[Entregas]]</f>
        <v>1</v>
      </c>
      <c r="V385" s="19" t="str">
        <f>IF(Tabela32[[#This Row],[% Entrega]]&gt;=96%,"Atendeu a Meta","Não Atendeu a Meta")</f>
        <v>Atendeu a Meta</v>
      </c>
      <c r="W385" s="4" t="s">
        <v>39</v>
      </c>
      <c r="X385" s="4">
        <v>4</v>
      </c>
      <c r="Y385" s="5" t="s">
        <v>88</v>
      </c>
    </row>
    <row r="386" spans="1:25" x14ac:dyDescent="0.25">
      <c r="A386" s="8">
        <v>46288</v>
      </c>
      <c r="B386" s="16">
        <f>YEAR(Tabela32[[#This Row],[Data]])</f>
        <v>2026</v>
      </c>
      <c r="C386" s="16">
        <f>MONTH(Tabela32[[#This Row],[Data]])</f>
        <v>9</v>
      </c>
      <c r="D386" s="4" t="s">
        <v>31</v>
      </c>
      <c r="E386" s="4">
        <v>1</v>
      </c>
      <c r="F386" s="4" t="str">
        <f>IFERROR(VLOOKUP(Tabela32[[#This Row],[Placa]],Planilha2!$A$1:$B$12,2,0),"")</f>
        <v>Jerson</v>
      </c>
      <c r="G386" s="10">
        <v>4931.01</v>
      </c>
      <c r="H386" s="10">
        <v>78148.53</v>
      </c>
      <c r="I386" s="4">
        <v>1048</v>
      </c>
      <c r="J386" s="17">
        <f>IFERROR(Tabela32[[#This Row],[Valor Frete]]/Tabela32[[#This Row],[Valor Mercadoria]],"")</f>
        <v>6.3097923914883627E-2</v>
      </c>
      <c r="K386" s="11">
        <v>0.30902777777777779</v>
      </c>
      <c r="L386" s="15">
        <v>0.77916666666666667</v>
      </c>
      <c r="M386" s="15">
        <f>Tabela32[[#This Row],[Hr Chegada]]-Tabela32[[#This Row],[Hr Saida]]</f>
        <v>0.47013888888888888</v>
      </c>
      <c r="N386" s="4">
        <v>280891</v>
      </c>
      <c r="O386" s="4">
        <v>280977</v>
      </c>
      <c r="P386" s="4">
        <f>Tabela32[[#This Row],[Km Chegada]]-Tabela32[[#This Row],[Km Saída]]</f>
        <v>86</v>
      </c>
      <c r="Q386" s="4">
        <v>94</v>
      </c>
      <c r="R386" s="4">
        <v>18</v>
      </c>
      <c r="S386" s="4">
        <v>18</v>
      </c>
      <c r="T386" s="12">
        <f>Tabela32[[#This Row],[Entregas]]-Tabela32[[#This Row],[Realizadas]]</f>
        <v>0</v>
      </c>
      <c r="U386" s="18">
        <f>Tabela32[[#This Row],[Realizadas]]/Tabela32[[#This Row],[Entregas]]</f>
        <v>1</v>
      </c>
      <c r="V386" s="19" t="str">
        <f>IF(Tabela32[[#This Row],[% Entrega]]&gt;=96%,"Atendeu a Meta","Não Atendeu a Meta")</f>
        <v>Atendeu a Meta</v>
      </c>
      <c r="W386" s="4" t="s">
        <v>39</v>
      </c>
      <c r="X386" s="4">
        <v>0</v>
      </c>
      <c r="Y386" s="5">
        <v>0</v>
      </c>
    </row>
    <row r="387" spans="1:25" x14ac:dyDescent="0.25">
      <c r="A387" s="8">
        <v>46288</v>
      </c>
      <c r="B387" s="16">
        <f>YEAR(Tabela32[[#This Row],[Data]])</f>
        <v>2026</v>
      </c>
      <c r="C387" s="16">
        <f>MONTH(Tabela32[[#This Row],[Data]])</f>
        <v>9</v>
      </c>
      <c r="D387" s="4" t="s">
        <v>53</v>
      </c>
      <c r="E387" s="4">
        <v>3</v>
      </c>
      <c r="F387" s="4" t="str">
        <f>IFERROR(VLOOKUP(Tabela32[[#This Row],[Placa]],Planilha2!$A$1:$B$12,2,0),"")</f>
        <v>Arnaldo</v>
      </c>
      <c r="G387" s="10">
        <v>14040.59</v>
      </c>
      <c r="H387" s="10">
        <v>84411.99</v>
      </c>
      <c r="I387" s="4">
        <v>5971</v>
      </c>
      <c r="J387" s="17">
        <f>IFERROR(Tabela32[[#This Row],[Valor Frete]]/Tabela32[[#This Row],[Valor Mercadoria]],"")</f>
        <v>0.16633407173554371</v>
      </c>
      <c r="K387" s="11">
        <v>0.2986111111111111</v>
      </c>
      <c r="L387" s="15">
        <v>0.77916666666666667</v>
      </c>
      <c r="M387" s="15">
        <f>Tabela32[[#This Row],[Hr Chegada]]-Tabela32[[#This Row],[Hr Saida]]</f>
        <v>0.48055555555555557</v>
      </c>
      <c r="N387" s="4">
        <v>14020</v>
      </c>
      <c r="O387" s="4">
        <v>14057</v>
      </c>
      <c r="P387" s="4">
        <f>Tabela32[[#This Row],[Km Chegada]]-Tabela32[[#This Row],[Km Saída]]</f>
        <v>37</v>
      </c>
      <c r="Q387" s="4">
        <v>400</v>
      </c>
      <c r="R387" s="4">
        <v>6</v>
      </c>
      <c r="S387" s="4">
        <v>6</v>
      </c>
      <c r="T387" s="12">
        <f>Tabela32[[#This Row],[Entregas]]-Tabela32[[#This Row],[Realizadas]]</f>
        <v>0</v>
      </c>
      <c r="U387" s="18">
        <f>Tabela32[[#This Row],[Realizadas]]/Tabela32[[#This Row],[Entregas]]</f>
        <v>1</v>
      </c>
      <c r="V387" s="19" t="str">
        <f>IF(Tabela32[[#This Row],[% Entrega]]&gt;=96%,"Atendeu a Meta","Não Atendeu a Meta")</f>
        <v>Atendeu a Meta</v>
      </c>
      <c r="W387" s="4" t="s">
        <v>39</v>
      </c>
      <c r="X387" s="4">
        <v>0</v>
      </c>
      <c r="Y387" s="5">
        <v>0</v>
      </c>
    </row>
    <row r="388" spans="1:25" x14ac:dyDescent="0.25">
      <c r="A388" s="8">
        <v>46288</v>
      </c>
      <c r="B388" s="16">
        <f>YEAR(Tabela32[[#This Row],[Data]])</f>
        <v>2026</v>
      </c>
      <c r="C388" s="16">
        <f>MONTH(Tabela32[[#This Row],[Data]])</f>
        <v>9</v>
      </c>
      <c r="D388" s="4" t="s">
        <v>33</v>
      </c>
      <c r="E388" s="4">
        <v>1</v>
      </c>
      <c r="F388" s="4" t="str">
        <f>IFERROR(VLOOKUP(Tabela32[[#This Row],[Placa]],Planilha2!$A$1:$B$12,2,0),"")</f>
        <v>Paulo</v>
      </c>
      <c r="G388" s="10">
        <v>1754.16</v>
      </c>
      <c r="H388" s="10">
        <v>22404.55</v>
      </c>
      <c r="I388" s="4">
        <v>652</v>
      </c>
      <c r="J388" s="17">
        <f>IFERROR(Tabela32[[#This Row],[Valor Frete]]/Tabela32[[#This Row],[Valor Mercadoria]],"")</f>
        <v>7.8294810652300539E-2</v>
      </c>
      <c r="K388" s="11">
        <v>0.29166666666666669</v>
      </c>
      <c r="L388" s="15">
        <v>0.69097222222222221</v>
      </c>
      <c r="M388" s="15">
        <f>Tabela32[[#This Row],[Hr Chegada]]-Tabela32[[#This Row],[Hr Saida]]</f>
        <v>0.39930555555555552</v>
      </c>
      <c r="N388" s="4">
        <v>156044</v>
      </c>
      <c r="O388" s="4">
        <v>156095</v>
      </c>
      <c r="P388" s="4">
        <f>Tabela32[[#This Row],[Km Chegada]]-Tabela32[[#This Row],[Km Saída]]</f>
        <v>51</v>
      </c>
      <c r="Q388" s="4">
        <v>90</v>
      </c>
      <c r="R388" s="4">
        <v>5</v>
      </c>
      <c r="S388" s="4">
        <v>5</v>
      </c>
      <c r="T388" s="12">
        <f>Tabela32[[#This Row],[Entregas]]-Tabela32[[#This Row],[Realizadas]]</f>
        <v>0</v>
      </c>
      <c r="U388" s="18">
        <f>Tabela32[[#This Row],[Realizadas]]/Tabela32[[#This Row],[Entregas]]</f>
        <v>1</v>
      </c>
      <c r="V388" s="19" t="str">
        <f>IF(Tabela32[[#This Row],[% Entrega]]&gt;=96%,"Atendeu a Meta","Não Atendeu a Meta")</f>
        <v>Atendeu a Meta</v>
      </c>
      <c r="W388" s="4" t="s">
        <v>63</v>
      </c>
      <c r="X388" s="4">
        <v>0</v>
      </c>
      <c r="Y388" s="5">
        <v>0</v>
      </c>
    </row>
    <row r="389" spans="1:25" x14ac:dyDescent="0.25">
      <c r="A389" s="8">
        <v>46288</v>
      </c>
      <c r="B389" s="16">
        <f>YEAR(Tabela32[[#This Row],[Data]])</f>
        <v>2026</v>
      </c>
      <c r="C389" s="16">
        <f>MONTH(Tabela32[[#This Row],[Data]])</f>
        <v>9</v>
      </c>
      <c r="D389" s="4" t="s">
        <v>22</v>
      </c>
      <c r="E389" s="4">
        <v>4</v>
      </c>
      <c r="F389" s="4" t="str">
        <f>IFERROR(VLOOKUP(Tabela32[[#This Row],[Placa]],Planilha2!$A$1:$B$12,2,0),"")</f>
        <v>Wesley</v>
      </c>
      <c r="G389" s="10">
        <v>12520.8</v>
      </c>
      <c r="H389" s="10">
        <v>192147.28</v>
      </c>
      <c r="I389" s="4">
        <v>3036</v>
      </c>
      <c r="J389" s="17">
        <f>IFERROR(Tabela32[[#This Row],[Valor Frete]]/Tabela32[[#This Row],[Valor Mercadoria]],"")</f>
        <v>6.5162514920846126E-2</v>
      </c>
      <c r="K389" s="11">
        <v>0.27083333333333331</v>
      </c>
      <c r="L389" s="15">
        <v>0.84652777777777777</v>
      </c>
      <c r="M389" s="15">
        <f>Tabela32[[#This Row],[Hr Chegada]]-Tabela32[[#This Row],[Hr Saida]]</f>
        <v>0.57569444444444451</v>
      </c>
      <c r="N389" s="4">
        <v>305368</v>
      </c>
      <c r="O389" s="4">
        <v>305441</v>
      </c>
      <c r="P389" s="4">
        <f>Tabela32[[#This Row],[Km Chegada]]-Tabela32[[#This Row],[Km Saída]]</f>
        <v>73</v>
      </c>
      <c r="Q389" s="4">
        <v>487</v>
      </c>
      <c r="R389" s="4">
        <v>31</v>
      </c>
      <c r="S389" s="4">
        <v>31</v>
      </c>
      <c r="T389" s="12">
        <f>Tabela32[[#This Row],[Entregas]]-Tabela32[[#This Row],[Realizadas]]</f>
        <v>0</v>
      </c>
      <c r="U389" s="18">
        <f>Tabela32[[#This Row],[Realizadas]]/Tabela32[[#This Row],[Entregas]]</f>
        <v>1</v>
      </c>
      <c r="V389" s="19" t="str">
        <f>IF(Tabela32[[#This Row],[% Entrega]]&gt;=96%,"Atendeu a Meta","Não Atendeu a Meta")</f>
        <v>Atendeu a Meta</v>
      </c>
      <c r="W389" s="4" t="s">
        <v>39</v>
      </c>
      <c r="X389" s="4">
        <v>0</v>
      </c>
      <c r="Y389" s="5">
        <v>0</v>
      </c>
    </row>
    <row r="390" spans="1:25" x14ac:dyDescent="0.25">
      <c r="A390" s="8">
        <v>46288</v>
      </c>
      <c r="B390" s="16">
        <f>YEAR(Tabela32[[#This Row],[Data]])</f>
        <v>2026</v>
      </c>
      <c r="C390" s="16">
        <f>MONTH(Tabela32[[#This Row],[Data]])</f>
        <v>9</v>
      </c>
      <c r="D390" s="4" t="s">
        <v>25</v>
      </c>
      <c r="E390" s="4">
        <v>1</v>
      </c>
      <c r="F390" s="4" t="str">
        <f>IFERROR(VLOOKUP(Tabela32[[#This Row],[Placa]],Planilha2!$A$1:$B$12,2,0),"")</f>
        <v>Gilberto</v>
      </c>
      <c r="G390" s="10">
        <v>8679.9500000000007</v>
      </c>
      <c r="H390" s="10">
        <v>126902.55</v>
      </c>
      <c r="I390" s="4">
        <v>1112</v>
      </c>
      <c r="J390" s="17">
        <f>IFERROR(Tabela32[[#This Row],[Valor Frete]]/Tabela32[[#This Row],[Valor Mercadoria]],"")</f>
        <v>6.8398546758910675E-2</v>
      </c>
      <c r="K390" s="11">
        <v>0.3125</v>
      </c>
      <c r="L390" s="15">
        <v>0.71250000000000002</v>
      </c>
      <c r="M390" s="15">
        <f>Tabela32[[#This Row],[Hr Chegada]]-Tabela32[[#This Row],[Hr Saida]]</f>
        <v>0.4</v>
      </c>
      <c r="N390" s="4">
        <v>120223</v>
      </c>
      <c r="O390" s="4">
        <v>120289</v>
      </c>
      <c r="P390" s="4">
        <f>Tabela32[[#This Row],[Km Chegada]]-Tabela32[[#This Row],[Km Saída]]</f>
        <v>66</v>
      </c>
      <c r="Q390" s="4">
        <v>210</v>
      </c>
      <c r="R390" s="4">
        <v>21</v>
      </c>
      <c r="S390" s="4">
        <v>21</v>
      </c>
      <c r="T390" s="12">
        <f>Tabela32[[#This Row],[Entregas]]-Tabela32[[#This Row],[Realizadas]]</f>
        <v>0</v>
      </c>
      <c r="U390" s="18">
        <f>Tabela32[[#This Row],[Realizadas]]/Tabela32[[#This Row],[Entregas]]</f>
        <v>1</v>
      </c>
      <c r="V390" s="19" t="str">
        <f>IF(Tabela32[[#This Row],[% Entrega]]&gt;=96%,"Atendeu a Meta","Não Atendeu a Meta")</f>
        <v>Atendeu a Meta</v>
      </c>
      <c r="W390" s="4" t="s">
        <v>43</v>
      </c>
      <c r="X390" s="4">
        <v>0</v>
      </c>
      <c r="Y390" s="5">
        <v>0</v>
      </c>
    </row>
    <row r="391" spans="1:25" x14ac:dyDescent="0.25">
      <c r="A391" s="8">
        <v>46288</v>
      </c>
      <c r="B391" s="16">
        <f>YEAR(Tabela32[[#This Row],[Data]])</f>
        <v>2026</v>
      </c>
      <c r="C391" s="16">
        <f>MONTH(Tabela32[[#This Row],[Data]])</f>
        <v>9</v>
      </c>
      <c r="D391" s="4" t="s">
        <v>28</v>
      </c>
      <c r="E391" s="4">
        <v>5</v>
      </c>
      <c r="F391" s="4" t="str">
        <f>IFERROR(VLOOKUP(Tabela32[[#This Row],[Placa]],Planilha2!$A$1:$B$12,2,0),"")</f>
        <v>Edilson</v>
      </c>
      <c r="G391" s="10">
        <v>29666.37</v>
      </c>
      <c r="H391" s="10">
        <v>541276.69999999995</v>
      </c>
      <c r="I391" s="4">
        <v>4074</v>
      </c>
      <c r="J391" s="17">
        <f>IFERROR(Tabela32[[#This Row],[Valor Frete]]/Tabela32[[#This Row],[Valor Mercadoria]],"")</f>
        <v>5.4808141566041919E-2</v>
      </c>
      <c r="K391" s="11">
        <v>0.27777777777777779</v>
      </c>
      <c r="L391" s="15">
        <v>0.66666666666666663</v>
      </c>
      <c r="M391" s="15">
        <f>Tabela32[[#This Row],[Hr Chegada]]-Tabela32[[#This Row],[Hr Saida]]</f>
        <v>0.38888888888888884</v>
      </c>
      <c r="N391" s="4">
        <v>106073</v>
      </c>
      <c r="O391" s="4">
        <v>106119</v>
      </c>
      <c r="P391" s="4">
        <f>Tabela32[[#This Row],[Km Chegada]]-Tabela32[[#This Row],[Km Saída]]</f>
        <v>46</v>
      </c>
      <c r="Q391" s="4">
        <v>327</v>
      </c>
      <c r="R391" s="4">
        <v>5</v>
      </c>
      <c r="S391" s="4">
        <v>5</v>
      </c>
      <c r="T391" s="12">
        <f>Tabela32[[#This Row],[Entregas]]-Tabela32[[#This Row],[Realizadas]]</f>
        <v>0</v>
      </c>
      <c r="U391" s="18">
        <f>Tabela32[[#This Row],[Realizadas]]/Tabela32[[#This Row],[Entregas]]</f>
        <v>1</v>
      </c>
      <c r="V391" s="19" t="str">
        <f>IF(Tabela32[[#This Row],[% Entrega]]&gt;=96%,"Atendeu a Meta","Não Atendeu a Meta")</f>
        <v>Atendeu a Meta</v>
      </c>
      <c r="W391" s="4" t="s">
        <v>39</v>
      </c>
      <c r="X391" s="4">
        <v>0</v>
      </c>
      <c r="Y391" s="5">
        <v>0</v>
      </c>
    </row>
    <row r="392" spans="1:25" x14ac:dyDescent="0.25">
      <c r="A392" s="8">
        <v>46289</v>
      </c>
      <c r="B392" s="16">
        <f>YEAR(Tabela32[[#This Row],[Data]])</f>
        <v>2026</v>
      </c>
      <c r="C392" s="16">
        <f>MONTH(Tabela32[[#This Row],[Data]])</f>
        <v>9</v>
      </c>
      <c r="D392" s="4" t="s">
        <v>35</v>
      </c>
      <c r="E392" s="4">
        <v>5</v>
      </c>
      <c r="F392" s="4" t="str">
        <f>IFERROR(VLOOKUP(Tabela32[[#This Row],[Placa]],Planilha2!$A$1:$B$12,2,0),"")</f>
        <v>Osvaldo</v>
      </c>
      <c r="G392" s="10">
        <v>849.66</v>
      </c>
      <c r="H392" s="10">
        <v>16194.12</v>
      </c>
      <c r="I392" s="4">
        <v>510</v>
      </c>
      <c r="J392" s="17">
        <f>IFERROR(Tabela32[[#This Row],[Valor Frete]]/Tabela32[[#This Row],[Valor Mercadoria]],"")</f>
        <v>5.2467191795540602E-2</v>
      </c>
      <c r="K392" s="11">
        <v>0.3125</v>
      </c>
      <c r="L392" s="15">
        <v>0.72638888888888886</v>
      </c>
      <c r="M392" s="15">
        <f>Tabela32[[#This Row],[Hr Chegada]]-Tabela32[[#This Row],[Hr Saida]]</f>
        <v>0.41388888888888886</v>
      </c>
      <c r="N392" s="4">
        <v>143759</v>
      </c>
      <c r="O392" s="4">
        <v>143780</v>
      </c>
      <c r="P392" s="4">
        <f>Tabela32[[#This Row],[Km Chegada]]-Tabela32[[#This Row],[Km Saída]]</f>
        <v>21</v>
      </c>
      <c r="Q392" s="4">
        <v>109</v>
      </c>
      <c r="R392" s="4">
        <v>4</v>
      </c>
      <c r="S392" s="4">
        <v>4</v>
      </c>
      <c r="T392" s="12">
        <f>Tabela32[[#This Row],[Entregas]]-Tabela32[[#This Row],[Realizadas]]</f>
        <v>0</v>
      </c>
      <c r="U392" s="18">
        <f>Tabela32[[#This Row],[Realizadas]]/Tabela32[[#This Row],[Entregas]]</f>
        <v>1</v>
      </c>
      <c r="V392" s="19" t="str">
        <f>IF(Tabela32[[#This Row],[% Entrega]]&gt;=96%,"Atendeu a Meta","Não Atendeu a Meta")</f>
        <v>Atendeu a Meta</v>
      </c>
      <c r="W392" s="4" t="s">
        <v>39</v>
      </c>
      <c r="X392" s="4">
        <v>0</v>
      </c>
      <c r="Y392" s="5">
        <v>0</v>
      </c>
    </row>
    <row r="393" spans="1:25" x14ac:dyDescent="0.25">
      <c r="A393" s="8">
        <v>46289</v>
      </c>
      <c r="B393" s="16">
        <f>YEAR(Tabela32[[#This Row],[Data]])</f>
        <v>2026</v>
      </c>
      <c r="C393" s="16">
        <f>MONTH(Tabela32[[#This Row],[Data]])</f>
        <v>9</v>
      </c>
      <c r="D393" s="4" t="s">
        <v>22</v>
      </c>
      <c r="E393" s="4">
        <v>2</v>
      </c>
      <c r="F393" s="4" t="str">
        <f>IFERROR(VLOOKUP(Tabela32[[#This Row],[Placa]],Planilha2!$A$1:$B$12,2,0),"")</f>
        <v>Wesley</v>
      </c>
      <c r="G393" s="10">
        <v>9266.7900000000009</v>
      </c>
      <c r="H393" s="10">
        <v>143510.03</v>
      </c>
      <c r="I393" s="4">
        <v>1967</v>
      </c>
      <c r="J393" s="17">
        <f>IFERROR(Tabela32[[#This Row],[Valor Frete]]/Tabela32[[#This Row],[Valor Mercadoria]],"")</f>
        <v>6.4572420478206299E-2</v>
      </c>
      <c r="K393" s="11">
        <v>0.27083333333333331</v>
      </c>
      <c r="L393" s="15">
        <v>0.75277777777777777</v>
      </c>
      <c r="M393" s="15">
        <f>Tabela32[[#This Row],[Hr Chegada]]-Tabela32[[#This Row],[Hr Saida]]</f>
        <v>0.48194444444444445</v>
      </c>
      <c r="N393" s="4">
        <v>305448</v>
      </c>
      <c r="O393" s="4">
        <v>305511</v>
      </c>
      <c r="P393" s="4">
        <f>Tabela32[[#This Row],[Km Chegada]]-Tabela32[[#This Row],[Km Saída]]</f>
        <v>63</v>
      </c>
      <c r="Q393" s="4">
        <v>326</v>
      </c>
      <c r="R393" s="4">
        <v>36</v>
      </c>
      <c r="S393" s="4">
        <v>36</v>
      </c>
      <c r="T393" s="12">
        <f>Tabela32[[#This Row],[Entregas]]-Tabela32[[#This Row],[Realizadas]]</f>
        <v>0</v>
      </c>
      <c r="U393" s="18">
        <f>Tabela32[[#This Row],[Realizadas]]/Tabela32[[#This Row],[Entregas]]</f>
        <v>1</v>
      </c>
      <c r="V393" s="19" t="str">
        <f>IF(Tabela32[[#This Row],[% Entrega]]&gt;=96%,"Atendeu a Meta","Não Atendeu a Meta")</f>
        <v>Atendeu a Meta</v>
      </c>
      <c r="W393" s="4" t="s">
        <v>39</v>
      </c>
      <c r="X393" s="4">
        <v>0</v>
      </c>
      <c r="Y393" s="5">
        <v>0</v>
      </c>
    </row>
    <row r="394" spans="1:25" x14ac:dyDescent="0.25">
      <c r="A394" s="8">
        <v>46289</v>
      </c>
      <c r="B394" s="16">
        <f>YEAR(Tabela32[[#This Row],[Data]])</f>
        <v>2026</v>
      </c>
      <c r="C394" s="16">
        <f>MONTH(Tabela32[[#This Row],[Data]])</f>
        <v>9</v>
      </c>
      <c r="D394" s="4" t="s">
        <v>27</v>
      </c>
      <c r="E394" s="4">
        <v>1</v>
      </c>
      <c r="F394" s="4" t="str">
        <f>IFERROR(VLOOKUP(Tabela32[[#This Row],[Placa]],Planilha2!$A$1:$B$12,2,0),"")</f>
        <v>Rosinaldo</v>
      </c>
      <c r="G394" s="10">
        <v>3913.35</v>
      </c>
      <c r="H394" s="10">
        <v>79617.289999999994</v>
      </c>
      <c r="I394" s="4">
        <v>568</v>
      </c>
      <c r="J394" s="17">
        <f>IFERROR(Tabela32[[#This Row],[Valor Frete]]/Tabela32[[#This Row],[Valor Mercadoria]],"")</f>
        <v>4.9152012081797813E-2</v>
      </c>
      <c r="K394" s="11">
        <v>0.29166666666666669</v>
      </c>
      <c r="L394" s="15">
        <v>0.63888888888888884</v>
      </c>
      <c r="M394" s="15">
        <f>Tabela32[[#This Row],[Hr Chegada]]-Tabela32[[#This Row],[Hr Saida]]</f>
        <v>0.34722222222222215</v>
      </c>
      <c r="N394" s="4">
        <v>291751</v>
      </c>
      <c r="O394" s="4">
        <v>291803</v>
      </c>
      <c r="P394" s="4">
        <f>Tabela32[[#This Row],[Km Chegada]]-Tabela32[[#This Row],[Km Saída]]</f>
        <v>52</v>
      </c>
      <c r="Q394" s="4">
        <v>568</v>
      </c>
      <c r="R394" s="4">
        <v>3</v>
      </c>
      <c r="S394" s="4">
        <v>3</v>
      </c>
      <c r="T394" s="12">
        <f>Tabela32[[#This Row],[Entregas]]-Tabela32[[#This Row],[Realizadas]]</f>
        <v>0</v>
      </c>
      <c r="U394" s="18">
        <f>Tabela32[[#This Row],[Realizadas]]/Tabela32[[#This Row],[Entregas]]</f>
        <v>1</v>
      </c>
      <c r="V394" s="19" t="str">
        <f>IF(Tabela32[[#This Row],[% Entrega]]&gt;=96%,"Atendeu a Meta","Não Atendeu a Meta")</f>
        <v>Atendeu a Meta</v>
      </c>
      <c r="W394" s="4" t="s">
        <v>40</v>
      </c>
      <c r="X394" s="4">
        <v>0</v>
      </c>
      <c r="Y394" s="5">
        <v>0</v>
      </c>
    </row>
    <row r="395" spans="1:25" x14ac:dyDescent="0.25">
      <c r="A395" s="8">
        <v>46289</v>
      </c>
      <c r="B395" s="16">
        <f>YEAR(Tabela32[[#This Row],[Data]])</f>
        <v>2026</v>
      </c>
      <c r="C395" s="16">
        <f>MONTH(Tabela32[[#This Row],[Data]])</f>
        <v>9</v>
      </c>
      <c r="D395" s="4" t="s">
        <v>33</v>
      </c>
      <c r="E395" s="4">
        <v>1</v>
      </c>
      <c r="F395" s="4" t="str">
        <f>IFERROR(VLOOKUP(Tabela32[[#This Row],[Placa]],Planilha2!$A$1:$B$12,2,0),"")</f>
        <v>Paulo</v>
      </c>
      <c r="G395" s="10">
        <v>1138.6099999999999</v>
      </c>
      <c r="H395" s="10">
        <v>12566.7</v>
      </c>
      <c r="I395" s="4">
        <v>131</v>
      </c>
      <c r="J395" s="17">
        <f>IFERROR(Tabela32[[#This Row],[Valor Frete]]/Tabela32[[#This Row],[Valor Mercadoria]],"")</f>
        <v>9.0605329959336969E-2</v>
      </c>
      <c r="K395" s="11">
        <v>0.29166666666666669</v>
      </c>
      <c r="L395" s="15">
        <v>0.48958333333333331</v>
      </c>
      <c r="M395" s="15">
        <f>Tabela32[[#This Row],[Hr Chegada]]-Tabela32[[#This Row],[Hr Saida]]</f>
        <v>0.19791666666666663</v>
      </c>
      <c r="N395" s="4">
        <v>156095</v>
      </c>
      <c r="O395" s="4">
        <v>156124</v>
      </c>
      <c r="P395" s="4">
        <f>Tabela32[[#This Row],[Km Chegada]]-Tabela32[[#This Row],[Km Saída]]</f>
        <v>29</v>
      </c>
      <c r="Q395" s="4">
        <v>73</v>
      </c>
      <c r="R395" s="4">
        <v>1</v>
      </c>
      <c r="S395" s="4">
        <v>1</v>
      </c>
      <c r="T395" s="12">
        <f>Tabela32[[#This Row],[Entregas]]-Tabela32[[#This Row],[Realizadas]]</f>
        <v>0</v>
      </c>
      <c r="U395" s="18">
        <f>Tabela32[[#This Row],[Realizadas]]/Tabela32[[#This Row],[Entregas]]</f>
        <v>1</v>
      </c>
      <c r="V395" s="19" t="str">
        <f>IF(Tabela32[[#This Row],[% Entrega]]&gt;=96%,"Atendeu a Meta","Não Atendeu a Meta")</f>
        <v>Atendeu a Meta</v>
      </c>
      <c r="W395" s="4" t="s">
        <v>40</v>
      </c>
      <c r="X395" s="4">
        <v>0</v>
      </c>
      <c r="Y395" s="5">
        <v>0</v>
      </c>
    </row>
    <row r="396" spans="1:25" x14ac:dyDescent="0.25">
      <c r="A396" s="8">
        <v>46289</v>
      </c>
      <c r="B396" s="16">
        <f>YEAR(Tabela32[[#This Row],[Data]])</f>
        <v>2026</v>
      </c>
      <c r="C396" s="16">
        <f>MONTH(Tabela32[[#This Row],[Data]])</f>
        <v>9</v>
      </c>
      <c r="D396" s="4" t="s">
        <v>28</v>
      </c>
      <c r="E396" s="4">
        <v>11</v>
      </c>
      <c r="F396" s="4" t="str">
        <f>IFERROR(VLOOKUP(Tabela32[[#This Row],[Placa]],Planilha2!$A$1:$B$12,2,0),"")</f>
        <v>Edilson</v>
      </c>
      <c r="G396" s="10">
        <v>13182.61</v>
      </c>
      <c r="H396" s="10">
        <v>220347.32</v>
      </c>
      <c r="I396" s="4">
        <v>2205</v>
      </c>
      <c r="J396" s="17">
        <f>IFERROR(Tabela32[[#This Row],[Valor Frete]]/Tabela32[[#This Row],[Valor Mercadoria]],"")</f>
        <v>5.9826504810677979E-2</v>
      </c>
      <c r="K396" s="11">
        <v>0.27777777777777779</v>
      </c>
      <c r="L396" s="15">
        <v>0.77430555555555558</v>
      </c>
      <c r="M396" s="15">
        <f>Tabela32[[#This Row],[Hr Chegada]]-Tabela32[[#This Row],[Hr Saida]]</f>
        <v>0.49652777777777779</v>
      </c>
      <c r="N396" s="4">
        <v>106119</v>
      </c>
      <c r="O396" s="4">
        <v>106267</v>
      </c>
      <c r="P396" s="4">
        <f>Tabela32[[#This Row],[Km Chegada]]-Tabela32[[#This Row],[Km Saída]]</f>
        <v>148</v>
      </c>
      <c r="Q396" s="4">
        <v>383</v>
      </c>
      <c r="R396" s="4">
        <v>42</v>
      </c>
      <c r="S396" s="4">
        <v>42</v>
      </c>
      <c r="T396" s="12">
        <f>Tabela32[[#This Row],[Entregas]]-Tabela32[[#This Row],[Realizadas]]</f>
        <v>0</v>
      </c>
      <c r="U396" s="18">
        <f>Tabela32[[#This Row],[Realizadas]]/Tabela32[[#This Row],[Entregas]]</f>
        <v>1</v>
      </c>
      <c r="V396" s="19" t="str">
        <f>IF(Tabela32[[#This Row],[% Entrega]]&gt;=96%,"Atendeu a Meta","Não Atendeu a Meta")</f>
        <v>Atendeu a Meta</v>
      </c>
      <c r="W396" s="4" t="s">
        <v>41</v>
      </c>
      <c r="X396" s="4">
        <v>1</v>
      </c>
      <c r="Y396" s="5">
        <v>42</v>
      </c>
    </row>
    <row r="397" spans="1:25" x14ac:dyDescent="0.25">
      <c r="A397" s="8">
        <v>46289</v>
      </c>
      <c r="B397" s="16">
        <f>YEAR(Tabela32[[#This Row],[Data]])</f>
        <v>2026</v>
      </c>
      <c r="C397" s="16">
        <f>MONTH(Tabela32[[#This Row],[Data]])</f>
        <v>9</v>
      </c>
      <c r="D397" s="4" t="s">
        <v>53</v>
      </c>
      <c r="E397" s="4">
        <v>3</v>
      </c>
      <c r="F397" s="4" t="str">
        <f>IFERROR(VLOOKUP(Tabela32[[#This Row],[Placa]],Planilha2!$A$1:$B$12,2,0),"")</f>
        <v>Arnaldo</v>
      </c>
      <c r="G397" s="10">
        <v>10875.33</v>
      </c>
      <c r="H397" s="10">
        <v>98740.479999999996</v>
      </c>
      <c r="I397" s="4">
        <v>1510</v>
      </c>
      <c r="J397" s="17">
        <f>IFERROR(Tabela32[[#This Row],[Valor Frete]]/Tabela32[[#This Row],[Valor Mercadoria]],"")</f>
        <v>0.11014054215657045</v>
      </c>
      <c r="K397" s="11">
        <v>0.3125</v>
      </c>
      <c r="L397" s="15">
        <v>0.75694444444444442</v>
      </c>
      <c r="M397" s="15">
        <f>Tabela32[[#This Row],[Hr Chegada]]-Tabela32[[#This Row],[Hr Saida]]</f>
        <v>0.44444444444444442</v>
      </c>
      <c r="N397" s="4">
        <v>14057</v>
      </c>
      <c r="O397" s="4">
        <v>14111</v>
      </c>
      <c r="P397" s="4">
        <f>Tabela32[[#This Row],[Km Chegada]]-Tabela32[[#This Row],[Km Saída]]</f>
        <v>54</v>
      </c>
      <c r="Q397" s="4">
        <v>276</v>
      </c>
      <c r="R397" s="4">
        <v>18</v>
      </c>
      <c r="S397" s="4">
        <v>18</v>
      </c>
      <c r="T397" s="12">
        <f>Tabela32[[#This Row],[Entregas]]-Tabela32[[#This Row],[Realizadas]]</f>
        <v>0</v>
      </c>
      <c r="U397" s="18">
        <f>Tabela32[[#This Row],[Realizadas]]/Tabela32[[#This Row],[Entregas]]</f>
        <v>1</v>
      </c>
      <c r="V397" s="19" t="str">
        <f>IF(Tabela32[[#This Row],[% Entrega]]&gt;=96%,"Atendeu a Meta","Não Atendeu a Meta")</f>
        <v>Atendeu a Meta</v>
      </c>
      <c r="W397" s="4" t="s">
        <v>39</v>
      </c>
      <c r="X397" s="4">
        <v>0</v>
      </c>
      <c r="Y397" s="5" t="s">
        <v>82</v>
      </c>
    </row>
    <row r="398" spans="1:25" x14ac:dyDescent="0.25">
      <c r="A398" s="8">
        <v>46289</v>
      </c>
      <c r="B398" s="16">
        <f>YEAR(Tabela32[[#This Row],[Data]])</f>
        <v>2026</v>
      </c>
      <c r="C398" s="16">
        <f>MONTH(Tabela32[[#This Row],[Data]])</f>
        <v>9</v>
      </c>
      <c r="D398" s="4" t="s">
        <v>25</v>
      </c>
      <c r="E398" s="4">
        <v>1</v>
      </c>
      <c r="F398" s="4" t="str">
        <f>IFERROR(VLOOKUP(Tabela32[[#This Row],[Placa]],Planilha2!$A$1:$B$12,2,0),"")</f>
        <v>Gilberto</v>
      </c>
      <c r="G398" s="10">
        <v>8404.52</v>
      </c>
      <c r="H398" s="10">
        <v>128824.18</v>
      </c>
      <c r="I398" s="4">
        <v>1771</v>
      </c>
      <c r="J398" s="17">
        <f>IFERROR(Tabela32[[#This Row],[Valor Frete]]/Tabela32[[#This Row],[Valor Mercadoria]],"")</f>
        <v>6.5240236731955142E-2</v>
      </c>
      <c r="K398" s="11">
        <v>0.3125</v>
      </c>
      <c r="L398" s="15">
        <v>0.71527777777777779</v>
      </c>
      <c r="M398" s="15">
        <f>Tabela32[[#This Row],[Hr Chegada]]-Tabela32[[#This Row],[Hr Saida]]</f>
        <v>0.40277777777777779</v>
      </c>
      <c r="N398" s="4">
        <v>120289</v>
      </c>
      <c r="O398" s="4">
        <v>120351</v>
      </c>
      <c r="P398" s="4">
        <f>Tabela32[[#This Row],[Km Chegada]]-Tabela32[[#This Row],[Km Saída]]</f>
        <v>62</v>
      </c>
      <c r="Q398" s="4">
        <v>238</v>
      </c>
      <c r="R398" s="4">
        <v>21</v>
      </c>
      <c r="S398" s="4">
        <v>21</v>
      </c>
      <c r="T398" s="12">
        <f>Tabela32[[#This Row],[Entregas]]-Tabela32[[#This Row],[Realizadas]]</f>
        <v>0</v>
      </c>
      <c r="U398" s="18">
        <f>Tabela32[[#This Row],[Realizadas]]/Tabela32[[#This Row],[Entregas]]</f>
        <v>1</v>
      </c>
      <c r="V398" s="19" t="str">
        <f>IF(Tabela32[[#This Row],[% Entrega]]&gt;=96%,"Atendeu a Meta","Não Atendeu a Meta")</f>
        <v>Atendeu a Meta</v>
      </c>
      <c r="W398" s="4" t="s">
        <v>43</v>
      </c>
      <c r="X398" s="4">
        <v>0</v>
      </c>
      <c r="Y398" s="5">
        <v>0</v>
      </c>
    </row>
    <row r="399" spans="1:25" x14ac:dyDescent="0.25">
      <c r="A399" s="8">
        <v>46289</v>
      </c>
      <c r="B399" s="16">
        <f>YEAR(Tabela32[[#This Row],[Data]])</f>
        <v>2026</v>
      </c>
      <c r="C399" s="16">
        <f>MONTH(Tabela32[[#This Row],[Data]])</f>
        <v>9</v>
      </c>
      <c r="D399" s="4" t="s">
        <v>23</v>
      </c>
      <c r="E399" s="4">
        <v>11</v>
      </c>
      <c r="F399" s="4" t="str">
        <f>IFERROR(VLOOKUP(Tabela32[[#This Row],[Placa]],Planilha2!$A$1:$B$12,2,0),"")</f>
        <v>William</v>
      </c>
      <c r="G399" s="10">
        <v>6979.52</v>
      </c>
      <c r="H399" s="10">
        <v>102383.03999999999</v>
      </c>
      <c r="I399" s="4">
        <v>1176</v>
      </c>
      <c r="J399" s="17">
        <f>IFERROR(Tabela32[[#This Row],[Valor Frete]]/Tabela32[[#This Row],[Valor Mercadoria]],"")</f>
        <v>6.8170665766517591E-2</v>
      </c>
      <c r="K399" s="11">
        <v>0.29166666666666669</v>
      </c>
      <c r="L399" s="15">
        <v>0.83333333333333337</v>
      </c>
      <c r="M399" s="15">
        <f>Tabela32[[#This Row],[Hr Chegada]]-Tabela32[[#This Row],[Hr Saida]]</f>
        <v>0.54166666666666674</v>
      </c>
      <c r="N399" s="4">
        <v>125926</v>
      </c>
      <c r="O399" s="4">
        <v>126093</v>
      </c>
      <c r="P399" s="4">
        <f>Tabela32[[#This Row],[Km Chegada]]-Tabela32[[#This Row],[Km Saída]]</f>
        <v>167</v>
      </c>
      <c r="Q399" s="4">
        <v>188</v>
      </c>
      <c r="R399" s="4">
        <v>16</v>
      </c>
      <c r="S399" s="4">
        <v>16</v>
      </c>
      <c r="T399" s="12">
        <f>Tabela32[[#This Row],[Entregas]]-Tabela32[[#This Row],[Realizadas]]</f>
        <v>0</v>
      </c>
      <c r="U399" s="18">
        <f>Tabela32[[#This Row],[Realizadas]]/Tabela32[[#This Row],[Entregas]]</f>
        <v>1</v>
      </c>
      <c r="V399" s="19" t="str">
        <f>IF(Tabela32[[#This Row],[% Entrega]]&gt;=96%,"Atendeu a Meta","Não Atendeu a Meta")</f>
        <v>Atendeu a Meta</v>
      </c>
      <c r="W399" s="4" t="s">
        <v>41</v>
      </c>
      <c r="X399" s="4">
        <v>0</v>
      </c>
      <c r="Y399" s="5">
        <v>0</v>
      </c>
    </row>
    <row r="400" spans="1:25" x14ac:dyDescent="0.25">
      <c r="A400" s="8">
        <v>46289</v>
      </c>
      <c r="B400" s="16">
        <f>YEAR(Tabela32[[#This Row],[Data]])</f>
        <v>2026</v>
      </c>
      <c r="C400" s="16">
        <f>MONTH(Tabela32[[#This Row],[Data]])</f>
        <v>9</v>
      </c>
      <c r="D400" s="4" t="s">
        <v>29</v>
      </c>
      <c r="E400" s="4">
        <v>1</v>
      </c>
      <c r="F400" s="4" t="str">
        <f>IFERROR(VLOOKUP(Tabela32[[#This Row],[Placa]],Planilha2!$A$1:$B$12,2,0),"")</f>
        <v>Sandro</v>
      </c>
      <c r="G400" s="10">
        <v>2100.86</v>
      </c>
      <c r="H400" s="10">
        <v>76062.289999999994</v>
      </c>
      <c r="I400" s="4">
        <v>189</v>
      </c>
      <c r="J400" s="17">
        <f>IFERROR(Tabela32[[#This Row],[Valor Frete]]/Tabela32[[#This Row],[Valor Mercadoria]],"")</f>
        <v>2.7620257028811521E-2</v>
      </c>
      <c r="K400" s="11">
        <v>0.29166666666666669</v>
      </c>
      <c r="L400" s="15">
        <v>0.69097222222222221</v>
      </c>
      <c r="M400" s="15">
        <f>Tabela32[[#This Row],[Hr Chegada]]-Tabela32[[#This Row],[Hr Saida]]</f>
        <v>0.39930555555555552</v>
      </c>
      <c r="N400" s="4">
        <v>276205</v>
      </c>
      <c r="O400" s="4">
        <v>276245</v>
      </c>
      <c r="P400" s="4">
        <f>Tabela32[[#This Row],[Km Chegada]]-Tabela32[[#This Row],[Km Saída]]</f>
        <v>40</v>
      </c>
      <c r="Q400" s="4">
        <v>99</v>
      </c>
      <c r="R400" s="4">
        <v>3</v>
      </c>
      <c r="S400" s="4">
        <v>3</v>
      </c>
      <c r="T400" s="12">
        <f>Tabela32[[#This Row],[Entregas]]-Tabela32[[#This Row],[Realizadas]]</f>
        <v>0</v>
      </c>
      <c r="U400" s="18">
        <f>Tabela32[[#This Row],[Realizadas]]/Tabela32[[#This Row],[Entregas]]</f>
        <v>1</v>
      </c>
      <c r="V400" s="19" t="str">
        <f>IF(Tabela32[[#This Row],[% Entrega]]&gt;=96%,"Atendeu a Meta","Não Atendeu a Meta")</f>
        <v>Atendeu a Meta</v>
      </c>
      <c r="W400" s="4" t="s">
        <v>40</v>
      </c>
      <c r="X400" s="4">
        <v>0</v>
      </c>
      <c r="Y400" s="5">
        <v>0</v>
      </c>
    </row>
    <row r="401" spans="1:25" x14ac:dyDescent="0.25">
      <c r="A401" s="8">
        <v>46289</v>
      </c>
      <c r="B401" s="16">
        <f>YEAR(Tabela32[[#This Row],[Data]])</f>
        <v>2026</v>
      </c>
      <c r="C401" s="16">
        <f>MONTH(Tabela32[[#This Row],[Data]])</f>
        <v>9</v>
      </c>
      <c r="D401" s="4" t="s">
        <v>33</v>
      </c>
      <c r="E401" s="4">
        <v>1</v>
      </c>
      <c r="F401" s="4" t="str">
        <f>IFERROR(VLOOKUP(Tabela32[[#This Row],[Placa]],Planilha2!$A$1:$B$12,2,0),"")</f>
        <v>Paulo</v>
      </c>
      <c r="G401" s="10">
        <v>4045.1</v>
      </c>
      <c r="H401" s="10">
        <v>55543.93</v>
      </c>
      <c r="I401" s="4">
        <v>87</v>
      </c>
      <c r="J401" s="17">
        <f>IFERROR(Tabela32[[#This Row],[Valor Frete]]/Tabela32[[#This Row],[Valor Mercadoria]],"")</f>
        <v>7.2827039786345693E-2</v>
      </c>
      <c r="K401" s="11">
        <v>0.58333333333333337</v>
      </c>
      <c r="L401" s="15">
        <v>0.71944444444444444</v>
      </c>
      <c r="M401" s="15">
        <f>Tabela32[[#This Row],[Hr Chegada]]-Tabela32[[#This Row],[Hr Saida]]</f>
        <v>0.13611111111111107</v>
      </c>
      <c r="N401" s="4">
        <v>156124</v>
      </c>
      <c r="O401" s="4">
        <v>156143</v>
      </c>
      <c r="P401" s="4">
        <f>Tabela32[[#This Row],[Km Chegada]]-Tabela32[[#This Row],[Km Saída]]</f>
        <v>19</v>
      </c>
      <c r="Q401" s="4">
        <v>87</v>
      </c>
      <c r="R401" s="4">
        <v>7</v>
      </c>
      <c r="S401" s="4">
        <v>7</v>
      </c>
      <c r="T401" s="12">
        <f>Tabela32[[#This Row],[Entregas]]-Tabela32[[#This Row],[Realizadas]]</f>
        <v>0</v>
      </c>
      <c r="U401" s="18">
        <f>Tabela32[[#This Row],[Realizadas]]/Tabela32[[#This Row],[Entregas]]</f>
        <v>1</v>
      </c>
      <c r="V401" s="19" t="str">
        <f>IF(Tabela32[[#This Row],[% Entrega]]&gt;=96%,"Atendeu a Meta","Não Atendeu a Meta")</f>
        <v>Atendeu a Meta</v>
      </c>
      <c r="W401" s="4" t="s">
        <v>43</v>
      </c>
      <c r="X401" s="4">
        <v>0</v>
      </c>
      <c r="Y401" s="5">
        <v>38.380000000000003</v>
      </c>
    </row>
    <row r="402" spans="1:25" x14ac:dyDescent="0.25">
      <c r="A402" s="8">
        <v>46289</v>
      </c>
      <c r="B402" s="16">
        <f>YEAR(Tabela32[[#This Row],[Data]])</f>
        <v>2026</v>
      </c>
      <c r="C402" s="16">
        <f>MONTH(Tabela32[[#This Row],[Data]])</f>
        <v>9</v>
      </c>
      <c r="D402" s="4" t="s">
        <v>31</v>
      </c>
      <c r="E402" s="4">
        <v>5</v>
      </c>
      <c r="F402" s="4" t="str">
        <f>IFERROR(VLOOKUP(Tabela32[[#This Row],[Placa]],Planilha2!$A$1:$B$12,2,0),"")</f>
        <v>Jerson</v>
      </c>
      <c r="G402" s="10">
        <v>13121.13</v>
      </c>
      <c r="H402" s="10">
        <v>404814.06</v>
      </c>
      <c r="I402" s="4">
        <v>3870</v>
      </c>
      <c r="J402" s="17">
        <f>IFERROR(Tabela32[[#This Row],[Valor Frete]]/Tabela32[[#This Row],[Valor Mercadoria]],"")</f>
        <v>3.2412732897666642E-2</v>
      </c>
      <c r="K402" s="11">
        <v>0.33333333333333331</v>
      </c>
      <c r="L402" s="15">
        <v>0.75</v>
      </c>
      <c r="M402" s="15">
        <f>Tabela32[[#This Row],[Hr Chegada]]-Tabela32[[#This Row],[Hr Saida]]</f>
        <v>0.41666666666666669</v>
      </c>
      <c r="N402" s="4">
        <v>280977</v>
      </c>
      <c r="O402" s="4">
        <v>281008</v>
      </c>
      <c r="P402" s="4">
        <f>Tabela32[[#This Row],[Km Chegada]]-Tabela32[[#This Row],[Km Saída]]</f>
        <v>31</v>
      </c>
      <c r="Q402" s="4">
        <v>685</v>
      </c>
      <c r="R402" s="4">
        <v>9</v>
      </c>
      <c r="S402" s="4">
        <v>9</v>
      </c>
      <c r="T402" s="12">
        <f>Tabela32[[#This Row],[Entregas]]-Tabela32[[#This Row],[Realizadas]]</f>
        <v>0</v>
      </c>
      <c r="U402" s="18">
        <f>Tabela32[[#This Row],[Realizadas]]/Tabela32[[#This Row],[Entregas]]</f>
        <v>1</v>
      </c>
      <c r="V402" s="19" t="str">
        <f>IF(Tabela32[[#This Row],[% Entrega]]&gt;=96%,"Atendeu a Meta","Não Atendeu a Meta")</f>
        <v>Atendeu a Meta</v>
      </c>
      <c r="W402" s="4" t="s">
        <v>39</v>
      </c>
      <c r="X402" s="4">
        <v>0</v>
      </c>
      <c r="Y402" s="5">
        <v>0</v>
      </c>
    </row>
    <row r="403" spans="1:25" x14ac:dyDescent="0.25">
      <c r="A403" s="8">
        <v>46290</v>
      </c>
      <c r="B403" s="16">
        <f>YEAR(Tabela32[[#This Row],[Data]])</f>
        <v>2026</v>
      </c>
      <c r="C403" s="16">
        <f>MONTH(Tabela32[[#This Row],[Data]])</f>
        <v>9</v>
      </c>
      <c r="D403" s="4" t="s">
        <v>33</v>
      </c>
      <c r="E403" s="4">
        <v>1</v>
      </c>
      <c r="F403" s="4" t="str">
        <f>IFERROR(VLOOKUP(Tabela32[[#This Row],[Placa]],Planilha2!$A$1:$B$12,2,0),"")</f>
        <v>Paulo</v>
      </c>
      <c r="G403" s="10">
        <v>1400.31</v>
      </c>
      <c r="H403" s="10">
        <v>7221.36</v>
      </c>
      <c r="I403" s="4">
        <v>105</v>
      </c>
      <c r="J403" s="17">
        <f>IFERROR(Tabela32[[#This Row],[Valor Frete]]/Tabela32[[#This Row],[Valor Mercadoria]],"")</f>
        <v>0.19391222705972283</v>
      </c>
      <c r="K403" s="11">
        <v>0.29166666666666669</v>
      </c>
      <c r="L403" s="15">
        <v>0.50416666666666665</v>
      </c>
      <c r="M403" s="15">
        <f>Tabela32[[#This Row],[Hr Chegada]]-Tabela32[[#This Row],[Hr Saida]]</f>
        <v>0.21249999999999997</v>
      </c>
      <c r="N403" s="4">
        <v>156143</v>
      </c>
      <c r="O403" s="4">
        <v>156190</v>
      </c>
      <c r="P403" s="4">
        <f>Tabela32[[#This Row],[Km Chegada]]-Tabela32[[#This Row],[Km Saída]]</f>
        <v>47</v>
      </c>
      <c r="Q403" s="4">
        <v>38</v>
      </c>
      <c r="R403" s="4">
        <v>1</v>
      </c>
      <c r="S403" s="4">
        <v>1</v>
      </c>
      <c r="T403" s="12">
        <f>Tabela32[[#This Row],[Entregas]]-Tabela32[[#This Row],[Realizadas]]</f>
        <v>0</v>
      </c>
      <c r="U403" s="18">
        <f>Tabela32[[#This Row],[Realizadas]]/Tabela32[[#This Row],[Entregas]]</f>
        <v>1</v>
      </c>
      <c r="V403" s="19" t="str">
        <f>IF(Tabela32[[#This Row],[% Entrega]]&gt;=96%,"Atendeu a Meta","Não Atendeu a Meta")</f>
        <v>Atendeu a Meta</v>
      </c>
      <c r="W403" s="4" t="s">
        <v>40</v>
      </c>
      <c r="X403" s="4">
        <v>0</v>
      </c>
      <c r="Y403" s="5">
        <v>0</v>
      </c>
    </row>
    <row r="404" spans="1:25" x14ac:dyDescent="0.25">
      <c r="A404" s="8">
        <v>46290</v>
      </c>
      <c r="B404" s="16">
        <f>YEAR(Tabela32[[#This Row],[Data]])</f>
        <v>2026</v>
      </c>
      <c r="C404" s="16">
        <f>MONTH(Tabela32[[#This Row],[Data]])</f>
        <v>9</v>
      </c>
      <c r="D404" s="4" t="s">
        <v>23</v>
      </c>
      <c r="E404" s="4">
        <v>5</v>
      </c>
      <c r="F404" s="4" t="str">
        <f>IFERROR(VLOOKUP(Tabela32[[#This Row],[Placa]],Planilha2!$A$1:$B$12,2,0),"")</f>
        <v>William</v>
      </c>
      <c r="G404" s="10">
        <v>11508.77</v>
      </c>
      <c r="H404" s="10">
        <v>507702.82</v>
      </c>
      <c r="I404" s="4">
        <v>2305</v>
      </c>
      <c r="J404" s="17">
        <f>IFERROR(Tabela32[[#This Row],[Valor Frete]]/Tabela32[[#This Row],[Valor Mercadoria]],"")</f>
        <v>2.2668320022331174E-2</v>
      </c>
      <c r="K404" s="11">
        <v>0.29166666666666669</v>
      </c>
      <c r="L404" s="15">
        <v>0.77430555555555558</v>
      </c>
      <c r="M404" s="15">
        <f>Tabela32[[#This Row],[Hr Chegada]]-Tabela32[[#This Row],[Hr Saida]]</f>
        <v>0.4826388888888889</v>
      </c>
      <c r="N404" s="4">
        <v>126093</v>
      </c>
      <c r="O404" s="4">
        <v>126124</v>
      </c>
      <c r="P404" s="4">
        <f>Tabela32[[#This Row],[Km Chegada]]-Tabela32[[#This Row],[Km Saída]]</f>
        <v>31</v>
      </c>
      <c r="Q404" s="4">
        <v>352</v>
      </c>
      <c r="R404" s="4">
        <v>10</v>
      </c>
      <c r="S404" s="4">
        <v>10</v>
      </c>
      <c r="T404" s="12">
        <f>Tabela32[[#This Row],[Entregas]]-Tabela32[[#This Row],[Realizadas]]</f>
        <v>0</v>
      </c>
      <c r="U404" s="18">
        <f>Tabela32[[#This Row],[Realizadas]]/Tabela32[[#This Row],[Entregas]]</f>
        <v>1</v>
      </c>
      <c r="V404" s="19" t="str">
        <f>IF(Tabela32[[#This Row],[% Entrega]]&gt;=96%,"Atendeu a Meta","Não Atendeu a Meta")</f>
        <v>Atendeu a Meta</v>
      </c>
      <c r="W404" s="4" t="s">
        <v>39</v>
      </c>
      <c r="X404" s="4">
        <v>2</v>
      </c>
      <c r="Y404" s="5">
        <v>21.21</v>
      </c>
    </row>
    <row r="405" spans="1:25" x14ac:dyDescent="0.25">
      <c r="A405" s="8">
        <v>46290</v>
      </c>
      <c r="B405" s="16">
        <f>YEAR(Tabela32[[#This Row],[Data]])</f>
        <v>2026</v>
      </c>
      <c r="C405" s="16">
        <f>MONTH(Tabela32[[#This Row],[Data]])</f>
        <v>9</v>
      </c>
      <c r="D405" s="4" t="s">
        <v>36</v>
      </c>
      <c r="E405" s="4">
        <v>11</v>
      </c>
      <c r="F405" s="4" t="str">
        <f>IFERROR(VLOOKUP(Tabela32[[#This Row],[Placa]],Planilha2!$A$1:$B$12,2,0),"")</f>
        <v>Heremilton</v>
      </c>
      <c r="G405" s="10">
        <v>25255.55</v>
      </c>
      <c r="H405" s="10">
        <v>552525.32999999996</v>
      </c>
      <c r="I405" s="4">
        <v>4094</v>
      </c>
      <c r="J405" s="17">
        <f>IFERROR(Tabela32[[#This Row],[Valor Frete]]/Tabela32[[#This Row],[Valor Mercadoria]],"")</f>
        <v>4.5709307119005747E-2</v>
      </c>
      <c r="K405" s="11">
        <v>0.27083333333333331</v>
      </c>
      <c r="L405" s="15">
        <v>0.77083333333333337</v>
      </c>
      <c r="M405" s="15">
        <f>Tabela32[[#This Row],[Hr Chegada]]-Tabela32[[#This Row],[Hr Saida]]</f>
        <v>0.5</v>
      </c>
      <c r="N405" s="4">
        <v>366659</v>
      </c>
      <c r="O405" s="4">
        <v>366793</v>
      </c>
      <c r="P405" s="4">
        <f>Tabela32[[#This Row],[Km Chegada]]-Tabela32[[#This Row],[Km Saída]]</f>
        <v>134</v>
      </c>
      <c r="Q405" s="4">
        <v>52</v>
      </c>
      <c r="R405" s="4">
        <v>4</v>
      </c>
      <c r="S405" s="4">
        <v>4</v>
      </c>
      <c r="T405" s="12">
        <f>Tabela32[[#This Row],[Entregas]]-Tabela32[[#This Row],[Realizadas]]</f>
        <v>0</v>
      </c>
      <c r="U405" s="18">
        <f>Tabela32[[#This Row],[Realizadas]]/Tabela32[[#This Row],[Entregas]]</f>
        <v>1</v>
      </c>
      <c r="V405" s="19" t="str">
        <f>IF(Tabela32[[#This Row],[% Entrega]]&gt;=96%,"Atendeu a Meta","Não Atendeu a Meta")</f>
        <v>Atendeu a Meta</v>
      </c>
      <c r="W405" s="4" t="s">
        <v>41</v>
      </c>
      <c r="X405" s="4">
        <v>0</v>
      </c>
      <c r="Y405" s="5" t="s">
        <v>89</v>
      </c>
    </row>
    <row r="406" spans="1:25" x14ac:dyDescent="0.25">
      <c r="A406" s="8">
        <v>46290</v>
      </c>
      <c r="B406" s="16">
        <f>YEAR(Tabela32[[#This Row],[Data]])</f>
        <v>2026</v>
      </c>
      <c r="C406" s="16">
        <f>MONTH(Tabela32[[#This Row],[Data]])</f>
        <v>9</v>
      </c>
      <c r="D406" s="4" t="s">
        <v>27</v>
      </c>
      <c r="E406" s="4">
        <v>1</v>
      </c>
      <c r="F406" s="4" t="str">
        <f>IFERROR(VLOOKUP(Tabela32[[#This Row],[Placa]],Planilha2!$A$1:$B$12,2,0),"")</f>
        <v>Rosinaldo</v>
      </c>
      <c r="G406" s="10">
        <v>4236.0200000000004</v>
      </c>
      <c r="H406" s="10">
        <v>57103.57</v>
      </c>
      <c r="I406" s="4">
        <v>642</v>
      </c>
      <c r="J406" s="17">
        <f>IFERROR(Tabela32[[#This Row],[Valor Frete]]/Tabela32[[#This Row],[Valor Mercadoria]],"")</f>
        <v>7.4181351533713219E-2</v>
      </c>
      <c r="K406" s="11">
        <v>0.29166666666666669</v>
      </c>
      <c r="L406" s="15">
        <v>0.75069444444444444</v>
      </c>
      <c r="M406" s="15">
        <f>Tabela32[[#This Row],[Hr Chegada]]-Tabela32[[#This Row],[Hr Saida]]</f>
        <v>0.45902777777777776</v>
      </c>
      <c r="N406" s="4">
        <v>291751</v>
      </c>
      <c r="O406" s="4">
        <v>291858</v>
      </c>
      <c r="P406" s="4">
        <f>Tabela32[[#This Row],[Km Chegada]]-Tabela32[[#This Row],[Km Saída]]</f>
        <v>107</v>
      </c>
      <c r="Q406" s="4">
        <v>103</v>
      </c>
      <c r="R406" s="4">
        <v>11</v>
      </c>
      <c r="S406" s="4">
        <v>11</v>
      </c>
      <c r="T406" s="12">
        <f>Tabela32[[#This Row],[Entregas]]-Tabela32[[#This Row],[Realizadas]]</f>
        <v>0</v>
      </c>
      <c r="U406" s="18">
        <f>Tabela32[[#This Row],[Realizadas]]/Tabela32[[#This Row],[Entregas]]</f>
        <v>1</v>
      </c>
      <c r="V406" s="19" t="str">
        <f>IF(Tabela32[[#This Row],[% Entrega]]&gt;=96%,"Atendeu a Meta","Não Atendeu a Meta")</f>
        <v>Atendeu a Meta</v>
      </c>
      <c r="W406" s="4" t="s">
        <v>40</v>
      </c>
      <c r="X406" s="4">
        <v>0</v>
      </c>
      <c r="Y406" s="5">
        <v>0</v>
      </c>
    </row>
    <row r="407" spans="1:25" x14ac:dyDescent="0.25">
      <c r="A407" s="8">
        <v>46290</v>
      </c>
      <c r="B407" s="16">
        <f>YEAR(Tabela32[[#This Row],[Data]])</f>
        <v>2026</v>
      </c>
      <c r="C407" s="16">
        <f>MONTH(Tabela32[[#This Row],[Data]])</f>
        <v>9</v>
      </c>
      <c r="D407" s="4" t="s">
        <v>31</v>
      </c>
      <c r="E407" s="4">
        <v>5</v>
      </c>
      <c r="F407" s="4" t="str">
        <f>IFERROR(VLOOKUP(Tabela32[[#This Row],[Placa]],Planilha2!$A$1:$B$12,2,0),"")</f>
        <v>Jerson</v>
      </c>
      <c r="G407" s="10">
        <v>5918.1</v>
      </c>
      <c r="H407" s="10">
        <v>83496.66</v>
      </c>
      <c r="I407" s="4">
        <v>1627</v>
      </c>
      <c r="J407" s="17">
        <f>IFERROR(Tabela32[[#This Row],[Valor Frete]]/Tabela32[[#This Row],[Valor Mercadoria]],"")</f>
        <v>7.0878284233165736E-2</v>
      </c>
      <c r="K407" s="11">
        <v>0.29166666666666669</v>
      </c>
      <c r="L407" s="15">
        <v>0.79861111111111116</v>
      </c>
      <c r="M407" s="15">
        <f>Tabela32[[#This Row],[Hr Chegada]]-Tabela32[[#This Row],[Hr Saida]]</f>
        <v>0.50694444444444442</v>
      </c>
      <c r="N407" s="4">
        <v>281008</v>
      </c>
      <c r="O407" s="4">
        <v>281099</v>
      </c>
      <c r="P407" s="4">
        <f>Tabela32[[#This Row],[Km Chegada]]-Tabela32[[#This Row],[Km Saída]]</f>
        <v>91</v>
      </c>
      <c r="Q407" s="4">
        <v>123</v>
      </c>
      <c r="R407" s="4">
        <v>19</v>
      </c>
      <c r="S407" s="4">
        <v>19</v>
      </c>
      <c r="T407" s="12">
        <f>Tabela32[[#This Row],[Entregas]]-Tabela32[[#This Row],[Realizadas]]</f>
        <v>0</v>
      </c>
      <c r="U407" s="18">
        <f>Tabela32[[#This Row],[Realizadas]]/Tabela32[[#This Row],[Entregas]]</f>
        <v>1</v>
      </c>
      <c r="V407" s="19" t="str">
        <f>IF(Tabela32[[#This Row],[% Entrega]]&gt;=96%,"Atendeu a Meta","Não Atendeu a Meta")</f>
        <v>Atendeu a Meta</v>
      </c>
      <c r="W407" s="4" t="s">
        <v>39</v>
      </c>
      <c r="X407" s="4">
        <v>0</v>
      </c>
      <c r="Y407" s="5">
        <v>0</v>
      </c>
    </row>
    <row r="408" spans="1:25" x14ac:dyDescent="0.25">
      <c r="A408" s="8">
        <v>46290</v>
      </c>
      <c r="B408" s="16">
        <f>YEAR(Tabela32[[#This Row],[Data]])</f>
        <v>2026</v>
      </c>
      <c r="C408" s="16">
        <f>MONTH(Tabela32[[#This Row],[Data]])</f>
        <v>9</v>
      </c>
      <c r="D408" s="4" t="s">
        <v>28</v>
      </c>
      <c r="E408" s="4">
        <v>1</v>
      </c>
      <c r="F408" s="4" t="str">
        <f>IFERROR(VLOOKUP(Tabela32[[#This Row],[Placa]],Planilha2!$A$1:$B$12,2,0),"")</f>
        <v>Edilson</v>
      </c>
      <c r="G408" s="10">
        <v>6735.3</v>
      </c>
      <c r="H408" s="10">
        <v>111500.64</v>
      </c>
      <c r="I408" s="4">
        <v>2337</v>
      </c>
      <c r="J408" s="17">
        <f>IFERROR(Tabela32[[#This Row],[Valor Frete]]/Tabela32[[#This Row],[Valor Mercadoria]],"")</f>
        <v>6.0405931302277727E-2</v>
      </c>
      <c r="K408" s="11">
        <v>0.29166666666666669</v>
      </c>
      <c r="L408" s="15">
        <v>0.83333333333333337</v>
      </c>
      <c r="M408" s="15">
        <f>Tabela32[[#This Row],[Hr Chegada]]-Tabela32[[#This Row],[Hr Saida]]</f>
        <v>0.54166666666666674</v>
      </c>
      <c r="N408" s="4">
        <v>106227</v>
      </c>
      <c r="O408" s="4">
        <v>106302</v>
      </c>
      <c r="P408" s="4">
        <f>Tabela32[[#This Row],[Km Chegada]]-Tabela32[[#This Row],[Km Saída]]</f>
        <v>75</v>
      </c>
      <c r="Q408" s="4">
        <v>19</v>
      </c>
      <c r="R408" s="4">
        <v>19</v>
      </c>
      <c r="S408" s="4">
        <v>19</v>
      </c>
      <c r="T408" s="12">
        <f>Tabela32[[#This Row],[Entregas]]-Tabela32[[#This Row],[Realizadas]]</f>
        <v>0</v>
      </c>
      <c r="U408" s="18">
        <f>Tabela32[[#This Row],[Realizadas]]/Tabela32[[#This Row],[Entregas]]</f>
        <v>1</v>
      </c>
      <c r="V408" s="19" t="str">
        <f>IF(Tabela32[[#This Row],[% Entrega]]&gt;=96%,"Atendeu a Meta","Não Atendeu a Meta")</f>
        <v>Atendeu a Meta</v>
      </c>
      <c r="W408" s="4" t="s">
        <v>40</v>
      </c>
      <c r="X408" s="4">
        <v>0</v>
      </c>
      <c r="Y408" s="5">
        <v>0</v>
      </c>
    </row>
    <row r="409" spans="1:25" x14ac:dyDescent="0.25">
      <c r="A409" s="8">
        <v>46290</v>
      </c>
      <c r="B409" s="16">
        <f>YEAR(Tabela32[[#This Row],[Data]])</f>
        <v>2026</v>
      </c>
      <c r="C409" s="16">
        <f>MONTH(Tabela32[[#This Row],[Data]])</f>
        <v>9</v>
      </c>
      <c r="D409" s="4" t="s">
        <v>22</v>
      </c>
      <c r="E409" s="4">
        <v>2</v>
      </c>
      <c r="F409" s="4" t="str">
        <f>IFERROR(VLOOKUP(Tabela32[[#This Row],[Placa]],Planilha2!$A$1:$B$12,2,0),"")</f>
        <v>Wesley</v>
      </c>
      <c r="G409" s="10">
        <v>9289.91</v>
      </c>
      <c r="H409" s="10">
        <v>164673.81</v>
      </c>
      <c r="I409" s="4">
        <v>1816</v>
      </c>
      <c r="J409" s="17">
        <f>IFERROR(Tabela32[[#This Row],[Valor Frete]]/Tabela32[[#This Row],[Valor Mercadoria]],"")</f>
        <v>5.6414010218139729E-2</v>
      </c>
      <c r="K409" s="11">
        <v>0.27083333333333331</v>
      </c>
      <c r="L409" s="15">
        <v>0.7729166666666667</v>
      </c>
      <c r="M409" s="15">
        <f>Tabela32[[#This Row],[Hr Chegada]]-Tabela32[[#This Row],[Hr Saida]]</f>
        <v>0.50208333333333344</v>
      </c>
      <c r="N409" s="4">
        <v>305511</v>
      </c>
      <c r="O409" s="4">
        <v>305567</v>
      </c>
      <c r="P409" s="4">
        <f>Tabela32[[#This Row],[Km Chegada]]-Tabela32[[#This Row],[Km Saída]]</f>
        <v>56</v>
      </c>
      <c r="Q409" s="4">
        <v>272</v>
      </c>
      <c r="R409" s="4">
        <v>27</v>
      </c>
      <c r="S409" s="4">
        <v>27</v>
      </c>
      <c r="T409" s="12">
        <f>Tabela32[[#This Row],[Entregas]]-Tabela32[[#This Row],[Realizadas]]</f>
        <v>0</v>
      </c>
      <c r="U409" s="18">
        <f>Tabela32[[#This Row],[Realizadas]]/Tabela32[[#This Row],[Entregas]]</f>
        <v>1</v>
      </c>
      <c r="V409" s="19" t="str">
        <f>IF(Tabela32[[#This Row],[% Entrega]]&gt;=96%,"Atendeu a Meta","Não Atendeu a Meta")</f>
        <v>Atendeu a Meta</v>
      </c>
      <c r="W409" s="4" t="s">
        <v>39</v>
      </c>
      <c r="X409" s="4">
        <v>0</v>
      </c>
      <c r="Y409" s="5">
        <v>0</v>
      </c>
    </row>
    <row r="410" spans="1:25" x14ac:dyDescent="0.25">
      <c r="A410" s="8">
        <v>46290</v>
      </c>
      <c r="B410" s="16">
        <f>YEAR(Tabela32[[#This Row],[Data]])</f>
        <v>2026</v>
      </c>
      <c r="C410" s="16">
        <f>MONTH(Tabela32[[#This Row],[Data]])</f>
        <v>9</v>
      </c>
      <c r="D410" s="4" t="s">
        <v>53</v>
      </c>
      <c r="E410" s="4">
        <v>3</v>
      </c>
      <c r="F410" s="4" t="str">
        <f>IFERROR(VLOOKUP(Tabela32[[#This Row],[Placa]],Planilha2!$A$1:$B$12,2,0),"")</f>
        <v>Arnaldo</v>
      </c>
      <c r="G410" s="10">
        <v>11040.71</v>
      </c>
      <c r="H410" s="10">
        <v>199413.43</v>
      </c>
      <c r="I410" s="4">
        <v>2635</v>
      </c>
      <c r="J410" s="17">
        <f>IFERROR(Tabela32[[#This Row],[Valor Frete]]/Tabela32[[#This Row],[Valor Mercadoria]],"")</f>
        <v>5.5365929967705785E-2</v>
      </c>
      <c r="K410" s="11">
        <v>0.2986111111111111</v>
      </c>
      <c r="L410" s="15">
        <v>0.73958333333333337</v>
      </c>
      <c r="M410" s="15">
        <f>Tabela32[[#This Row],[Hr Chegada]]-Tabela32[[#This Row],[Hr Saida]]</f>
        <v>0.44097222222222227</v>
      </c>
      <c r="N410" s="4">
        <v>14111</v>
      </c>
      <c r="O410" s="4">
        <v>14170</v>
      </c>
      <c r="P410" s="4">
        <f>Tabela32[[#This Row],[Km Chegada]]-Tabela32[[#This Row],[Km Saída]]</f>
        <v>59</v>
      </c>
      <c r="Q410" s="4">
        <v>204</v>
      </c>
      <c r="R410" s="4">
        <v>23</v>
      </c>
      <c r="S410" s="4">
        <v>23</v>
      </c>
      <c r="T410" s="12">
        <f>Tabela32[[#This Row],[Entregas]]-Tabela32[[#This Row],[Realizadas]]</f>
        <v>0</v>
      </c>
      <c r="U410" s="18">
        <f>Tabela32[[#This Row],[Realizadas]]/Tabela32[[#This Row],[Entregas]]</f>
        <v>1</v>
      </c>
      <c r="V410" s="19" t="str">
        <f>IF(Tabela32[[#This Row],[% Entrega]]&gt;=96%,"Atendeu a Meta","Não Atendeu a Meta")</f>
        <v>Atendeu a Meta</v>
      </c>
      <c r="W410" s="4" t="s">
        <v>39</v>
      </c>
      <c r="X410" s="4">
        <v>1</v>
      </c>
      <c r="Y410" s="5">
        <v>29</v>
      </c>
    </row>
    <row r="411" spans="1:25" x14ac:dyDescent="0.25">
      <c r="A411" s="8">
        <v>46290</v>
      </c>
      <c r="B411" s="16">
        <f>YEAR(Tabela32[[#This Row],[Data]])</f>
        <v>2026</v>
      </c>
      <c r="C411" s="16">
        <f>MONTH(Tabela32[[#This Row],[Data]])</f>
        <v>9</v>
      </c>
      <c r="D411" s="4" t="s">
        <v>29</v>
      </c>
      <c r="E411" s="4">
        <v>1</v>
      </c>
      <c r="F411" s="4" t="str">
        <f>IFERROR(VLOOKUP(Tabela32[[#This Row],[Placa]],Planilha2!$A$1:$B$12,2,0),"")</f>
        <v>Sandro</v>
      </c>
      <c r="G411" s="10">
        <v>4396.1099999999997</v>
      </c>
      <c r="H411" s="10">
        <v>244440.09</v>
      </c>
      <c r="I411" s="4">
        <v>333</v>
      </c>
      <c r="J411" s="17">
        <f>IFERROR(Tabela32[[#This Row],[Valor Frete]]/Tabela32[[#This Row],[Valor Mercadoria]],"")</f>
        <v>1.7984406731318091E-2</v>
      </c>
      <c r="K411" s="11">
        <v>0.29166666666666669</v>
      </c>
      <c r="L411" s="15">
        <v>0.85347222222222219</v>
      </c>
      <c r="M411" s="15">
        <f>Tabela32[[#This Row],[Hr Chegada]]-Tabela32[[#This Row],[Hr Saida]]</f>
        <v>0.56180555555555545</v>
      </c>
      <c r="N411" s="4">
        <v>276245</v>
      </c>
      <c r="O411" s="4">
        <v>276281</v>
      </c>
      <c r="P411" s="4">
        <f>Tabela32[[#This Row],[Km Chegada]]-Tabela32[[#This Row],[Km Saída]]</f>
        <v>36</v>
      </c>
      <c r="Q411" s="4">
        <v>199</v>
      </c>
      <c r="R411" s="4">
        <v>5</v>
      </c>
      <c r="S411" s="4">
        <v>5</v>
      </c>
      <c r="T411" s="12">
        <f>Tabela32[[#This Row],[Entregas]]-Tabela32[[#This Row],[Realizadas]]</f>
        <v>0</v>
      </c>
      <c r="U411" s="18">
        <f>Tabela32[[#This Row],[Realizadas]]/Tabela32[[#This Row],[Entregas]]</f>
        <v>1</v>
      </c>
      <c r="V411" s="19" t="str">
        <f>IF(Tabela32[[#This Row],[% Entrega]]&gt;=96%,"Atendeu a Meta","Não Atendeu a Meta")</f>
        <v>Atendeu a Meta</v>
      </c>
      <c r="W411" s="4" t="s">
        <v>40</v>
      </c>
      <c r="X411" s="4">
        <v>0</v>
      </c>
      <c r="Y411" s="5">
        <v>0</v>
      </c>
    </row>
    <row r="412" spans="1:25" x14ac:dyDescent="0.25">
      <c r="A412" s="8">
        <v>46290</v>
      </c>
      <c r="B412" s="16">
        <f>YEAR(Tabela32[[#This Row],[Data]])</f>
        <v>2026</v>
      </c>
      <c r="C412" s="16">
        <f>MONTH(Tabela32[[#This Row],[Data]])</f>
        <v>9</v>
      </c>
      <c r="D412" s="4" t="s">
        <v>25</v>
      </c>
      <c r="E412" s="4">
        <v>1</v>
      </c>
      <c r="F412" s="4" t="str">
        <f>IFERROR(VLOOKUP(Tabela32[[#This Row],[Placa]],Planilha2!$A$1:$B$12,2,0),"")</f>
        <v>Gilberto</v>
      </c>
      <c r="G412" s="10">
        <v>14980.47</v>
      </c>
      <c r="H412" s="10">
        <v>140701.66</v>
      </c>
      <c r="I412" s="4">
        <v>5351</v>
      </c>
      <c r="J412" s="17">
        <f>IFERROR(Tabela32[[#This Row],[Valor Frete]]/Tabela32[[#This Row],[Valor Mercadoria]],"")</f>
        <v>0.10646974598593932</v>
      </c>
      <c r="K412" s="11">
        <v>0.3125</v>
      </c>
      <c r="L412" s="15">
        <v>0.69791666666666663</v>
      </c>
      <c r="M412" s="15">
        <f>Tabela32[[#This Row],[Hr Chegada]]-Tabela32[[#This Row],[Hr Saida]]</f>
        <v>0.38541666666666663</v>
      </c>
      <c r="N412" s="4">
        <v>120351</v>
      </c>
      <c r="O412" s="4">
        <v>120398</v>
      </c>
      <c r="P412" s="4">
        <f>Tabela32[[#This Row],[Km Chegada]]-Tabela32[[#This Row],[Km Saída]]</f>
        <v>47</v>
      </c>
      <c r="Q412" s="4">
        <v>424</v>
      </c>
      <c r="R412" s="4">
        <v>12</v>
      </c>
      <c r="S412" s="4">
        <v>12</v>
      </c>
      <c r="T412" s="12">
        <f>Tabela32[[#This Row],[Entregas]]-Tabela32[[#This Row],[Realizadas]]</f>
        <v>0</v>
      </c>
      <c r="U412" s="18">
        <f>Tabela32[[#This Row],[Realizadas]]/Tabela32[[#This Row],[Entregas]]</f>
        <v>1</v>
      </c>
      <c r="V412" s="19" t="str">
        <f>IF(Tabela32[[#This Row],[% Entrega]]&gt;=96%,"Atendeu a Meta","Não Atendeu a Meta")</f>
        <v>Atendeu a Meta</v>
      </c>
      <c r="W412" s="4" t="s">
        <v>43</v>
      </c>
      <c r="X412" s="4">
        <v>0</v>
      </c>
      <c r="Y412" s="5">
        <v>0</v>
      </c>
    </row>
    <row r="413" spans="1:25" x14ac:dyDescent="0.25">
      <c r="A413" s="8">
        <v>46290</v>
      </c>
      <c r="B413" s="16">
        <f>YEAR(Tabela32[[#This Row],[Data]])</f>
        <v>2026</v>
      </c>
      <c r="C413" s="16">
        <f>MONTH(Tabela32[[#This Row],[Data]])</f>
        <v>9</v>
      </c>
      <c r="D413" s="4" t="s">
        <v>35</v>
      </c>
      <c r="E413" s="4">
        <v>1</v>
      </c>
      <c r="F413" s="4" t="str">
        <f>IFERROR(VLOOKUP(Tabela32[[#This Row],[Placa]],Planilha2!$A$1:$B$12,2,0),"")</f>
        <v>Osvaldo</v>
      </c>
      <c r="G413" s="10">
        <v>4004.13</v>
      </c>
      <c r="H413" s="10">
        <v>51763.71</v>
      </c>
      <c r="I413" s="4">
        <v>523</v>
      </c>
      <c r="J413" s="17">
        <f>IFERROR(Tabela32[[#This Row],[Valor Frete]]/Tabela32[[#This Row],[Valor Mercadoria]],"")</f>
        <v>7.7353999549104963E-2</v>
      </c>
      <c r="K413" s="11">
        <v>0.3125</v>
      </c>
      <c r="L413" s="15">
        <v>0.68958333333333333</v>
      </c>
      <c r="M413" s="15">
        <f>Tabela32[[#This Row],[Hr Chegada]]-Tabela32[[#This Row],[Hr Saida]]</f>
        <v>0.37708333333333333</v>
      </c>
      <c r="N413" s="4">
        <v>143760</v>
      </c>
      <c r="O413" s="4">
        <v>143838</v>
      </c>
      <c r="P413" s="4">
        <f>Tabela32[[#This Row],[Km Chegada]]-Tabela32[[#This Row],[Km Saída]]</f>
        <v>78</v>
      </c>
      <c r="Q413" s="4">
        <v>105</v>
      </c>
      <c r="R413" s="4">
        <v>17</v>
      </c>
      <c r="S413" s="4">
        <v>17</v>
      </c>
      <c r="T413" s="12">
        <f>Tabela32[[#This Row],[Entregas]]-Tabela32[[#This Row],[Realizadas]]</f>
        <v>0</v>
      </c>
      <c r="U413" s="18">
        <f>Tabela32[[#This Row],[Realizadas]]/Tabela32[[#This Row],[Entregas]]</f>
        <v>1</v>
      </c>
      <c r="V413" s="19" t="str">
        <f>IF(Tabela32[[#This Row],[% Entrega]]&gt;=96%,"Atendeu a Meta","Não Atendeu a Meta")</f>
        <v>Atendeu a Meta</v>
      </c>
      <c r="W413" s="4" t="s">
        <v>43</v>
      </c>
      <c r="X413" s="4">
        <v>0</v>
      </c>
      <c r="Y413" s="5">
        <v>0</v>
      </c>
    </row>
    <row r="414" spans="1:25" x14ac:dyDescent="0.25">
      <c r="A414" s="8">
        <v>46293</v>
      </c>
      <c r="B414" s="16">
        <f>YEAR(Tabela32[[#This Row],[Data]])</f>
        <v>2026</v>
      </c>
      <c r="C414" s="16">
        <f>MONTH(Tabela32[[#This Row],[Data]])</f>
        <v>9</v>
      </c>
      <c r="D414" s="4" t="s">
        <v>28</v>
      </c>
      <c r="E414" s="4">
        <v>11</v>
      </c>
      <c r="F414" s="4" t="str">
        <f>IFERROR(VLOOKUP(Tabela32[[#This Row],[Placa]],Planilha2!$A$1:$B$12,2,0),"")</f>
        <v>Edilson</v>
      </c>
      <c r="G414" s="10">
        <v>21693.67</v>
      </c>
      <c r="H414" s="10">
        <v>354040.34</v>
      </c>
      <c r="I414" s="4">
        <v>4005</v>
      </c>
      <c r="J414" s="17">
        <f>IFERROR(Tabela32[[#This Row],[Valor Frete]]/Tabela32[[#This Row],[Valor Mercadoria]],"")</f>
        <v>6.1274571140678483E-2</v>
      </c>
      <c r="K414" s="11">
        <v>0.27430555555555558</v>
      </c>
      <c r="L414" s="15">
        <v>0.80208333333333337</v>
      </c>
      <c r="M414" s="15">
        <f>Tabela32[[#This Row],[Hr Chegada]]-Tabela32[[#This Row],[Hr Saida]]</f>
        <v>0.52777777777777779</v>
      </c>
      <c r="N414" s="4">
        <v>106302</v>
      </c>
      <c r="O414" s="4">
        <v>106433</v>
      </c>
      <c r="P414" s="4">
        <f>Tabela32[[#This Row],[Km Chegada]]-Tabela32[[#This Row],[Km Saída]]</f>
        <v>131</v>
      </c>
      <c r="Q414" s="4">
        <v>737</v>
      </c>
      <c r="R414" s="4">
        <v>21</v>
      </c>
      <c r="S414" s="4">
        <v>21</v>
      </c>
      <c r="T414" s="12">
        <f>Tabela32[[#This Row],[Entregas]]-Tabela32[[#This Row],[Realizadas]]</f>
        <v>0</v>
      </c>
      <c r="U414" s="18">
        <f>Tabela32[[#This Row],[Realizadas]]/Tabela32[[#This Row],[Entregas]]</f>
        <v>1</v>
      </c>
      <c r="V414" s="19" t="str">
        <f>IF(Tabela32[[#This Row],[% Entrega]]&gt;=96%,"Atendeu a Meta","Não Atendeu a Meta")</f>
        <v>Atendeu a Meta</v>
      </c>
      <c r="W414" s="4" t="s">
        <v>41</v>
      </c>
      <c r="X414" s="4">
        <v>0</v>
      </c>
      <c r="Y414" s="5">
        <v>0</v>
      </c>
    </row>
    <row r="415" spans="1:25" x14ac:dyDescent="0.25">
      <c r="A415" s="8">
        <v>46293</v>
      </c>
      <c r="B415" s="16">
        <f>YEAR(Tabela32[[#This Row],[Data]])</f>
        <v>2026</v>
      </c>
      <c r="C415" s="16">
        <f>MONTH(Tabela32[[#This Row],[Data]])</f>
        <v>9</v>
      </c>
      <c r="D415" s="4" t="s">
        <v>33</v>
      </c>
      <c r="E415" s="4">
        <v>1</v>
      </c>
      <c r="F415" s="4" t="str">
        <f>IFERROR(VLOOKUP(Tabela32[[#This Row],[Placa]],Planilha2!$A$1:$B$12,2,0),"")</f>
        <v>Paulo</v>
      </c>
      <c r="G415" s="10">
        <v>2973.41</v>
      </c>
      <c r="H415" s="10">
        <v>9200.4500000000007</v>
      </c>
      <c r="I415" s="4">
        <v>177</v>
      </c>
      <c r="J415" s="17">
        <f>IFERROR(Tabela32[[#This Row],[Valor Frete]]/Tabela32[[#This Row],[Valor Mercadoria]],"")</f>
        <v>0.32318093136748743</v>
      </c>
      <c r="K415" s="11">
        <v>0.26319444444444445</v>
      </c>
      <c r="L415" s="15">
        <v>0.49791666666666667</v>
      </c>
      <c r="M415" s="15">
        <f>Tabela32[[#This Row],[Hr Chegada]]-Tabela32[[#This Row],[Hr Saida]]</f>
        <v>0.23472222222222222</v>
      </c>
      <c r="N415" s="4">
        <v>156247</v>
      </c>
      <c r="O415" s="4">
        <v>156302</v>
      </c>
      <c r="P415" s="4">
        <f>Tabela32[[#This Row],[Km Chegada]]-Tabela32[[#This Row],[Km Saída]]</f>
        <v>55</v>
      </c>
      <c r="Q415" s="4">
        <v>27</v>
      </c>
      <c r="R415" s="4">
        <v>1</v>
      </c>
      <c r="S415" s="4">
        <v>1</v>
      </c>
      <c r="T415" s="12">
        <f>Tabela32[[#This Row],[Entregas]]-Tabela32[[#This Row],[Realizadas]]</f>
        <v>0</v>
      </c>
      <c r="U415" s="18">
        <f>Tabela32[[#This Row],[Realizadas]]/Tabela32[[#This Row],[Entregas]]</f>
        <v>1</v>
      </c>
      <c r="V415" s="19" t="str">
        <f>IF(Tabela32[[#This Row],[% Entrega]]&gt;=96%,"Atendeu a Meta","Não Atendeu a Meta")</f>
        <v>Atendeu a Meta</v>
      </c>
      <c r="W415" s="4" t="s">
        <v>40</v>
      </c>
      <c r="X415" s="4">
        <v>0</v>
      </c>
      <c r="Y415" s="5">
        <v>0</v>
      </c>
    </row>
    <row r="416" spans="1:25" x14ac:dyDescent="0.25">
      <c r="A416" s="8">
        <v>46293</v>
      </c>
      <c r="B416" s="16">
        <f>YEAR(Tabela32[[#This Row],[Data]])</f>
        <v>2026</v>
      </c>
      <c r="C416" s="16">
        <f>MONTH(Tabela32[[#This Row],[Data]])</f>
        <v>9</v>
      </c>
      <c r="D416" s="4" t="s">
        <v>22</v>
      </c>
      <c r="E416" s="4">
        <v>3</v>
      </c>
      <c r="F416" s="4" t="str">
        <f>IFERROR(VLOOKUP(Tabela32[[#This Row],[Placa]],Planilha2!$A$1:$B$12,2,0),"")</f>
        <v>Wesley</v>
      </c>
      <c r="G416" s="10">
        <v>9218.99</v>
      </c>
      <c r="H416" s="10">
        <v>251213.41</v>
      </c>
      <c r="I416" s="4">
        <v>2045</v>
      </c>
      <c r="J416" s="17">
        <f>IFERROR(Tabela32[[#This Row],[Valor Frete]]/Tabela32[[#This Row],[Valor Mercadoria]],"")</f>
        <v>3.669784188670501E-2</v>
      </c>
      <c r="K416" s="11">
        <v>0.29166666666666669</v>
      </c>
      <c r="L416" s="15">
        <v>0.76388888888888884</v>
      </c>
      <c r="M416" s="15">
        <f>Tabela32[[#This Row],[Hr Chegada]]-Tabela32[[#This Row],[Hr Saida]]</f>
        <v>0.47222222222222215</v>
      </c>
      <c r="N416" s="4">
        <v>305567</v>
      </c>
      <c r="O416" s="4">
        <v>305630</v>
      </c>
      <c r="P416" s="4">
        <f>Tabela32[[#This Row],[Km Chegada]]-Tabela32[[#This Row],[Km Saída]]</f>
        <v>63</v>
      </c>
      <c r="Q416" s="4">
        <v>262</v>
      </c>
      <c r="R416" s="4">
        <v>23</v>
      </c>
      <c r="S416" s="4">
        <v>21</v>
      </c>
      <c r="T416" s="12">
        <f>Tabela32[[#This Row],[Entregas]]-Tabela32[[#This Row],[Realizadas]]</f>
        <v>2</v>
      </c>
      <c r="U416" s="18">
        <f>Tabela32[[#This Row],[Realizadas]]/Tabela32[[#This Row],[Entregas]]</f>
        <v>0.91304347826086951</v>
      </c>
      <c r="V416" s="19" t="str">
        <f>IF(Tabela32[[#This Row],[% Entrega]]&gt;=96%,"Atendeu a Meta","Não Atendeu a Meta")</f>
        <v>Não Atendeu a Meta</v>
      </c>
      <c r="W416" s="4" t="s">
        <v>39</v>
      </c>
      <c r="X416" s="4">
        <v>3</v>
      </c>
      <c r="Y416" s="5" t="s">
        <v>90</v>
      </c>
    </row>
    <row r="417" spans="1:25" x14ac:dyDescent="0.25">
      <c r="A417" s="8">
        <v>46293</v>
      </c>
      <c r="B417" s="16">
        <f>YEAR(Tabela32[[#This Row],[Data]])</f>
        <v>2026</v>
      </c>
      <c r="C417" s="16">
        <f>MONTH(Tabela32[[#This Row],[Data]])</f>
        <v>9</v>
      </c>
      <c r="D417" s="4" t="s">
        <v>23</v>
      </c>
      <c r="E417" s="4">
        <v>2</v>
      </c>
      <c r="F417" s="4" t="str">
        <f>IFERROR(VLOOKUP(Tabela32[[#This Row],[Placa]],Planilha2!$A$1:$B$12,2,0),"")</f>
        <v>William</v>
      </c>
      <c r="G417" s="10">
        <v>9319.57</v>
      </c>
      <c r="H417" s="10">
        <v>206129.93</v>
      </c>
      <c r="I417" s="4">
        <v>1859</v>
      </c>
      <c r="J417" s="17">
        <f>IFERROR(Tabela32[[#This Row],[Valor Frete]]/Tabela32[[#This Row],[Valor Mercadoria]],"")</f>
        <v>4.5212114514374499E-2</v>
      </c>
      <c r="K417" s="11">
        <v>0.27083333333333331</v>
      </c>
      <c r="L417" s="15">
        <v>0.80555555555555558</v>
      </c>
      <c r="M417" s="15">
        <f>Tabela32[[#This Row],[Hr Chegada]]-Tabela32[[#This Row],[Hr Saida]]</f>
        <v>0.53472222222222232</v>
      </c>
      <c r="N417" s="4">
        <v>126246</v>
      </c>
      <c r="O417" s="4">
        <v>126325</v>
      </c>
      <c r="P417" s="4">
        <f>Tabela32[[#This Row],[Km Chegada]]-Tabela32[[#This Row],[Km Saída]]</f>
        <v>79</v>
      </c>
      <c r="Q417" s="4">
        <v>267</v>
      </c>
      <c r="R417" s="4">
        <v>32</v>
      </c>
      <c r="S417" s="4">
        <v>32</v>
      </c>
      <c r="T417" s="12">
        <f>Tabela32[[#This Row],[Entregas]]-Tabela32[[#This Row],[Realizadas]]</f>
        <v>0</v>
      </c>
      <c r="U417" s="18">
        <f>Tabela32[[#This Row],[Realizadas]]/Tabela32[[#This Row],[Entregas]]</f>
        <v>1</v>
      </c>
      <c r="V417" s="19" t="str">
        <f>IF(Tabela32[[#This Row],[% Entrega]]&gt;=96%,"Atendeu a Meta","Não Atendeu a Meta")</f>
        <v>Atendeu a Meta</v>
      </c>
      <c r="W417" s="4" t="s">
        <v>39</v>
      </c>
      <c r="X417" s="4">
        <v>0</v>
      </c>
      <c r="Y417" s="5">
        <v>0</v>
      </c>
    </row>
    <row r="418" spans="1:25" x14ac:dyDescent="0.25">
      <c r="A418" s="8">
        <v>46293</v>
      </c>
      <c r="B418" s="16">
        <f>YEAR(Tabela32[[#This Row],[Data]])</f>
        <v>2026</v>
      </c>
      <c r="C418" s="16">
        <f>MONTH(Tabela32[[#This Row],[Data]])</f>
        <v>9</v>
      </c>
      <c r="D418" s="4" t="s">
        <v>27</v>
      </c>
      <c r="E418" s="4">
        <v>1</v>
      </c>
      <c r="F418" s="4" t="str">
        <f>IFERROR(VLOOKUP(Tabela32[[#This Row],[Placa]],Planilha2!$A$1:$B$12,2,0),"")</f>
        <v>Rosinaldo</v>
      </c>
      <c r="G418" s="10">
        <v>9333.08</v>
      </c>
      <c r="H418" s="10">
        <v>290605.62</v>
      </c>
      <c r="I418" s="4">
        <v>1402</v>
      </c>
      <c r="J418" s="17">
        <f>IFERROR(Tabela32[[#This Row],[Valor Frete]]/Tabela32[[#This Row],[Valor Mercadoria]],"")</f>
        <v>3.2115965272798232E-2</v>
      </c>
      <c r="K418" s="11">
        <v>0.29166666666666669</v>
      </c>
      <c r="L418" s="15">
        <v>0.78263888888888888</v>
      </c>
      <c r="M418" s="15">
        <f>Tabela32[[#This Row],[Hr Chegada]]-Tabela32[[#This Row],[Hr Saida]]</f>
        <v>0.4909722222222222</v>
      </c>
      <c r="N418" s="4">
        <v>291859</v>
      </c>
      <c r="O418" s="4">
        <v>291912</v>
      </c>
      <c r="P418" s="4">
        <f>Tabela32[[#This Row],[Km Chegada]]-Tabela32[[#This Row],[Km Saída]]</f>
        <v>53</v>
      </c>
      <c r="Q418" s="4">
        <v>143</v>
      </c>
      <c r="R418" s="4">
        <v>5</v>
      </c>
      <c r="S418" s="4">
        <v>5</v>
      </c>
      <c r="T418" s="12">
        <f>Tabela32[[#This Row],[Entregas]]-Tabela32[[#This Row],[Realizadas]]</f>
        <v>0</v>
      </c>
      <c r="U418" s="18">
        <f>Tabela32[[#This Row],[Realizadas]]/Tabela32[[#This Row],[Entregas]]</f>
        <v>1</v>
      </c>
      <c r="V418" s="19" t="str">
        <f>IF(Tabela32[[#This Row],[% Entrega]]&gt;=96%,"Atendeu a Meta","Não Atendeu a Meta")</f>
        <v>Atendeu a Meta</v>
      </c>
      <c r="W418" s="4" t="s">
        <v>40</v>
      </c>
      <c r="X418" s="4">
        <v>0</v>
      </c>
      <c r="Y418" s="5">
        <v>0</v>
      </c>
    </row>
    <row r="419" spans="1:25" x14ac:dyDescent="0.25">
      <c r="A419" s="8">
        <v>46293</v>
      </c>
      <c r="B419" s="16">
        <f>YEAR(Tabela32[[#This Row],[Data]])</f>
        <v>2026</v>
      </c>
      <c r="C419" s="16">
        <f>MONTH(Tabela32[[#This Row],[Data]])</f>
        <v>9</v>
      </c>
      <c r="D419" s="4" t="s">
        <v>53</v>
      </c>
      <c r="E419" s="4">
        <v>5</v>
      </c>
      <c r="F419" s="4" t="str">
        <f>IFERROR(VLOOKUP(Tabela32[[#This Row],[Placa]],Planilha2!$A$1:$B$12,2,0),"")</f>
        <v>Arnaldo</v>
      </c>
      <c r="G419" s="10">
        <v>23684.07</v>
      </c>
      <c r="H419" s="10">
        <v>464001.72</v>
      </c>
      <c r="I419" s="4">
        <v>3729</v>
      </c>
      <c r="J419" s="17">
        <f>IFERROR(Tabela32[[#This Row],[Valor Frete]]/Tabela32[[#This Row],[Valor Mercadoria]],"")</f>
        <v>5.1043065098982827E-2</v>
      </c>
      <c r="K419" s="11">
        <v>0.29375000000000001</v>
      </c>
      <c r="L419" s="15">
        <v>0.78055555555555556</v>
      </c>
      <c r="M419" s="15">
        <f>Tabela32[[#This Row],[Hr Chegada]]-Tabela32[[#This Row],[Hr Saida]]</f>
        <v>0.48680555555555555</v>
      </c>
      <c r="N419" s="4">
        <v>14171</v>
      </c>
      <c r="O419" s="4">
        <v>14237</v>
      </c>
      <c r="P419" s="4">
        <f>Tabela32[[#This Row],[Km Chegada]]-Tabela32[[#This Row],[Km Saída]]</f>
        <v>66</v>
      </c>
      <c r="Q419" s="4">
        <v>274</v>
      </c>
      <c r="R419" s="4">
        <v>21</v>
      </c>
      <c r="S419" s="4">
        <v>21</v>
      </c>
      <c r="T419" s="12">
        <f>Tabela32[[#This Row],[Entregas]]-Tabela32[[#This Row],[Realizadas]]</f>
        <v>0</v>
      </c>
      <c r="U419" s="18">
        <f>Tabela32[[#This Row],[Realizadas]]/Tabela32[[#This Row],[Entregas]]</f>
        <v>1</v>
      </c>
      <c r="V419" s="19" t="str">
        <f>IF(Tabela32[[#This Row],[% Entrega]]&gt;=96%,"Atendeu a Meta","Não Atendeu a Meta")</f>
        <v>Atendeu a Meta</v>
      </c>
      <c r="W419" s="4" t="s">
        <v>39</v>
      </c>
      <c r="X419" s="4">
        <v>0</v>
      </c>
      <c r="Y419" s="5">
        <v>38</v>
      </c>
    </row>
    <row r="420" spans="1:25" x14ac:dyDescent="0.25">
      <c r="A420" s="8">
        <v>46293</v>
      </c>
      <c r="B420" s="16">
        <f>YEAR(Tabela32[[#This Row],[Data]])</f>
        <v>2026</v>
      </c>
      <c r="C420" s="16">
        <f>MONTH(Tabela32[[#This Row],[Data]])</f>
        <v>9</v>
      </c>
      <c r="D420" s="4" t="s">
        <v>29</v>
      </c>
      <c r="E420" s="4">
        <v>1</v>
      </c>
      <c r="F420" s="4" t="str">
        <f>IFERROR(VLOOKUP(Tabela32[[#This Row],[Placa]],Planilha2!$A$1:$B$12,2,0),"")</f>
        <v>Sandro</v>
      </c>
      <c r="G420" s="10">
        <v>3368.44</v>
      </c>
      <c r="H420" s="10">
        <v>39299.07</v>
      </c>
      <c r="I420" s="4">
        <v>126</v>
      </c>
      <c r="J420" s="17">
        <f>IFERROR(Tabela32[[#This Row],[Valor Frete]]/Tabela32[[#This Row],[Valor Mercadoria]],"")</f>
        <v>8.5712969798013031E-2</v>
      </c>
      <c r="K420" s="11">
        <v>0.29166666666666669</v>
      </c>
      <c r="L420" s="15">
        <v>0.73263888888888884</v>
      </c>
      <c r="M420" s="15">
        <f>Tabela32[[#This Row],[Hr Chegada]]-Tabela32[[#This Row],[Hr Saida]]</f>
        <v>0.44097222222222215</v>
      </c>
      <c r="N420" s="4">
        <v>276287</v>
      </c>
      <c r="O420" s="4">
        <v>276329</v>
      </c>
      <c r="P420" s="4">
        <f>Tabela32[[#This Row],[Km Chegada]]-Tabela32[[#This Row],[Km Saída]]</f>
        <v>42</v>
      </c>
      <c r="Q420" s="4">
        <v>34</v>
      </c>
      <c r="R420" s="4">
        <v>5</v>
      </c>
      <c r="S420" s="4">
        <v>5</v>
      </c>
      <c r="T420" s="12">
        <f>Tabela32[[#This Row],[Entregas]]-Tabela32[[#This Row],[Realizadas]]</f>
        <v>0</v>
      </c>
      <c r="U420" s="18">
        <f>Tabela32[[#This Row],[Realizadas]]/Tabela32[[#This Row],[Entregas]]</f>
        <v>1</v>
      </c>
      <c r="V420" s="19" t="str">
        <f>IF(Tabela32[[#This Row],[% Entrega]]&gt;=96%,"Atendeu a Meta","Não Atendeu a Meta")</f>
        <v>Atendeu a Meta</v>
      </c>
      <c r="W420" s="4" t="s">
        <v>40</v>
      </c>
      <c r="X420" s="4">
        <v>0</v>
      </c>
      <c r="Y420" s="5">
        <v>0</v>
      </c>
    </row>
    <row r="421" spans="1:25" x14ac:dyDescent="0.25">
      <c r="A421" s="8">
        <v>46293</v>
      </c>
      <c r="B421" s="16">
        <f>YEAR(Tabela32[[#This Row],[Data]])</f>
        <v>2026</v>
      </c>
      <c r="C421" s="16">
        <f>MONTH(Tabela32[[#This Row],[Data]])</f>
        <v>9</v>
      </c>
      <c r="D421" s="4" t="s">
        <v>31</v>
      </c>
      <c r="E421" s="4">
        <v>1</v>
      </c>
      <c r="F421" s="4" t="str">
        <f>IFERROR(VLOOKUP(Tabela32[[#This Row],[Placa]],Planilha2!$A$1:$B$12,2,0),"")</f>
        <v>Jerson</v>
      </c>
      <c r="G421" s="10">
        <v>4705.49</v>
      </c>
      <c r="H421" s="10">
        <v>42953.85</v>
      </c>
      <c r="I421" s="4">
        <v>769</v>
      </c>
      <c r="J421" s="17">
        <f>IFERROR(Tabela32[[#This Row],[Valor Frete]]/Tabela32[[#This Row],[Valor Mercadoria]],"")</f>
        <v>0.10954757256916435</v>
      </c>
      <c r="K421" s="11">
        <v>0.2986111111111111</v>
      </c>
      <c r="L421" s="15">
        <v>0.85277777777777775</v>
      </c>
      <c r="M421" s="15">
        <f>Tabela32[[#This Row],[Hr Chegada]]-Tabela32[[#This Row],[Hr Saida]]</f>
        <v>0.5541666666666667</v>
      </c>
      <c r="N421" s="4">
        <v>281059</v>
      </c>
      <c r="O421" s="4">
        <v>281247</v>
      </c>
      <c r="P421" s="4">
        <f>Tabela32[[#This Row],[Km Chegada]]-Tabela32[[#This Row],[Km Saída]]</f>
        <v>188</v>
      </c>
      <c r="Q421" s="4">
        <v>108</v>
      </c>
      <c r="R421" s="4">
        <v>16</v>
      </c>
      <c r="S421" s="4">
        <v>15</v>
      </c>
      <c r="T421" s="12">
        <f>Tabela32[[#This Row],[Entregas]]-Tabela32[[#This Row],[Realizadas]]</f>
        <v>1</v>
      </c>
      <c r="U421" s="18">
        <f>Tabela32[[#This Row],[Realizadas]]/Tabela32[[#This Row],[Entregas]]</f>
        <v>0.9375</v>
      </c>
      <c r="V421" s="19" t="str">
        <f>IF(Tabela32[[#This Row],[% Entrega]]&gt;=96%,"Atendeu a Meta","Não Atendeu a Meta")</f>
        <v>Não Atendeu a Meta</v>
      </c>
      <c r="W421" s="4" t="s">
        <v>91</v>
      </c>
      <c r="X421" s="4">
        <v>2</v>
      </c>
      <c r="Y421" s="5">
        <v>13.42</v>
      </c>
    </row>
    <row r="422" spans="1:25" x14ac:dyDescent="0.25">
      <c r="A422" s="8">
        <v>46293</v>
      </c>
      <c r="B422" s="16">
        <f>YEAR(Tabela32[[#This Row],[Data]])</f>
        <v>2026</v>
      </c>
      <c r="C422" s="16">
        <f>MONTH(Tabela32[[#This Row],[Data]])</f>
        <v>9</v>
      </c>
      <c r="D422" s="4" t="s">
        <v>36</v>
      </c>
      <c r="E422" s="4">
        <v>5</v>
      </c>
      <c r="F422" s="4" t="str">
        <f>IFERROR(VLOOKUP(Tabela32[[#This Row],[Placa]],Planilha2!$A$1:$B$12,2,0),"")</f>
        <v>Heremilton</v>
      </c>
      <c r="G422" s="10">
        <v>12922.53</v>
      </c>
      <c r="H422" s="10">
        <v>364913.29</v>
      </c>
      <c r="I422" s="4">
        <v>2323</v>
      </c>
      <c r="J422" s="17">
        <f>IFERROR(Tabela32[[#This Row],[Valor Frete]]/Tabela32[[#This Row],[Valor Mercadoria]],"")</f>
        <v>3.5412604457349312E-2</v>
      </c>
      <c r="K422" s="11">
        <v>0.27083333333333331</v>
      </c>
      <c r="L422" s="15">
        <v>0.76388888888888884</v>
      </c>
      <c r="M422" s="15">
        <f>Tabela32[[#This Row],[Hr Chegada]]-Tabela32[[#This Row],[Hr Saida]]</f>
        <v>0.49305555555555552</v>
      </c>
      <c r="N422" s="4">
        <v>367044</v>
      </c>
      <c r="O422" s="4">
        <v>367081</v>
      </c>
      <c r="P422" s="4">
        <f>Tabela32[[#This Row],[Km Chegada]]-Tabela32[[#This Row],[Km Saída]]</f>
        <v>37</v>
      </c>
      <c r="Q422" s="4">
        <v>576</v>
      </c>
      <c r="R422" s="4">
        <v>12</v>
      </c>
      <c r="S422" s="4">
        <v>12</v>
      </c>
      <c r="T422" s="12">
        <f>Tabela32[[#This Row],[Entregas]]-Tabela32[[#This Row],[Realizadas]]</f>
        <v>0</v>
      </c>
      <c r="U422" s="18">
        <f>Tabela32[[#This Row],[Realizadas]]/Tabela32[[#This Row],[Entregas]]</f>
        <v>1</v>
      </c>
      <c r="V422" s="19" t="str">
        <f>IF(Tabela32[[#This Row],[% Entrega]]&gt;=96%,"Atendeu a Meta","Não Atendeu a Meta")</f>
        <v>Atendeu a Meta</v>
      </c>
      <c r="W422" s="4" t="s">
        <v>39</v>
      </c>
      <c r="X422" s="4">
        <v>0</v>
      </c>
      <c r="Y422" s="5">
        <v>0</v>
      </c>
    </row>
    <row r="423" spans="1:25" x14ac:dyDescent="0.25">
      <c r="A423" s="8">
        <v>46293</v>
      </c>
      <c r="B423" s="16">
        <f>YEAR(Tabela32[[#This Row],[Data]])</f>
        <v>2026</v>
      </c>
      <c r="C423" s="16">
        <f>MONTH(Tabela32[[#This Row],[Data]])</f>
        <v>9</v>
      </c>
      <c r="D423" s="4" t="s">
        <v>25</v>
      </c>
      <c r="E423" s="4">
        <v>5</v>
      </c>
      <c r="F423" s="4" t="str">
        <f>IFERROR(VLOOKUP(Tabela32[[#This Row],[Placa]],Planilha2!$A$1:$B$12,2,0),"")</f>
        <v>Gilberto</v>
      </c>
      <c r="G423" s="10">
        <v>11215.28</v>
      </c>
      <c r="H423" s="10">
        <v>148653.44</v>
      </c>
      <c r="I423" s="4">
        <v>2785</v>
      </c>
      <c r="J423" s="17">
        <f>IFERROR(Tabela32[[#This Row],[Valor Frete]]/Tabela32[[#This Row],[Valor Mercadoria]],"")</f>
        <v>7.5445815448334064E-2</v>
      </c>
      <c r="K423" s="11">
        <v>0.29166666666666669</v>
      </c>
      <c r="L423" s="15">
        <v>0.73541666666666672</v>
      </c>
      <c r="M423" s="15">
        <f>Tabela32[[#This Row],[Hr Chegada]]-Tabela32[[#This Row],[Hr Saida]]</f>
        <v>0.44375000000000003</v>
      </c>
      <c r="N423" s="4">
        <v>120399</v>
      </c>
      <c r="O423" s="4">
        <v>120461</v>
      </c>
      <c r="P423" s="4">
        <f>Tabela32[[#This Row],[Km Chegada]]-Tabela32[[#This Row],[Km Saída]]</f>
        <v>62</v>
      </c>
      <c r="Q423" s="4">
        <v>302</v>
      </c>
      <c r="R423" s="4">
        <v>11</v>
      </c>
      <c r="S423" s="4">
        <v>10</v>
      </c>
      <c r="T423" s="12">
        <f>Tabela32[[#This Row],[Entregas]]-Tabela32[[#This Row],[Realizadas]]</f>
        <v>1</v>
      </c>
      <c r="U423" s="18">
        <f>Tabela32[[#This Row],[Realizadas]]/Tabela32[[#This Row],[Entregas]]</f>
        <v>0.90909090909090906</v>
      </c>
      <c r="V423" s="19" t="str">
        <f>IF(Tabela32[[#This Row],[% Entrega]]&gt;=96%,"Atendeu a Meta","Não Atendeu a Meta")</f>
        <v>Não Atendeu a Meta</v>
      </c>
      <c r="W423" s="4" t="s">
        <v>39</v>
      </c>
      <c r="X423" s="4">
        <v>1</v>
      </c>
      <c r="Y423" s="5">
        <v>13</v>
      </c>
    </row>
    <row r="424" spans="1:25" x14ac:dyDescent="0.25">
      <c r="A424" s="8">
        <v>46293</v>
      </c>
      <c r="B424" s="16">
        <f>YEAR(Tabela32[[#This Row],[Data]])</f>
        <v>2026</v>
      </c>
      <c r="C424" s="16">
        <f>MONTH(Tabela32[[#This Row],[Data]])</f>
        <v>9</v>
      </c>
      <c r="D424" s="4" t="s">
        <v>35</v>
      </c>
      <c r="E424" s="4">
        <v>1</v>
      </c>
      <c r="F424" s="4" t="str">
        <f>IFERROR(VLOOKUP(Tabela32[[#This Row],[Placa]],Planilha2!$A$1:$B$12,2,0),"")</f>
        <v>Osvaldo</v>
      </c>
      <c r="G424" s="10">
        <v>9273.92</v>
      </c>
      <c r="H424" s="10">
        <v>193715.08</v>
      </c>
      <c r="I424" s="4">
        <v>1758</v>
      </c>
      <c r="J424" s="17">
        <f>IFERROR(Tabela32[[#This Row],[Valor Frete]]/Tabela32[[#This Row],[Valor Mercadoria]],"")</f>
        <v>4.7874021991473253E-2</v>
      </c>
      <c r="K424" s="11">
        <v>0.29166666666666669</v>
      </c>
      <c r="L424" s="15">
        <v>0.7583333333333333</v>
      </c>
      <c r="M424" s="15">
        <f>Tabela32[[#This Row],[Hr Chegada]]-Tabela32[[#This Row],[Hr Saida]]</f>
        <v>0.46666666666666662</v>
      </c>
      <c r="N424" s="4">
        <v>143838</v>
      </c>
      <c r="O424" s="4">
        <v>143896</v>
      </c>
      <c r="P424" s="4">
        <f>Tabela32[[#This Row],[Km Chegada]]-Tabela32[[#This Row],[Km Saída]]</f>
        <v>58</v>
      </c>
      <c r="Q424" s="4">
        <v>163</v>
      </c>
      <c r="R424" s="4">
        <v>20</v>
      </c>
      <c r="S424" s="4">
        <v>20</v>
      </c>
      <c r="T424" s="12">
        <f>Tabela32[[#This Row],[Entregas]]-Tabela32[[#This Row],[Realizadas]]</f>
        <v>0</v>
      </c>
      <c r="U424" s="18">
        <f>Tabela32[[#This Row],[Realizadas]]/Tabela32[[#This Row],[Entregas]]</f>
        <v>1</v>
      </c>
      <c r="V424" s="19" t="str">
        <f>IF(Tabela32[[#This Row],[% Entrega]]&gt;=96%,"Atendeu a Meta","Não Atendeu a Meta")</f>
        <v>Atendeu a Meta</v>
      </c>
      <c r="W424" s="4" t="s">
        <v>43</v>
      </c>
      <c r="X424" s="4">
        <v>0</v>
      </c>
      <c r="Y424" s="5">
        <v>0</v>
      </c>
    </row>
    <row r="425" spans="1:25" x14ac:dyDescent="0.25">
      <c r="A425" s="8">
        <v>46294</v>
      </c>
      <c r="B425" s="16">
        <f>YEAR(Tabela32[[#This Row],[Data]])</f>
        <v>2026</v>
      </c>
      <c r="C425" s="16">
        <f>MONTH(Tabela32[[#This Row],[Data]])</f>
        <v>9</v>
      </c>
      <c r="D425" s="4" t="s">
        <v>28</v>
      </c>
      <c r="E425" s="4">
        <v>11</v>
      </c>
      <c r="F425" s="4" t="str">
        <f>IFERROR(VLOOKUP(Tabela32[[#This Row],[Placa]],Planilha2!$A$1:$B$12,2,0),"")</f>
        <v>Edilson</v>
      </c>
      <c r="G425" s="10">
        <v>22617.07</v>
      </c>
      <c r="H425" s="10">
        <v>281785.12</v>
      </c>
      <c r="I425" s="4">
        <v>6226</v>
      </c>
      <c r="J425" s="17">
        <f>IFERROR(Tabela32[[#This Row],[Valor Frete]]/Tabela32[[#This Row],[Valor Mercadoria]],"")</f>
        <v>8.0263535562133309E-2</v>
      </c>
      <c r="K425" s="11">
        <v>0.27430555555555558</v>
      </c>
      <c r="L425" s="15">
        <v>0.79166666666666663</v>
      </c>
      <c r="M425" s="15">
        <f>Tabela32[[#This Row],[Hr Chegada]]-Tabela32[[#This Row],[Hr Saida]]</f>
        <v>0.51736111111111105</v>
      </c>
      <c r="N425" s="4">
        <v>106433</v>
      </c>
      <c r="O425" s="4">
        <v>106579</v>
      </c>
      <c r="P425" s="4">
        <f>Tabela32[[#This Row],[Km Chegada]]-Tabela32[[#This Row],[Km Saída]]</f>
        <v>146</v>
      </c>
      <c r="Q425" s="4">
        <v>755</v>
      </c>
      <c r="R425" s="4">
        <v>37</v>
      </c>
      <c r="S425" s="4">
        <v>37</v>
      </c>
      <c r="T425" s="12">
        <f>Tabela32[[#This Row],[Entregas]]-Tabela32[[#This Row],[Realizadas]]</f>
        <v>0</v>
      </c>
      <c r="U425" s="18">
        <f>Tabela32[[#This Row],[Realizadas]]/Tabela32[[#This Row],[Entregas]]</f>
        <v>1</v>
      </c>
      <c r="V425" s="19" t="str">
        <f>IF(Tabela32[[#This Row],[% Entrega]]&gt;=96%,"Atendeu a Meta","Não Atendeu a Meta")</f>
        <v>Atendeu a Meta</v>
      </c>
      <c r="W425" s="4" t="s">
        <v>41</v>
      </c>
      <c r="X425" s="4">
        <v>3</v>
      </c>
      <c r="Y425" s="5">
        <v>8</v>
      </c>
    </row>
    <row r="426" spans="1:25" x14ac:dyDescent="0.25">
      <c r="A426" s="8">
        <v>46294</v>
      </c>
      <c r="B426" s="16">
        <f>YEAR(Tabela32[[#This Row],[Data]])</f>
        <v>2026</v>
      </c>
      <c r="C426" s="16">
        <f>MONTH(Tabela32[[#This Row],[Data]])</f>
        <v>9</v>
      </c>
      <c r="D426" s="4" t="s">
        <v>33</v>
      </c>
      <c r="E426" s="4">
        <v>1</v>
      </c>
      <c r="F426" s="4" t="str">
        <f>IFERROR(VLOOKUP(Tabela32[[#This Row],[Placa]],Planilha2!$A$1:$B$12,2,0),"")</f>
        <v>Paulo</v>
      </c>
      <c r="G426" s="10">
        <v>1113.4100000000001</v>
      </c>
      <c r="H426" s="10">
        <v>12324</v>
      </c>
      <c r="I426" s="4">
        <v>211</v>
      </c>
      <c r="J426" s="17">
        <f>IFERROR(Tabela32[[#This Row],[Valor Frete]]/Tabela32[[#This Row],[Valor Mercadoria]],"")</f>
        <v>9.034485556637456E-2</v>
      </c>
      <c r="K426" s="11">
        <v>0.29166666666666669</v>
      </c>
      <c r="L426" s="15">
        <v>0.625</v>
      </c>
      <c r="M426" s="15">
        <f>Tabela32[[#This Row],[Hr Chegada]]-Tabela32[[#This Row],[Hr Saida]]</f>
        <v>0.33333333333333331</v>
      </c>
      <c r="N426" s="4">
        <v>156302</v>
      </c>
      <c r="O426" s="4">
        <v>156370</v>
      </c>
      <c r="P426" s="4">
        <f>Tabela32[[#This Row],[Km Chegada]]-Tabela32[[#This Row],[Km Saída]]</f>
        <v>68</v>
      </c>
      <c r="Q426" s="4">
        <v>20</v>
      </c>
      <c r="R426" s="4">
        <v>1</v>
      </c>
      <c r="S426" s="4">
        <v>1</v>
      </c>
      <c r="T426" s="12">
        <f>Tabela32[[#This Row],[Entregas]]-Tabela32[[#This Row],[Realizadas]]</f>
        <v>0</v>
      </c>
      <c r="U426" s="18">
        <f>Tabela32[[#This Row],[Realizadas]]/Tabela32[[#This Row],[Entregas]]</f>
        <v>1</v>
      </c>
      <c r="V426" s="19" t="str">
        <f>IF(Tabela32[[#This Row],[% Entrega]]&gt;=96%,"Atendeu a Meta","Não Atendeu a Meta")</f>
        <v>Atendeu a Meta</v>
      </c>
      <c r="W426" s="4" t="s">
        <v>40</v>
      </c>
      <c r="X426" s="4">
        <v>0</v>
      </c>
      <c r="Y426" s="5">
        <v>0</v>
      </c>
    </row>
    <row r="427" spans="1:25" x14ac:dyDescent="0.25">
      <c r="A427" s="8">
        <v>46294</v>
      </c>
      <c r="B427" s="16">
        <f>YEAR(Tabela32[[#This Row],[Data]])</f>
        <v>2026</v>
      </c>
      <c r="C427" s="16">
        <f>MONTH(Tabela32[[#This Row],[Data]])</f>
        <v>9</v>
      </c>
      <c r="D427" s="4" t="s">
        <v>23</v>
      </c>
      <c r="E427" s="4">
        <v>2</v>
      </c>
      <c r="F427" s="4" t="str">
        <f>IFERROR(VLOOKUP(Tabela32[[#This Row],[Placa]],Planilha2!$A$1:$B$12,2,0),"")</f>
        <v>William</v>
      </c>
      <c r="G427" s="10">
        <v>7509.04</v>
      </c>
      <c r="H427" s="10">
        <v>133454.82999999999</v>
      </c>
      <c r="I427" s="4">
        <v>1515</v>
      </c>
      <c r="J427" s="17">
        <f>IFERROR(Tabela32[[#This Row],[Valor Frete]]/Tabela32[[#This Row],[Valor Mercadoria]],"")</f>
        <v>5.6266528532537941E-2</v>
      </c>
      <c r="K427" s="11">
        <v>0.29166666666666669</v>
      </c>
      <c r="L427" s="15">
        <v>0.74305555555555558</v>
      </c>
      <c r="M427" s="15">
        <f>Tabela32[[#This Row],[Hr Chegada]]-Tabela32[[#This Row],[Hr Saida]]</f>
        <v>0.4513888888888889</v>
      </c>
      <c r="N427" s="4">
        <v>126325</v>
      </c>
      <c r="O427" s="4">
        <v>126381</v>
      </c>
      <c r="P427" s="4">
        <f>Tabela32[[#This Row],[Km Chegada]]-Tabela32[[#This Row],[Km Saída]]</f>
        <v>56</v>
      </c>
      <c r="Q427" s="4">
        <v>190</v>
      </c>
      <c r="R427" s="4">
        <v>26</v>
      </c>
      <c r="S427" s="4">
        <v>26</v>
      </c>
      <c r="T427" s="12">
        <f>Tabela32[[#This Row],[Entregas]]-Tabela32[[#This Row],[Realizadas]]</f>
        <v>0</v>
      </c>
      <c r="U427" s="18">
        <f>Tabela32[[#This Row],[Realizadas]]/Tabela32[[#This Row],[Entregas]]</f>
        <v>1</v>
      </c>
      <c r="V427" s="19" t="str">
        <f>IF(Tabela32[[#This Row],[% Entrega]]&gt;=96%,"Atendeu a Meta","Não Atendeu a Meta")</f>
        <v>Atendeu a Meta</v>
      </c>
      <c r="W427" s="4" t="s">
        <v>39</v>
      </c>
      <c r="X427" s="4">
        <v>0</v>
      </c>
      <c r="Y427" s="5">
        <v>0</v>
      </c>
    </row>
    <row r="428" spans="1:25" x14ac:dyDescent="0.25">
      <c r="A428" s="8">
        <v>46294</v>
      </c>
      <c r="B428" s="16">
        <f>YEAR(Tabela32[[#This Row],[Data]])</f>
        <v>2026</v>
      </c>
      <c r="C428" s="16">
        <f>MONTH(Tabela32[[#This Row],[Data]])</f>
        <v>9</v>
      </c>
      <c r="D428" s="4" t="s">
        <v>25</v>
      </c>
      <c r="E428" s="4">
        <v>5</v>
      </c>
      <c r="F428" s="4" t="str">
        <f>IFERROR(VLOOKUP(Tabela32[[#This Row],[Placa]],Planilha2!$A$1:$B$12,2,0),"")</f>
        <v>Gilberto</v>
      </c>
      <c r="G428" s="10">
        <v>5011.5600000000004</v>
      </c>
      <c r="H428" s="10">
        <v>90003.41</v>
      </c>
      <c r="I428" s="4">
        <v>808</v>
      </c>
      <c r="J428" s="17">
        <f>IFERROR(Tabela32[[#This Row],[Valor Frete]]/Tabela32[[#This Row],[Valor Mercadoria]],"")</f>
        <v>5.5681890275046247E-2</v>
      </c>
      <c r="K428" s="11">
        <v>0.3125</v>
      </c>
      <c r="L428" s="15">
        <v>0.71527777777777779</v>
      </c>
      <c r="M428" s="15">
        <f>Tabela32[[#This Row],[Hr Chegada]]-Tabela32[[#This Row],[Hr Saida]]</f>
        <v>0.40277777777777779</v>
      </c>
      <c r="N428" s="4">
        <v>120461</v>
      </c>
      <c r="O428" s="4">
        <v>120547</v>
      </c>
      <c r="P428" s="4">
        <f>Tabela32[[#This Row],[Km Chegada]]-Tabela32[[#This Row],[Km Saída]]</f>
        <v>86</v>
      </c>
      <c r="Q428" s="4">
        <v>119</v>
      </c>
      <c r="R428" s="4">
        <v>18</v>
      </c>
      <c r="S428" s="4">
        <v>18</v>
      </c>
      <c r="T428" s="12">
        <f>Tabela32[[#This Row],[Entregas]]-Tabela32[[#This Row],[Realizadas]]</f>
        <v>0</v>
      </c>
      <c r="U428" s="18">
        <f>Tabela32[[#This Row],[Realizadas]]/Tabela32[[#This Row],[Entregas]]</f>
        <v>1</v>
      </c>
      <c r="V428" s="19" t="str">
        <f>IF(Tabela32[[#This Row],[% Entrega]]&gt;=96%,"Atendeu a Meta","Não Atendeu a Meta")</f>
        <v>Atendeu a Meta</v>
      </c>
      <c r="W428" s="4" t="s">
        <v>39</v>
      </c>
      <c r="X428" s="4">
        <v>1</v>
      </c>
      <c r="Y428" s="5">
        <v>9</v>
      </c>
    </row>
    <row r="429" spans="1:25" x14ac:dyDescent="0.25">
      <c r="A429" s="8">
        <v>46294</v>
      </c>
      <c r="B429" s="16">
        <f>YEAR(Tabela32[[#This Row],[Data]])</f>
        <v>2026</v>
      </c>
      <c r="C429" s="16">
        <f>MONTH(Tabela32[[#This Row],[Data]])</f>
        <v>9</v>
      </c>
      <c r="D429" s="4" t="s">
        <v>35</v>
      </c>
      <c r="E429" s="4">
        <v>1</v>
      </c>
      <c r="F429" s="4" t="str">
        <f>IFERROR(VLOOKUP(Tabela32[[#This Row],[Placa]],Planilha2!$A$1:$B$12,2,0),"")</f>
        <v>Osvaldo</v>
      </c>
      <c r="G429" s="10">
        <v>8326.7800000000007</v>
      </c>
      <c r="H429" s="10">
        <v>93407.54</v>
      </c>
      <c r="I429" s="4">
        <v>885</v>
      </c>
      <c r="J429" s="17">
        <f>IFERROR(Tabela32[[#This Row],[Valor Frete]]/Tabela32[[#This Row],[Valor Mercadoria]],"")</f>
        <v>8.9144623656719796E-2</v>
      </c>
      <c r="K429" s="11">
        <v>0.3125</v>
      </c>
      <c r="L429" s="15">
        <v>0.76111111111111107</v>
      </c>
      <c r="M429" s="15">
        <f>Tabela32[[#This Row],[Hr Chegada]]-Tabela32[[#This Row],[Hr Saida]]</f>
        <v>0.44861111111111107</v>
      </c>
      <c r="N429" s="4">
        <v>143896</v>
      </c>
      <c r="O429" s="4">
        <v>143967</v>
      </c>
      <c r="P429" s="4">
        <f>Tabela32[[#This Row],[Km Chegada]]-Tabela32[[#This Row],[Km Saída]]</f>
        <v>71</v>
      </c>
      <c r="Q429" s="4">
        <v>133</v>
      </c>
      <c r="R429" s="4">
        <v>22</v>
      </c>
      <c r="S429" s="4">
        <v>22</v>
      </c>
      <c r="T429" s="12">
        <f>Tabela32[[#This Row],[Entregas]]-Tabela32[[#This Row],[Realizadas]]</f>
        <v>0</v>
      </c>
      <c r="U429" s="18">
        <f>Tabela32[[#This Row],[Realizadas]]/Tabela32[[#This Row],[Entregas]]</f>
        <v>1</v>
      </c>
      <c r="V429" s="19" t="str">
        <f>IF(Tabela32[[#This Row],[% Entrega]]&gt;=96%,"Atendeu a Meta","Não Atendeu a Meta")</f>
        <v>Atendeu a Meta</v>
      </c>
      <c r="W429" s="4" t="s">
        <v>43</v>
      </c>
      <c r="X429" s="4">
        <v>0</v>
      </c>
      <c r="Y429" s="5">
        <v>0</v>
      </c>
    </row>
    <row r="430" spans="1:25" x14ac:dyDescent="0.25">
      <c r="A430" s="8">
        <v>46294</v>
      </c>
      <c r="B430" s="16">
        <f>YEAR(Tabela32[[#This Row],[Data]])</f>
        <v>2026</v>
      </c>
      <c r="C430" s="16">
        <f>MONTH(Tabela32[[#This Row],[Data]])</f>
        <v>9</v>
      </c>
      <c r="D430" s="4" t="s">
        <v>29</v>
      </c>
      <c r="E430" s="4">
        <v>3</v>
      </c>
      <c r="F430" s="4" t="str">
        <f>IFERROR(VLOOKUP(Tabela32[[#This Row],[Placa]],Planilha2!$A$1:$B$12,2,0),"")</f>
        <v>Sandro</v>
      </c>
      <c r="G430" s="10">
        <v>10745.4</v>
      </c>
      <c r="H430" s="10">
        <v>56053.61</v>
      </c>
      <c r="I430" s="4">
        <v>3980</v>
      </c>
      <c r="J430" s="17">
        <f>IFERROR(Tabela32[[#This Row],[Valor Frete]]/Tabela32[[#This Row],[Valor Mercadoria]],"")</f>
        <v>0.19169862565497564</v>
      </c>
      <c r="K430" s="11">
        <v>0.3125</v>
      </c>
      <c r="L430" s="15">
        <v>0.71805555555555556</v>
      </c>
      <c r="M430" s="15">
        <f>Tabela32[[#This Row],[Hr Chegada]]-Tabela32[[#This Row],[Hr Saida]]</f>
        <v>0.40555555555555556</v>
      </c>
      <c r="N430" s="4">
        <v>276321</v>
      </c>
      <c r="O430" s="4">
        <v>276371</v>
      </c>
      <c r="P430" s="4">
        <f>Tabela32[[#This Row],[Km Chegada]]-Tabela32[[#This Row],[Km Saída]]</f>
        <v>50</v>
      </c>
      <c r="Q430" s="4">
        <v>265</v>
      </c>
      <c r="R430" s="4">
        <v>6</v>
      </c>
      <c r="S430" s="4">
        <v>6</v>
      </c>
      <c r="T430" s="12">
        <f>Tabela32[[#This Row],[Entregas]]-Tabela32[[#This Row],[Realizadas]]</f>
        <v>0</v>
      </c>
      <c r="U430" s="18">
        <f>Tabela32[[#This Row],[Realizadas]]/Tabela32[[#This Row],[Entregas]]</f>
        <v>1</v>
      </c>
      <c r="V430" s="19" t="str">
        <f>IF(Tabela32[[#This Row],[% Entrega]]&gt;=96%,"Atendeu a Meta","Não Atendeu a Meta")</f>
        <v>Atendeu a Meta</v>
      </c>
      <c r="W430" s="4" t="s">
        <v>39</v>
      </c>
      <c r="X430" s="4">
        <v>0</v>
      </c>
      <c r="Y430" s="5">
        <v>0</v>
      </c>
    </row>
    <row r="431" spans="1:25" x14ac:dyDescent="0.25">
      <c r="A431" s="8">
        <v>46294</v>
      </c>
      <c r="B431" s="16">
        <f>YEAR(Tabela32[[#This Row],[Data]])</f>
        <v>2026</v>
      </c>
      <c r="C431" s="16">
        <f>MONTH(Tabela32[[#This Row],[Data]])</f>
        <v>9</v>
      </c>
      <c r="D431" s="4" t="s">
        <v>53</v>
      </c>
      <c r="E431" s="4">
        <v>5</v>
      </c>
      <c r="F431" s="4" t="str">
        <f>IFERROR(VLOOKUP(Tabela32[[#This Row],[Placa]],Planilha2!$A$1:$B$12,2,0),"")</f>
        <v>Arnaldo</v>
      </c>
      <c r="G431" s="10">
        <v>2067.41</v>
      </c>
      <c r="H431" s="10">
        <v>40528.410000000003</v>
      </c>
      <c r="I431" s="4">
        <v>437</v>
      </c>
      <c r="J431" s="17">
        <f>IFERROR(Tabela32[[#This Row],[Valor Frete]]/Tabela32[[#This Row],[Valor Mercadoria]],"")</f>
        <v>5.101137695754656E-2</v>
      </c>
      <c r="K431" s="11">
        <v>0.3215277777777778</v>
      </c>
      <c r="L431" s="15">
        <v>0.70486111111111116</v>
      </c>
      <c r="M431" s="15">
        <f>Tabela32[[#This Row],[Hr Chegada]]-Tabela32[[#This Row],[Hr Saida]]</f>
        <v>0.38333333333333336</v>
      </c>
      <c r="N431" s="4">
        <v>14237</v>
      </c>
      <c r="O431" s="4">
        <v>14293</v>
      </c>
      <c r="P431" s="4">
        <f>Tabela32[[#This Row],[Km Chegada]]-Tabela32[[#This Row],[Km Saída]]</f>
        <v>56</v>
      </c>
      <c r="Q431" s="4">
        <v>87</v>
      </c>
      <c r="R431" s="4">
        <v>8</v>
      </c>
      <c r="S431" s="4">
        <v>8</v>
      </c>
      <c r="T431" s="12">
        <f>Tabela32[[#This Row],[Entregas]]-Tabela32[[#This Row],[Realizadas]]</f>
        <v>0</v>
      </c>
      <c r="U431" s="18">
        <f>Tabela32[[#This Row],[Realizadas]]/Tabela32[[#This Row],[Entregas]]</f>
        <v>1</v>
      </c>
      <c r="V431" s="19" t="str">
        <f>IF(Tabela32[[#This Row],[% Entrega]]&gt;=96%,"Atendeu a Meta","Não Atendeu a Meta")</f>
        <v>Atendeu a Meta</v>
      </c>
      <c r="W431" s="4" t="s">
        <v>39</v>
      </c>
      <c r="X431" s="4">
        <v>0</v>
      </c>
      <c r="Y431" s="5">
        <v>0</v>
      </c>
    </row>
    <row r="432" spans="1:25" x14ac:dyDescent="0.25">
      <c r="A432" s="8">
        <v>46294</v>
      </c>
      <c r="B432" s="16">
        <f>YEAR(Tabela32[[#This Row],[Data]])</f>
        <v>2026</v>
      </c>
      <c r="C432" s="16">
        <f>MONTH(Tabela32[[#This Row],[Data]])</f>
        <v>9</v>
      </c>
      <c r="D432" s="4" t="s">
        <v>27</v>
      </c>
      <c r="E432" s="4">
        <v>1</v>
      </c>
      <c r="F432" s="4" t="str">
        <f>IFERROR(VLOOKUP(Tabela32[[#This Row],[Placa]],Planilha2!$A$1:$B$12,2,0),"")</f>
        <v>Rosinaldo</v>
      </c>
      <c r="G432" s="10">
        <v>5478.94</v>
      </c>
      <c r="H432" s="10">
        <v>119535.11</v>
      </c>
      <c r="I432" s="4">
        <v>254</v>
      </c>
      <c r="J432" s="17">
        <f>IFERROR(Tabela32[[#This Row],[Valor Frete]]/Tabela32[[#This Row],[Valor Mercadoria]],"")</f>
        <v>4.5835403506133049E-2</v>
      </c>
      <c r="K432" s="11">
        <v>0.3125</v>
      </c>
      <c r="L432" s="15">
        <v>0.72499999999999998</v>
      </c>
      <c r="M432" s="15">
        <f>Tabela32[[#This Row],[Hr Chegada]]-Tabela32[[#This Row],[Hr Saida]]</f>
        <v>0.41249999999999998</v>
      </c>
      <c r="N432" s="4">
        <v>291912</v>
      </c>
      <c r="O432" s="4">
        <v>292074</v>
      </c>
      <c r="P432" s="4">
        <f>Tabela32[[#This Row],[Km Chegada]]-Tabela32[[#This Row],[Km Saída]]</f>
        <v>162</v>
      </c>
      <c r="Q432" s="4">
        <v>254</v>
      </c>
      <c r="R432" s="4">
        <v>10</v>
      </c>
      <c r="S432" s="4">
        <v>10</v>
      </c>
      <c r="T432" s="12">
        <f>Tabela32[[#This Row],[Entregas]]-Tabela32[[#This Row],[Realizadas]]</f>
        <v>0</v>
      </c>
      <c r="U432" s="18">
        <f>Tabela32[[#This Row],[Realizadas]]/Tabela32[[#This Row],[Entregas]]</f>
        <v>1</v>
      </c>
      <c r="V432" s="19" t="str">
        <f>IF(Tabela32[[#This Row],[% Entrega]]&gt;=96%,"Atendeu a Meta","Não Atendeu a Meta")</f>
        <v>Atendeu a Meta</v>
      </c>
      <c r="W432" s="4" t="s">
        <v>43</v>
      </c>
      <c r="X432" s="4">
        <v>0</v>
      </c>
      <c r="Y432" s="5">
        <v>0</v>
      </c>
    </row>
    <row r="433" spans="1:25" x14ac:dyDescent="0.25">
      <c r="A433" s="8">
        <v>46294</v>
      </c>
      <c r="B433" s="16">
        <f>YEAR(Tabela32[[#This Row],[Data]])</f>
        <v>2026</v>
      </c>
      <c r="C433" s="16">
        <f>MONTH(Tabela32[[#This Row],[Data]])</f>
        <v>9</v>
      </c>
      <c r="D433" s="4" t="s">
        <v>22</v>
      </c>
      <c r="E433" s="4">
        <v>3</v>
      </c>
      <c r="F433" s="4" t="str">
        <f>IFERROR(VLOOKUP(Tabela32[[#This Row],[Placa]],Planilha2!$A$1:$B$12,2,0),"")</f>
        <v>Wesley</v>
      </c>
      <c r="G433" s="10">
        <v>8588.69</v>
      </c>
      <c r="H433" s="10">
        <v>124979.38</v>
      </c>
      <c r="I433" s="4">
        <v>1375</v>
      </c>
      <c r="J433" s="17">
        <f>IFERROR(Tabela32[[#This Row],[Valor Frete]]/Tabela32[[#This Row],[Valor Mercadoria]],"")</f>
        <v>6.8720856192437507E-2</v>
      </c>
      <c r="K433" s="11">
        <v>0.29166666666666669</v>
      </c>
      <c r="L433" s="15">
        <v>0.72499999999999998</v>
      </c>
      <c r="M433" s="15">
        <f>Tabela32[[#This Row],[Hr Chegada]]-Tabela32[[#This Row],[Hr Saida]]</f>
        <v>0.43333333333333329</v>
      </c>
      <c r="N433" s="4">
        <v>305630</v>
      </c>
      <c r="O433" s="4">
        <v>305683</v>
      </c>
      <c r="P433" s="4">
        <f>Tabela32[[#This Row],[Km Chegada]]-Tabela32[[#This Row],[Km Saída]]</f>
        <v>53</v>
      </c>
      <c r="Q433" s="4">
        <v>185</v>
      </c>
      <c r="R433" s="4">
        <v>17</v>
      </c>
      <c r="S433" s="4">
        <v>17</v>
      </c>
      <c r="T433" s="12">
        <f>Tabela32[[#This Row],[Entregas]]-Tabela32[[#This Row],[Realizadas]]</f>
        <v>0</v>
      </c>
      <c r="U433" s="18">
        <f>Tabela32[[#This Row],[Realizadas]]/Tabela32[[#This Row],[Entregas]]</f>
        <v>1</v>
      </c>
      <c r="V433" s="19" t="str">
        <f>IF(Tabela32[[#This Row],[% Entrega]]&gt;=96%,"Atendeu a Meta","Não Atendeu a Meta")</f>
        <v>Atendeu a Meta</v>
      </c>
      <c r="W433" s="4" t="s">
        <v>39</v>
      </c>
      <c r="X433" s="4">
        <v>0</v>
      </c>
      <c r="Y433" s="5">
        <v>0</v>
      </c>
    </row>
    <row r="434" spans="1:25" x14ac:dyDescent="0.25">
      <c r="A434" s="8">
        <v>46294</v>
      </c>
      <c r="B434" s="16">
        <f>YEAR(Tabela32[[#This Row],[Data]])</f>
        <v>2026</v>
      </c>
      <c r="C434" s="16">
        <f>MONTH(Tabela32[[#This Row],[Data]])</f>
        <v>9</v>
      </c>
      <c r="D434" s="4" t="s">
        <v>31</v>
      </c>
      <c r="E434" s="4">
        <v>4</v>
      </c>
      <c r="F434" s="4" t="str">
        <f>IFERROR(VLOOKUP(Tabela32[[#This Row],[Placa]],Planilha2!$A$1:$B$12,2,0),"")</f>
        <v>Jerson</v>
      </c>
      <c r="G434" s="10">
        <v>12998.65</v>
      </c>
      <c r="H434" s="10">
        <v>189947.66</v>
      </c>
      <c r="I434" s="4">
        <v>2689</v>
      </c>
      <c r="J434" s="17">
        <f>IFERROR(Tabela32[[#This Row],[Valor Frete]]/Tabela32[[#This Row],[Valor Mercadoria]],"")</f>
        <v>6.843279880362832E-2</v>
      </c>
      <c r="K434" s="11">
        <v>0.33333333333333331</v>
      </c>
      <c r="L434" s="15">
        <v>0.73472222222222228</v>
      </c>
      <c r="M434" s="15">
        <f>Tabela32[[#This Row],[Hr Chegada]]-Tabela32[[#This Row],[Hr Saida]]</f>
        <v>0.40138888888888896</v>
      </c>
      <c r="N434" s="4">
        <v>281247</v>
      </c>
      <c r="O434" s="4">
        <v>281328</v>
      </c>
      <c r="P434" s="4">
        <f>Tabela32[[#This Row],[Km Chegada]]-Tabela32[[#This Row],[Km Saída]]</f>
        <v>81</v>
      </c>
      <c r="Q434" s="4">
        <v>406</v>
      </c>
      <c r="R434" s="4">
        <v>20</v>
      </c>
      <c r="S434" s="4">
        <v>20</v>
      </c>
      <c r="T434" s="12">
        <f>Tabela32[[#This Row],[Entregas]]-Tabela32[[#This Row],[Realizadas]]</f>
        <v>0</v>
      </c>
      <c r="U434" s="18">
        <f>Tabela32[[#This Row],[Realizadas]]/Tabela32[[#This Row],[Entregas]]</f>
        <v>1</v>
      </c>
      <c r="V434" s="19" t="str">
        <f>IF(Tabela32[[#This Row],[% Entrega]]&gt;=96%,"Atendeu a Meta","Não Atendeu a Meta")</f>
        <v>Atendeu a Meta</v>
      </c>
      <c r="W434" s="4" t="s">
        <v>39</v>
      </c>
      <c r="X434" s="4">
        <v>1</v>
      </c>
      <c r="Y434" s="5">
        <v>10</v>
      </c>
    </row>
    <row r="435" spans="1:25" x14ac:dyDescent="0.25">
      <c r="A435" s="8">
        <v>46295</v>
      </c>
      <c r="B435" s="16">
        <f>YEAR(Tabela32[[#This Row],[Data]])</f>
        <v>2026</v>
      </c>
      <c r="C435" s="16">
        <f>MONTH(Tabela32[[#This Row],[Data]])</f>
        <v>9</v>
      </c>
      <c r="D435" s="4" t="s">
        <v>29</v>
      </c>
      <c r="E435" s="4">
        <v>1</v>
      </c>
      <c r="F435" s="4" t="str">
        <f>IFERROR(VLOOKUP(Tabela32[[#This Row],[Placa]],Planilha2!$A$1:$B$12,2,0),"")</f>
        <v>Sandro</v>
      </c>
      <c r="G435" s="10">
        <v>4335.72</v>
      </c>
      <c r="H435" s="10">
        <v>230277.65</v>
      </c>
      <c r="I435" s="4">
        <v>402</v>
      </c>
      <c r="J435" s="17">
        <f>IFERROR(Tabela32[[#This Row],[Valor Frete]]/Tabela32[[#This Row],[Valor Mercadoria]],"")</f>
        <v>1.8828227576579839E-2</v>
      </c>
      <c r="K435" s="11">
        <v>0.29166666666666669</v>
      </c>
      <c r="L435" s="15">
        <v>0.69097222222222221</v>
      </c>
      <c r="M435" s="15">
        <f>Tabela32[[#This Row],[Hr Chegada]]-Tabela32[[#This Row],[Hr Saida]]</f>
        <v>0.39930555555555552</v>
      </c>
      <c r="N435" s="4">
        <v>276371</v>
      </c>
      <c r="O435" s="4">
        <v>276439</v>
      </c>
      <c r="P435" s="4">
        <f>Tabela32[[#This Row],[Km Chegada]]-Tabela32[[#This Row],[Km Saída]]</f>
        <v>68</v>
      </c>
      <c r="Q435" s="4">
        <v>370</v>
      </c>
      <c r="R435" s="4">
        <v>11</v>
      </c>
      <c r="S435" s="4">
        <v>11</v>
      </c>
      <c r="T435" s="12">
        <f>Tabela32[[#This Row],[Entregas]]-Tabela32[[#This Row],[Realizadas]]</f>
        <v>0</v>
      </c>
      <c r="U435" s="18">
        <f>Tabela32[[#This Row],[Realizadas]]/Tabela32[[#This Row],[Entregas]]</f>
        <v>1</v>
      </c>
      <c r="V435" s="19" t="str">
        <f>IF(Tabela32[[#This Row],[% Entrega]]&gt;=96%,"Atendeu a Meta","Não Atendeu a Meta")</f>
        <v>Atendeu a Meta</v>
      </c>
      <c r="W435" s="4" t="s">
        <v>40</v>
      </c>
      <c r="X435" s="4">
        <v>0</v>
      </c>
      <c r="Y435" s="5">
        <v>0</v>
      </c>
    </row>
    <row r="436" spans="1:25" x14ac:dyDescent="0.25">
      <c r="A436" s="8">
        <v>46295</v>
      </c>
      <c r="B436" s="16">
        <f>YEAR(Tabela32[[#This Row],[Data]])</f>
        <v>2026</v>
      </c>
      <c r="C436" s="16">
        <f>MONTH(Tabela32[[#This Row],[Data]])</f>
        <v>9</v>
      </c>
      <c r="D436" s="4" t="s">
        <v>22</v>
      </c>
      <c r="E436" s="4">
        <v>3</v>
      </c>
      <c r="F436" s="4" t="str">
        <f>IFERROR(VLOOKUP(Tabela32[[#This Row],[Placa]],Planilha2!$A$1:$B$12,2,0),"")</f>
        <v>Wesley</v>
      </c>
      <c r="G436" s="10">
        <v>5957.62</v>
      </c>
      <c r="H436" s="10">
        <v>67258.740000000005</v>
      </c>
      <c r="I436" s="4">
        <v>611</v>
      </c>
      <c r="J436" s="17">
        <f>IFERROR(Tabela32[[#This Row],[Valor Frete]]/Tabela32[[#This Row],[Valor Mercadoria]],"")</f>
        <v>8.8577633181947793E-2</v>
      </c>
      <c r="K436" s="11">
        <v>0.29166666666666669</v>
      </c>
      <c r="L436" s="15">
        <v>0.72083333333333333</v>
      </c>
      <c r="M436" s="15">
        <f>Tabela32[[#This Row],[Hr Chegada]]-Tabela32[[#This Row],[Hr Saida]]</f>
        <v>0.42916666666666664</v>
      </c>
      <c r="N436" s="4">
        <v>305683</v>
      </c>
      <c r="O436" s="4">
        <v>305745</v>
      </c>
      <c r="P436" s="4">
        <f>Tabela32[[#This Row],[Km Chegada]]-Tabela32[[#This Row],[Km Saída]]</f>
        <v>62</v>
      </c>
      <c r="Q436" s="4">
        <v>611</v>
      </c>
      <c r="R436" s="4">
        <v>17</v>
      </c>
      <c r="S436" s="4">
        <v>17</v>
      </c>
      <c r="T436" s="12">
        <f>Tabela32[[#This Row],[Entregas]]-Tabela32[[#This Row],[Realizadas]]</f>
        <v>0</v>
      </c>
      <c r="U436" s="18">
        <f>Tabela32[[#This Row],[Realizadas]]/Tabela32[[#This Row],[Entregas]]</f>
        <v>1</v>
      </c>
      <c r="V436" s="19" t="str">
        <f>IF(Tabela32[[#This Row],[% Entrega]]&gt;=96%,"Atendeu a Meta","Não Atendeu a Meta")</f>
        <v>Atendeu a Meta</v>
      </c>
      <c r="W436" s="4" t="s">
        <v>39</v>
      </c>
      <c r="X436" s="4">
        <v>0</v>
      </c>
      <c r="Y436" s="5">
        <v>0</v>
      </c>
    </row>
    <row r="437" spans="1:25" x14ac:dyDescent="0.25">
      <c r="A437" s="8">
        <v>46295</v>
      </c>
      <c r="B437" s="16">
        <f>YEAR(Tabela32[[#This Row],[Data]])</f>
        <v>2026</v>
      </c>
      <c r="C437" s="16">
        <f>MONTH(Tabela32[[#This Row],[Data]])</f>
        <v>9</v>
      </c>
      <c r="D437" s="4" t="s">
        <v>27</v>
      </c>
      <c r="E437" s="4">
        <v>1</v>
      </c>
      <c r="F437" s="4" t="str">
        <f>IFERROR(VLOOKUP(Tabela32[[#This Row],[Placa]],Planilha2!$A$1:$B$12,2,0),"")</f>
        <v>Rosinaldo</v>
      </c>
      <c r="G437" s="10">
        <v>4387.9399999999996</v>
      </c>
      <c r="H437" s="10">
        <v>185606.16</v>
      </c>
      <c r="I437" s="4">
        <v>485</v>
      </c>
      <c r="J437" s="17">
        <f>IFERROR(Tabela32[[#This Row],[Valor Frete]]/Tabela32[[#This Row],[Valor Mercadoria]],"")</f>
        <v>2.3641133462380771E-2</v>
      </c>
      <c r="K437" s="11">
        <v>0.29166666666666669</v>
      </c>
      <c r="L437" s="15">
        <v>0.44236111111111109</v>
      </c>
      <c r="M437" s="15">
        <f>Tabela32[[#This Row],[Hr Chegada]]-Tabela32[[#This Row],[Hr Saida]]</f>
        <v>0.15069444444444441</v>
      </c>
      <c r="N437" s="4">
        <v>292074</v>
      </c>
      <c r="O437" s="4">
        <v>292110</v>
      </c>
      <c r="P437" s="4">
        <f>Tabela32[[#This Row],[Km Chegada]]-Tabela32[[#This Row],[Km Saída]]</f>
        <v>36</v>
      </c>
      <c r="Q437" s="4">
        <v>18</v>
      </c>
      <c r="R437" s="4">
        <v>2</v>
      </c>
      <c r="S437" s="4">
        <v>2</v>
      </c>
      <c r="T437" s="12">
        <f>Tabela32[[#This Row],[Entregas]]-Tabela32[[#This Row],[Realizadas]]</f>
        <v>0</v>
      </c>
      <c r="U437" s="18">
        <f>Tabela32[[#This Row],[Realizadas]]/Tabela32[[#This Row],[Entregas]]</f>
        <v>1</v>
      </c>
      <c r="V437" s="19" t="str">
        <f>IF(Tabela32[[#This Row],[% Entrega]]&gt;=96%,"Atendeu a Meta","Não Atendeu a Meta")</f>
        <v>Atendeu a Meta</v>
      </c>
      <c r="W437" s="4" t="s">
        <v>40</v>
      </c>
      <c r="X437" s="4">
        <v>0</v>
      </c>
      <c r="Y437" s="5">
        <v>0</v>
      </c>
    </row>
    <row r="438" spans="1:25" x14ac:dyDescent="0.25">
      <c r="A438" s="8">
        <v>46295</v>
      </c>
      <c r="B438" s="16">
        <f>YEAR(Tabela32[[#This Row],[Data]])</f>
        <v>2026</v>
      </c>
      <c r="C438" s="16">
        <f>MONTH(Tabela32[[#This Row],[Data]])</f>
        <v>9</v>
      </c>
      <c r="D438" s="4" t="s">
        <v>33</v>
      </c>
      <c r="E438" s="4">
        <v>1</v>
      </c>
      <c r="F438" s="4" t="str">
        <f>IFERROR(VLOOKUP(Tabela32[[#This Row],[Placa]],Planilha2!$A$1:$B$12,2,0),"")</f>
        <v>Paulo</v>
      </c>
      <c r="G438" s="10">
        <v>2210.2199999999998</v>
      </c>
      <c r="H438" s="10">
        <v>38816.51</v>
      </c>
      <c r="I438" s="4">
        <v>293</v>
      </c>
      <c r="J438" s="17">
        <f>IFERROR(Tabela32[[#This Row],[Valor Frete]]/Tabela32[[#This Row],[Valor Mercadoria]],"")</f>
        <v>5.6940204052347822E-2</v>
      </c>
      <c r="K438" s="11">
        <v>0.27083333333333331</v>
      </c>
      <c r="L438" s="15">
        <v>0.7270833333333333</v>
      </c>
      <c r="M438" s="15">
        <f>Tabela32[[#This Row],[Hr Chegada]]-Tabela32[[#This Row],[Hr Saida]]</f>
        <v>0.45624999999999999</v>
      </c>
      <c r="N438" s="4">
        <v>156370</v>
      </c>
      <c r="O438" s="4">
        <v>156531</v>
      </c>
      <c r="P438" s="4">
        <f>Tabela32[[#This Row],[Km Chegada]]-Tabela32[[#This Row],[Km Saída]]</f>
        <v>161</v>
      </c>
      <c r="Q438" s="4">
        <v>59</v>
      </c>
      <c r="R438" s="4">
        <v>10</v>
      </c>
      <c r="S438" s="4">
        <v>10</v>
      </c>
      <c r="T438" s="12">
        <f>Tabela32[[#This Row],[Entregas]]-Tabela32[[#This Row],[Realizadas]]</f>
        <v>0</v>
      </c>
      <c r="U438" s="18">
        <f>Tabela32[[#This Row],[Realizadas]]/Tabela32[[#This Row],[Entregas]]</f>
        <v>1</v>
      </c>
      <c r="V438" s="19" t="str">
        <f>IF(Tabela32[[#This Row],[% Entrega]]&gt;=96%,"Atendeu a Meta","Não Atendeu a Meta")</f>
        <v>Atendeu a Meta</v>
      </c>
      <c r="W438" s="4" t="s">
        <v>91</v>
      </c>
      <c r="X438" s="4">
        <v>0</v>
      </c>
      <c r="Y438" s="5">
        <v>0</v>
      </c>
    </row>
    <row r="439" spans="1:25" x14ac:dyDescent="0.25">
      <c r="A439" s="8">
        <v>46295</v>
      </c>
      <c r="B439" s="16">
        <f>YEAR(Tabela32[[#This Row],[Data]])</f>
        <v>2026</v>
      </c>
      <c r="C439" s="16">
        <f>MONTH(Tabela32[[#This Row],[Data]])</f>
        <v>9</v>
      </c>
      <c r="D439" s="4" t="s">
        <v>23</v>
      </c>
      <c r="E439" s="4">
        <v>2</v>
      </c>
      <c r="F439" s="4" t="str">
        <f>IFERROR(VLOOKUP(Tabela32[[#This Row],[Placa]],Planilha2!$A$1:$B$12,2,0),"")</f>
        <v>William</v>
      </c>
      <c r="G439" s="10">
        <v>5686</v>
      </c>
      <c r="H439" s="10">
        <v>130464.87</v>
      </c>
      <c r="I439" s="4">
        <v>854</v>
      </c>
      <c r="J439" s="17">
        <f>IFERROR(Tabela32[[#This Row],[Valor Frete]]/Tabela32[[#This Row],[Valor Mercadoria]],"")</f>
        <v>4.3582613465218648E-2</v>
      </c>
      <c r="K439" s="11">
        <v>0.29166666666666669</v>
      </c>
      <c r="L439" s="15">
        <v>0.76736111111111116</v>
      </c>
      <c r="M439" s="15">
        <f>Tabela32[[#This Row],[Hr Chegada]]-Tabela32[[#This Row],[Hr Saida]]</f>
        <v>0.47569444444444448</v>
      </c>
      <c r="N439" s="4">
        <v>126381</v>
      </c>
      <c r="O439" s="4">
        <v>126467</v>
      </c>
      <c r="P439" s="4">
        <f>Tabela32[[#This Row],[Km Chegada]]-Tabela32[[#This Row],[Km Saída]]</f>
        <v>86</v>
      </c>
      <c r="Q439" s="4">
        <v>171</v>
      </c>
      <c r="R439" s="4">
        <v>29</v>
      </c>
      <c r="S439" s="4">
        <v>29</v>
      </c>
      <c r="T439" s="12">
        <f>Tabela32[[#This Row],[Entregas]]-Tabela32[[#This Row],[Realizadas]]</f>
        <v>0</v>
      </c>
      <c r="U439" s="18">
        <f>Tabela32[[#This Row],[Realizadas]]/Tabela32[[#This Row],[Entregas]]</f>
        <v>1</v>
      </c>
      <c r="V439" s="19" t="str">
        <f>IF(Tabela32[[#This Row],[% Entrega]]&gt;=96%,"Atendeu a Meta","Não Atendeu a Meta")</f>
        <v>Atendeu a Meta</v>
      </c>
      <c r="W439" s="4" t="s">
        <v>39</v>
      </c>
      <c r="X439" s="4">
        <v>0</v>
      </c>
      <c r="Y439" s="5">
        <v>0</v>
      </c>
    </row>
    <row r="440" spans="1:25" x14ac:dyDescent="0.25">
      <c r="A440" s="8">
        <v>46295</v>
      </c>
      <c r="B440" s="16">
        <f>YEAR(Tabela32[[#This Row],[Data]])</f>
        <v>2026</v>
      </c>
      <c r="C440" s="16">
        <f>MONTH(Tabela32[[#This Row],[Data]])</f>
        <v>9</v>
      </c>
      <c r="D440" s="4" t="s">
        <v>35</v>
      </c>
      <c r="E440" s="4">
        <v>5</v>
      </c>
      <c r="F440" s="4" t="str">
        <f>IFERROR(VLOOKUP(Tabela32[[#This Row],[Placa]],Planilha2!$A$1:$B$12,2,0),"")</f>
        <v>Osvaldo</v>
      </c>
      <c r="G440" s="10">
        <v>5528.24</v>
      </c>
      <c r="H440" s="10">
        <v>167798.9</v>
      </c>
      <c r="I440" s="4">
        <v>937</v>
      </c>
      <c r="J440" s="17">
        <f>IFERROR(Tabela32[[#This Row],[Valor Frete]]/Tabela32[[#This Row],[Valor Mercadoria]],"")</f>
        <v>3.2945627176340253E-2</v>
      </c>
      <c r="K440" s="11">
        <v>0.3125</v>
      </c>
      <c r="L440" s="15">
        <v>0.79861111111111116</v>
      </c>
      <c r="M440" s="15">
        <f>Tabela32[[#This Row],[Hr Chegada]]-Tabela32[[#This Row],[Hr Saida]]</f>
        <v>0.48611111111111116</v>
      </c>
      <c r="N440" s="4">
        <v>143967</v>
      </c>
      <c r="O440" s="4">
        <v>144011</v>
      </c>
      <c r="P440" s="4">
        <f>Tabela32[[#This Row],[Km Chegada]]-Tabela32[[#This Row],[Km Saída]]</f>
        <v>44</v>
      </c>
      <c r="Q440" s="4">
        <v>294</v>
      </c>
      <c r="R440" s="4">
        <v>11</v>
      </c>
      <c r="S440" s="4">
        <v>11</v>
      </c>
      <c r="T440" s="12">
        <f>Tabela32[[#This Row],[Entregas]]-Tabela32[[#This Row],[Realizadas]]</f>
        <v>0</v>
      </c>
      <c r="U440" s="18">
        <f>Tabela32[[#This Row],[Realizadas]]/Tabela32[[#This Row],[Entregas]]</f>
        <v>1</v>
      </c>
      <c r="V440" s="19" t="str">
        <f>IF(Tabela32[[#This Row],[% Entrega]]&gt;=96%,"Atendeu a Meta","Não Atendeu a Meta")</f>
        <v>Atendeu a Meta</v>
      </c>
      <c r="W440" s="4" t="s">
        <v>39</v>
      </c>
      <c r="X440" s="4">
        <v>0</v>
      </c>
      <c r="Y440" s="5">
        <v>0</v>
      </c>
    </row>
    <row r="441" spans="1:25" x14ac:dyDescent="0.25">
      <c r="A441" s="8">
        <v>46295</v>
      </c>
      <c r="B441" s="16">
        <f>YEAR(Tabela32[[#This Row],[Data]])</f>
        <v>2026</v>
      </c>
      <c r="C441" s="16">
        <f>MONTH(Tabela32[[#This Row],[Data]])</f>
        <v>9</v>
      </c>
      <c r="D441" s="4" t="s">
        <v>31</v>
      </c>
      <c r="E441" s="4">
        <v>11</v>
      </c>
      <c r="F441" s="4" t="str">
        <f>IFERROR(VLOOKUP(Tabela32[[#This Row],[Placa]],Planilha2!$A$1:$B$12,2,0),"")</f>
        <v>Jerson</v>
      </c>
      <c r="G441" s="10">
        <v>18788.560000000001</v>
      </c>
      <c r="H441" s="10">
        <v>430956.89</v>
      </c>
      <c r="I441" s="4">
        <v>3167</v>
      </c>
      <c r="J441" s="17">
        <f>IFERROR(Tabela32[[#This Row],[Valor Frete]]/Tabela32[[#This Row],[Valor Mercadoria]],"")</f>
        <v>4.3597307378007114E-2</v>
      </c>
      <c r="K441" s="11">
        <v>0.27430555555555558</v>
      </c>
      <c r="L441" s="15">
        <v>0.79861111111111116</v>
      </c>
      <c r="M441" s="15">
        <f>Tabela32[[#This Row],[Hr Chegada]]-Tabela32[[#This Row],[Hr Saida]]</f>
        <v>0.52430555555555558</v>
      </c>
      <c r="N441" s="4">
        <v>281328</v>
      </c>
      <c r="O441" s="4">
        <v>281467</v>
      </c>
      <c r="P441" s="4">
        <f>Tabela32[[#This Row],[Km Chegada]]-Tabela32[[#This Row],[Km Saída]]</f>
        <v>139</v>
      </c>
      <c r="Q441" s="4">
        <v>209</v>
      </c>
      <c r="R441" s="4">
        <v>41</v>
      </c>
      <c r="S441" s="4">
        <v>41</v>
      </c>
      <c r="T441" s="12">
        <f>Tabela32[[#This Row],[Entregas]]-Tabela32[[#This Row],[Realizadas]]</f>
        <v>0</v>
      </c>
      <c r="U441" s="18">
        <f>Tabela32[[#This Row],[Realizadas]]/Tabela32[[#This Row],[Entregas]]</f>
        <v>1</v>
      </c>
      <c r="V441" s="19" t="str">
        <f>IF(Tabela32[[#This Row],[% Entrega]]&gt;=96%,"Atendeu a Meta","Não Atendeu a Meta")</f>
        <v>Atendeu a Meta</v>
      </c>
      <c r="W441" s="4" t="s">
        <v>41</v>
      </c>
      <c r="X441" s="4">
        <v>0</v>
      </c>
      <c r="Y441" s="5">
        <v>0</v>
      </c>
    </row>
    <row r="442" spans="1:25" x14ac:dyDescent="0.25">
      <c r="A442" s="8">
        <v>46295</v>
      </c>
      <c r="B442" s="16">
        <f>YEAR(Tabela32[[#This Row],[Data]])</f>
        <v>2026</v>
      </c>
      <c r="C442" s="16">
        <f>MONTH(Tabela32[[#This Row],[Data]])</f>
        <v>9</v>
      </c>
      <c r="D442" s="4" t="s">
        <v>53</v>
      </c>
      <c r="E442" s="4">
        <v>5</v>
      </c>
      <c r="F442" s="4" t="str">
        <f>IFERROR(VLOOKUP(Tabela32[[#This Row],[Placa]],Planilha2!$A$1:$B$12,2,0),"")</f>
        <v>Arnaldo</v>
      </c>
      <c r="G442" s="10">
        <v>9128.23</v>
      </c>
      <c r="H442" s="10">
        <v>139821.72</v>
      </c>
      <c r="I442" s="4">
        <v>1480</v>
      </c>
      <c r="J442" s="17">
        <f>IFERROR(Tabela32[[#This Row],[Valor Frete]]/Tabela32[[#This Row],[Valor Mercadoria]],"")</f>
        <v>6.5284778359184822E-2</v>
      </c>
      <c r="K442" s="11">
        <v>0.29166666666666669</v>
      </c>
      <c r="L442" s="15">
        <v>0.78472222222222221</v>
      </c>
      <c r="M442" s="15">
        <f>Tabela32[[#This Row],[Hr Chegada]]-Tabela32[[#This Row],[Hr Saida]]</f>
        <v>0.49305555555555552</v>
      </c>
      <c r="N442" s="4">
        <v>14293</v>
      </c>
      <c r="O442" s="4">
        <v>14374</v>
      </c>
      <c r="P442" s="4">
        <f>Tabela32[[#This Row],[Km Chegada]]-Tabela32[[#This Row],[Km Saída]]</f>
        <v>81</v>
      </c>
      <c r="Q442" s="4">
        <v>205</v>
      </c>
      <c r="R442" s="4">
        <v>19</v>
      </c>
      <c r="S442" s="4">
        <v>19</v>
      </c>
      <c r="T442" s="12">
        <f>Tabela32[[#This Row],[Entregas]]-Tabela32[[#This Row],[Realizadas]]</f>
        <v>0</v>
      </c>
      <c r="U442" s="18">
        <f>Tabela32[[#This Row],[Realizadas]]/Tabela32[[#This Row],[Entregas]]</f>
        <v>1</v>
      </c>
      <c r="V442" s="19" t="str">
        <f>IF(Tabela32[[#This Row],[% Entrega]]&gt;=96%,"Atendeu a Meta","Não Atendeu a Meta")</f>
        <v>Atendeu a Meta</v>
      </c>
      <c r="W442" s="4" t="s">
        <v>39</v>
      </c>
      <c r="X442" s="4">
        <v>0</v>
      </c>
      <c r="Y442" s="5">
        <v>38</v>
      </c>
    </row>
    <row r="443" spans="1:25" x14ac:dyDescent="0.25">
      <c r="A443" s="8">
        <v>46295</v>
      </c>
      <c r="B443" s="16">
        <f>YEAR(Tabela32[[#This Row],[Data]])</f>
        <v>2026</v>
      </c>
      <c r="C443" s="16">
        <f>MONTH(Tabela32[[#This Row],[Data]])</f>
        <v>9</v>
      </c>
      <c r="D443" s="4" t="s">
        <v>25</v>
      </c>
      <c r="E443" s="4">
        <v>1</v>
      </c>
      <c r="F443" s="4" t="str">
        <f>IFERROR(VLOOKUP(Tabela32[[#This Row],[Placa]],Planilha2!$A$1:$B$12,2,0),"")</f>
        <v>Gilberto</v>
      </c>
      <c r="G443" s="10">
        <v>7688.66</v>
      </c>
      <c r="H443" s="10">
        <v>179365.1</v>
      </c>
      <c r="I443" s="4">
        <v>1406</v>
      </c>
      <c r="J443" s="17">
        <f>IFERROR(Tabela32[[#This Row],[Valor Frete]]/Tabela32[[#This Row],[Valor Mercadoria]],"")</f>
        <v>4.2865975599489528E-2</v>
      </c>
      <c r="K443" s="11">
        <v>0.3125</v>
      </c>
      <c r="L443" s="15">
        <v>0.70833333333333337</v>
      </c>
      <c r="M443" s="15">
        <f>Tabela32[[#This Row],[Hr Chegada]]-Tabela32[[#This Row],[Hr Saida]]</f>
        <v>0.39583333333333337</v>
      </c>
      <c r="N443" s="4">
        <v>120547</v>
      </c>
      <c r="O443" s="4">
        <v>120577</v>
      </c>
      <c r="P443" s="4">
        <f>Tabela32[[#This Row],[Km Chegada]]-Tabela32[[#This Row],[Km Saída]]</f>
        <v>30</v>
      </c>
      <c r="Q443" s="4">
        <v>223</v>
      </c>
      <c r="R443" s="4">
        <v>14</v>
      </c>
      <c r="S443" s="4">
        <v>14</v>
      </c>
      <c r="T443" s="12">
        <f>Tabela32[[#This Row],[Entregas]]-Tabela32[[#This Row],[Realizadas]]</f>
        <v>0</v>
      </c>
      <c r="U443" s="18">
        <f>Tabela32[[#This Row],[Realizadas]]/Tabela32[[#This Row],[Entregas]]</f>
        <v>1</v>
      </c>
      <c r="V443" s="19" t="str">
        <f>IF(Tabela32[[#This Row],[% Entrega]]&gt;=96%,"Atendeu a Meta","Não Atendeu a Meta")</f>
        <v>Atendeu a Meta</v>
      </c>
      <c r="W443" s="4" t="s">
        <v>43</v>
      </c>
      <c r="X443" s="4">
        <v>0</v>
      </c>
      <c r="Y443" s="5">
        <v>38.380000000000003</v>
      </c>
    </row>
    <row r="444" spans="1:25" x14ac:dyDescent="0.25">
      <c r="A444" s="8">
        <v>46295</v>
      </c>
      <c r="B444" s="16">
        <f>YEAR(Tabela32[[#This Row],[Data]])</f>
        <v>2026</v>
      </c>
      <c r="C444" s="16">
        <f>MONTH(Tabela32[[#This Row],[Data]])</f>
        <v>9</v>
      </c>
      <c r="D444" s="4" t="s">
        <v>28</v>
      </c>
      <c r="E444" s="4">
        <v>1</v>
      </c>
      <c r="F444" s="4" t="str">
        <f>IFERROR(VLOOKUP(Tabela32[[#This Row],[Placa]],Planilha2!$A$1:$B$12,2,0),"")</f>
        <v>Edilson</v>
      </c>
      <c r="G444" s="10">
        <v>16471</v>
      </c>
      <c r="H444" s="10">
        <v>145619.81</v>
      </c>
      <c r="I444" s="4">
        <v>3858</v>
      </c>
      <c r="J444" s="17">
        <f>IFERROR(Tabela32[[#This Row],[Valor Frete]]/Tabela32[[#This Row],[Valor Mercadoria]],"")</f>
        <v>0.11310961056740838</v>
      </c>
      <c r="K444" s="11">
        <v>0.28472222222222221</v>
      </c>
      <c r="L444" s="15">
        <v>0.70833333333333337</v>
      </c>
      <c r="M444" s="15">
        <f>Tabela32[[#This Row],[Hr Chegada]]-Tabela32[[#This Row],[Hr Saida]]</f>
        <v>0.42361111111111116</v>
      </c>
      <c r="N444" s="4">
        <v>106579</v>
      </c>
      <c r="O444" s="4">
        <v>106612</v>
      </c>
      <c r="P444" s="4">
        <f>Tabela32[[#This Row],[Km Chegada]]-Tabela32[[#This Row],[Km Saída]]</f>
        <v>33</v>
      </c>
      <c r="Q444" s="4">
        <v>1158</v>
      </c>
      <c r="R444" s="4">
        <v>4</v>
      </c>
      <c r="S444" s="4">
        <v>4</v>
      </c>
      <c r="T444" s="12">
        <f>Tabela32[[#This Row],[Entregas]]-Tabela32[[#This Row],[Realizadas]]</f>
        <v>0</v>
      </c>
      <c r="U444" s="18">
        <f>Tabela32[[#This Row],[Realizadas]]/Tabela32[[#This Row],[Entregas]]</f>
        <v>1</v>
      </c>
      <c r="V444" s="19" t="str">
        <f>IF(Tabela32[[#This Row],[% Entrega]]&gt;=96%,"Atendeu a Meta","Não Atendeu a Meta")</f>
        <v>Atendeu a Meta</v>
      </c>
      <c r="W444" s="4" t="s">
        <v>40</v>
      </c>
      <c r="X444" s="4">
        <v>0</v>
      </c>
      <c r="Y444" s="5">
        <v>0</v>
      </c>
    </row>
    <row r="445" spans="1:25" x14ac:dyDescent="0.25">
      <c r="A445" s="8">
        <v>46296</v>
      </c>
      <c r="B445" s="16">
        <f>YEAR(Tabela32[[#This Row],[Data]])</f>
        <v>2026</v>
      </c>
      <c r="C445" s="16">
        <f>MONTH(Tabela32[[#This Row],[Data]])</f>
        <v>10</v>
      </c>
      <c r="D445" s="4" t="s">
        <v>25</v>
      </c>
      <c r="E445" s="4">
        <v>1</v>
      </c>
      <c r="F445" s="4" t="str">
        <f>IFERROR(VLOOKUP(Tabela32[[#This Row],[Placa]],Planilha2!$A$1:$B$12,2,0),"")</f>
        <v>Gilberto</v>
      </c>
      <c r="G445" s="10">
        <v>13166.64</v>
      </c>
      <c r="H445" s="10">
        <v>173949.2</v>
      </c>
      <c r="I445" s="4">
        <v>3519</v>
      </c>
      <c r="J445" s="17">
        <f>IFERROR(Tabela32[[#This Row],[Valor Frete]]/Tabela32[[#This Row],[Valor Mercadoria]],"")</f>
        <v>7.5692443540987822E-2</v>
      </c>
      <c r="K445" s="11">
        <v>0.3125</v>
      </c>
      <c r="L445" s="15">
        <v>0.69444444444444442</v>
      </c>
      <c r="M445" s="15">
        <f>Tabela32[[#This Row],[Hr Chegada]]-Tabela32[[#This Row],[Hr Saida]]</f>
        <v>0.38194444444444442</v>
      </c>
      <c r="N445" s="4">
        <v>120577</v>
      </c>
      <c r="O445" s="4">
        <v>120652</v>
      </c>
      <c r="P445" s="4">
        <f>Tabela32[[#This Row],[Km Chegada]]-Tabela32[[#This Row],[Km Saída]]</f>
        <v>75</v>
      </c>
      <c r="Q445" s="4">
        <v>353</v>
      </c>
      <c r="R445" s="4">
        <v>26</v>
      </c>
      <c r="S445" s="4">
        <v>26</v>
      </c>
      <c r="T445" s="12">
        <f>Tabela32[[#This Row],[Entregas]]-Tabela32[[#This Row],[Realizadas]]</f>
        <v>0</v>
      </c>
      <c r="U445" s="18">
        <f>Tabela32[[#This Row],[Realizadas]]/Tabela32[[#This Row],[Entregas]]</f>
        <v>1</v>
      </c>
      <c r="V445" s="19" t="str">
        <f>IF(Tabela32[[#This Row],[% Entrega]]&gt;=96%,"Atendeu a Meta","Não Atendeu a Meta")</f>
        <v>Atendeu a Meta</v>
      </c>
      <c r="W445" s="4" t="s">
        <v>43</v>
      </c>
      <c r="X445" s="4">
        <v>0</v>
      </c>
      <c r="Y445" s="5">
        <v>0</v>
      </c>
    </row>
    <row r="446" spans="1:25" x14ac:dyDescent="0.25">
      <c r="A446" s="8">
        <v>46296</v>
      </c>
      <c r="B446" s="16">
        <f>YEAR(Tabela32[[#This Row],[Data]])</f>
        <v>2026</v>
      </c>
      <c r="C446" s="16">
        <f>MONTH(Tabela32[[#This Row],[Data]])</f>
        <v>10</v>
      </c>
      <c r="D446" s="4" t="s">
        <v>22</v>
      </c>
      <c r="E446" s="4">
        <v>3</v>
      </c>
      <c r="F446" s="4" t="str">
        <f>IFERROR(VLOOKUP(Tabela32[[#This Row],[Placa]],Planilha2!$A$1:$B$12,2,0),"")</f>
        <v>Wesley</v>
      </c>
      <c r="G446" s="10">
        <v>5728.99</v>
      </c>
      <c r="H446" s="10">
        <v>138851.32999999999</v>
      </c>
      <c r="I446" s="4">
        <v>1010</v>
      </c>
      <c r="J446" s="17">
        <f>IFERROR(Tabela32[[#This Row],[Valor Frete]]/Tabela32[[#This Row],[Valor Mercadoria]],"")</f>
        <v>4.1259885663320617E-2</v>
      </c>
      <c r="K446" s="11">
        <v>0.29166666666666669</v>
      </c>
      <c r="L446" s="15">
        <v>0.69444444444444442</v>
      </c>
      <c r="M446" s="15">
        <f>Tabela32[[#This Row],[Hr Chegada]]-Tabela32[[#This Row],[Hr Saida]]</f>
        <v>0.40277777777777773</v>
      </c>
      <c r="N446" s="4">
        <v>305745</v>
      </c>
      <c r="O446" s="4">
        <v>305801</v>
      </c>
      <c r="P446" s="4">
        <f>Tabela32[[#This Row],[Km Chegada]]-Tabela32[[#This Row],[Km Saída]]</f>
        <v>56</v>
      </c>
      <c r="Q446" s="4">
        <v>149</v>
      </c>
      <c r="R446" s="4">
        <v>18</v>
      </c>
      <c r="S446" s="4">
        <v>18</v>
      </c>
      <c r="T446" s="12">
        <f>Tabela32[[#This Row],[Entregas]]-Tabela32[[#This Row],[Realizadas]]</f>
        <v>0</v>
      </c>
      <c r="U446" s="18">
        <f>Tabela32[[#This Row],[Realizadas]]/Tabela32[[#This Row],[Entregas]]</f>
        <v>1</v>
      </c>
      <c r="V446" s="19" t="str">
        <f>IF(Tabela32[[#This Row],[% Entrega]]&gt;=96%,"Atendeu a Meta","Não Atendeu a Meta")</f>
        <v>Atendeu a Meta</v>
      </c>
      <c r="W446" s="4" t="s">
        <v>39</v>
      </c>
      <c r="X446" s="4">
        <v>0</v>
      </c>
      <c r="Y446" s="5">
        <v>0</v>
      </c>
    </row>
    <row r="447" spans="1:25" x14ac:dyDescent="0.25">
      <c r="A447" s="8">
        <v>46296</v>
      </c>
      <c r="B447" s="16">
        <f>YEAR(Tabela32[[#This Row],[Data]])</f>
        <v>2026</v>
      </c>
      <c r="C447" s="16">
        <f>MONTH(Tabela32[[#This Row],[Data]])</f>
        <v>10</v>
      </c>
      <c r="D447" s="4" t="s">
        <v>23</v>
      </c>
      <c r="E447" s="4">
        <v>5</v>
      </c>
      <c r="F447" s="4" t="str">
        <f>IFERROR(VLOOKUP(Tabela32[[#This Row],[Placa]],Planilha2!$A$1:$B$12,2,0),"")</f>
        <v>William</v>
      </c>
      <c r="G447" s="10">
        <v>8096.13</v>
      </c>
      <c r="H447" s="10">
        <v>182940.96</v>
      </c>
      <c r="I447" s="4">
        <v>3585</v>
      </c>
      <c r="J447" s="17">
        <f>IFERROR(Tabela32[[#This Row],[Valor Frete]]/Tabela32[[#This Row],[Valor Mercadoria]],"")</f>
        <v>4.425542535690203E-2</v>
      </c>
      <c r="K447" s="11">
        <v>0.3125</v>
      </c>
      <c r="L447" s="15">
        <v>0.43472222222222223</v>
      </c>
      <c r="M447" s="15">
        <f>Tabela32[[#This Row],[Hr Chegada]]-Tabela32[[#This Row],[Hr Saida]]</f>
        <v>0.12222222222222223</v>
      </c>
      <c r="N447" s="4">
        <v>126467</v>
      </c>
      <c r="O447" s="4">
        <v>126502</v>
      </c>
      <c r="P447" s="4">
        <f>Tabela32[[#This Row],[Km Chegada]]-Tabela32[[#This Row],[Km Saída]]</f>
        <v>35</v>
      </c>
      <c r="Q447" s="4">
        <v>713</v>
      </c>
      <c r="R447" s="4">
        <v>15</v>
      </c>
      <c r="S447" s="4">
        <v>15</v>
      </c>
      <c r="T447" s="12">
        <f>Tabela32[[#This Row],[Entregas]]-Tabela32[[#This Row],[Realizadas]]</f>
        <v>0</v>
      </c>
      <c r="U447" s="18">
        <f>Tabela32[[#This Row],[Realizadas]]/Tabela32[[#This Row],[Entregas]]</f>
        <v>1</v>
      </c>
      <c r="V447" s="19" t="str">
        <f>IF(Tabela32[[#This Row],[% Entrega]]&gt;=96%,"Atendeu a Meta","Não Atendeu a Meta")</f>
        <v>Atendeu a Meta</v>
      </c>
      <c r="W447" s="4" t="s">
        <v>39</v>
      </c>
      <c r="X447" s="4">
        <v>0</v>
      </c>
      <c r="Y447" s="5">
        <v>0</v>
      </c>
    </row>
    <row r="448" spans="1:25" x14ac:dyDescent="0.25">
      <c r="A448" s="8">
        <v>46296</v>
      </c>
      <c r="B448" s="16">
        <f>YEAR(Tabela32[[#This Row],[Data]])</f>
        <v>2026</v>
      </c>
      <c r="C448" s="16">
        <f>MONTH(Tabela32[[#This Row],[Data]])</f>
        <v>10</v>
      </c>
      <c r="D448" s="4" t="s">
        <v>36</v>
      </c>
      <c r="E448" s="4">
        <v>11</v>
      </c>
      <c r="F448" s="4" t="str">
        <f>IFERROR(VLOOKUP(Tabela32[[#This Row],[Placa]],Planilha2!$A$1:$B$12,2,0),"")</f>
        <v>Heremilton</v>
      </c>
      <c r="G448" s="10">
        <v>12506.07</v>
      </c>
      <c r="H448" s="10">
        <v>119003.46</v>
      </c>
      <c r="I448" s="4">
        <v>4222</v>
      </c>
      <c r="J448" s="17">
        <f>IFERROR(Tabela32[[#This Row],[Valor Frete]]/Tabela32[[#This Row],[Valor Mercadoria]],"")</f>
        <v>0.10508996965298319</v>
      </c>
      <c r="K448" s="11">
        <v>0.27083333333333331</v>
      </c>
      <c r="L448" s="15">
        <v>0.74097222222222225</v>
      </c>
      <c r="M448" s="15">
        <f>Tabela32[[#This Row],[Hr Chegada]]-Tabela32[[#This Row],[Hr Saida]]</f>
        <v>0.47013888888888894</v>
      </c>
      <c r="N448" s="4">
        <v>367391</v>
      </c>
      <c r="O448" s="4">
        <v>367431</v>
      </c>
      <c r="P448" s="4">
        <f>Tabela32[[#This Row],[Km Chegada]]-Tabela32[[#This Row],[Km Saída]]</f>
        <v>40</v>
      </c>
      <c r="Q448" s="4">
        <v>809</v>
      </c>
      <c r="R448" s="4">
        <v>2</v>
      </c>
      <c r="S448" s="4">
        <v>2</v>
      </c>
      <c r="T448" s="12">
        <f>Tabela32[[#This Row],[Entregas]]-Tabela32[[#This Row],[Realizadas]]</f>
        <v>0</v>
      </c>
      <c r="U448" s="18">
        <f>Tabela32[[#This Row],[Realizadas]]/Tabela32[[#This Row],[Entregas]]</f>
        <v>1</v>
      </c>
      <c r="V448" s="19" t="str">
        <f>IF(Tabela32[[#This Row],[% Entrega]]&gt;=96%,"Atendeu a Meta","Não Atendeu a Meta")</f>
        <v>Atendeu a Meta</v>
      </c>
      <c r="W448" s="4" t="s">
        <v>41</v>
      </c>
      <c r="X448" s="4">
        <v>0</v>
      </c>
      <c r="Y448" s="5">
        <v>0</v>
      </c>
    </row>
    <row r="449" spans="1:25" x14ac:dyDescent="0.25">
      <c r="A449" s="8">
        <v>46296</v>
      </c>
      <c r="B449" s="16">
        <f>YEAR(Tabela32[[#This Row],[Data]])</f>
        <v>2026</v>
      </c>
      <c r="C449" s="16">
        <f>MONTH(Tabela32[[#This Row],[Data]])</f>
        <v>10</v>
      </c>
      <c r="D449" s="4" t="s">
        <v>28</v>
      </c>
      <c r="E449" s="4">
        <v>1</v>
      </c>
      <c r="F449" s="4" t="str">
        <f>IFERROR(VLOOKUP(Tabela32[[#This Row],[Placa]],Planilha2!$A$1:$B$12,2,0),"")</f>
        <v>Edilson</v>
      </c>
      <c r="G449" s="10">
        <v>13768.88</v>
      </c>
      <c r="H449" s="10">
        <v>136214.88</v>
      </c>
      <c r="I449" s="4">
        <v>6604</v>
      </c>
      <c r="J449" s="17">
        <f>IFERROR(Tabela32[[#This Row],[Valor Frete]]/Tabela32[[#This Row],[Valor Mercadoria]],"")</f>
        <v>0.1010820550588893</v>
      </c>
      <c r="K449" s="11">
        <v>0.27083333333333331</v>
      </c>
      <c r="L449" s="15">
        <v>0.76388888888888884</v>
      </c>
      <c r="M449" s="15">
        <f>Tabela32[[#This Row],[Hr Chegada]]-Tabela32[[#This Row],[Hr Saida]]</f>
        <v>0.49305555555555552</v>
      </c>
      <c r="N449" s="4">
        <v>106612</v>
      </c>
      <c r="O449" s="4">
        <v>106643</v>
      </c>
      <c r="P449" s="4">
        <f>Tabela32[[#This Row],[Km Chegada]]-Tabela32[[#This Row],[Km Saída]]</f>
        <v>31</v>
      </c>
      <c r="Q449" s="4">
        <v>29</v>
      </c>
      <c r="R449" s="4">
        <v>4</v>
      </c>
      <c r="S449" s="4">
        <v>4</v>
      </c>
      <c r="T449" s="12">
        <f>Tabela32[[#This Row],[Entregas]]-Tabela32[[#This Row],[Realizadas]]</f>
        <v>0</v>
      </c>
      <c r="U449" s="18">
        <f>Tabela32[[#This Row],[Realizadas]]/Tabela32[[#This Row],[Entregas]]</f>
        <v>1</v>
      </c>
      <c r="V449" s="19" t="str">
        <f>IF(Tabela32[[#This Row],[% Entrega]]&gt;=96%,"Atendeu a Meta","Não Atendeu a Meta")</f>
        <v>Atendeu a Meta</v>
      </c>
      <c r="W449" s="4" t="s">
        <v>40</v>
      </c>
      <c r="X449" s="4">
        <v>0</v>
      </c>
      <c r="Y449" s="5">
        <v>0</v>
      </c>
    </row>
    <row r="450" spans="1:25" x14ac:dyDescent="0.25">
      <c r="A450" s="8">
        <v>46296</v>
      </c>
      <c r="B450" s="16">
        <f>YEAR(Tabela32[[#This Row],[Data]])</f>
        <v>2026</v>
      </c>
      <c r="C450" s="16">
        <f>MONTH(Tabela32[[#This Row],[Data]])</f>
        <v>10</v>
      </c>
      <c r="D450" s="4" t="s">
        <v>29</v>
      </c>
      <c r="E450" s="4">
        <v>1</v>
      </c>
      <c r="F450" s="4" t="str">
        <f>IFERROR(VLOOKUP(Tabela32[[#This Row],[Placa]],Planilha2!$A$1:$B$12,2,0),"")</f>
        <v>Sandro</v>
      </c>
      <c r="G450" s="10">
        <v>7307.82</v>
      </c>
      <c r="H450" s="10">
        <v>68936.05</v>
      </c>
      <c r="I450" s="4">
        <v>1954</v>
      </c>
      <c r="J450" s="17">
        <f>IFERROR(Tabela32[[#This Row],[Valor Frete]]/Tabela32[[#This Row],[Valor Mercadoria]],"")</f>
        <v>0.1060086848608239</v>
      </c>
      <c r="K450" s="11">
        <v>0.29166666666666669</v>
      </c>
      <c r="L450" s="15">
        <v>0.79236111111111107</v>
      </c>
      <c r="M450" s="15">
        <f>Tabela32[[#This Row],[Hr Chegada]]-Tabela32[[#This Row],[Hr Saida]]</f>
        <v>0.50069444444444433</v>
      </c>
      <c r="N450" s="4">
        <v>276439</v>
      </c>
      <c r="O450" s="4">
        <v>276503</v>
      </c>
      <c r="P450" s="4">
        <f>Tabela32[[#This Row],[Km Chegada]]-Tabela32[[#This Row],[Km Saída]]</f>
        <v>64</v>
      </c>
      <c r="Q450" s="4">
        <v>254</v>
      </c>
      <c r="R450" s="4">
        <v>8</v>
      </c>
      <c r="S450" s="4">
        <v>8</v>
      </c>
      <c r="T450" s="12">
        <f>Tabela32[[#This Row],[Entregas]]-Tabela32[[#This Row],[Realizadas]]</f>
        <v>0</v>
      </c>
      <c r="U450" s="18">
        <f>Tabela32[[#This Row],[Realizadas]]/Tabela32[[#This Row],[Entregas]]</f>
        <v>1</v>
      </c>
      <c r="V450" s="19" t="str">
        <f>IF(Tabela32[[#This Row],[% Entrega]]&gt;=96%,"Atendeu a Meta","Não Atendeu a Meta")</f>
        <v>Atendeu a Meta</v>
      </c>
      <c r="W450" s="4" t="s">
        <v>40</v>
      </c>
      <c r="X450" s="4">
        <v>0</v>
      </c>
      <c r="Y450" s="5">
        <v>0</v>
      </c>
    </row>
    <row r="451" spans="1:25" x14ac:dyDescent="0.25">
      <c r="A451" s="8">
        <v>46296</v>
      </c>
      <c r="B451" s="16">
        <f>YEAR(Tabela32[[#This Row],[Data]])</f>
        <v>2026</v>
      </c>
      <c r="C451" s="16">
        <f>MONTH(Tabela32[[#This Row],[Data]])</f>
        <v>10</v>
      </c>
      <c r="D451" s="4" t="s">
        <v>33</v>
      </c>
      <c r="E451" s="4">
        <v>1</v>
      </c>
      <c r="F451" s="4" t="str">
        <f>IFERROR(VLOOKUP(Tabela32[[#This Row],[Placa]],Planilha2!$A$1:$B$12,2,0),"")</f>
        <v>Paulo</v>
      </c>
      <c r="G451" s="10">
        <v>1548.42</v>
      </c>
      <c r="H451" s="10">
        <v>48223.5</v>
      </c>
      <c r="I451" s="4">
        <v>269</v>
      </c>
      <c r="J451" s="17">
        <f>IFERROR(Tabela32[[#This Row],[Valor Frete]]/Tabela32[[#This Row],[Valor Mercadoria]],"")</f>
        <v>3.2109241344987403E-2</v>
      </c>
      <c r="K451" s="11">
        <v>0.29166666666666669</v>
      </c>
      <c r="L451" s="15">
        <v>0.70972222222222225</v>
      </c>
      <c r="M451" s="15">
        <f>Tabela32[[#This Row],[Hr Chegada]]-Tabela32[[#This Row],[Hr Saida]]</f>
        <v>0.41805555555555557</v>
      </c>
      <c r="N451" s="4">
        <v>156431</v>
      </c>
      <c r="O451" s="4">
        <v>156572</v>
      </c>
      <c r="P451" s="4">
        <f>Tabela32[[#This Row],[Km Chegada]]-Tabela32[[#This Row],[Km Saída]]</f>
        <v>141</v>
      </c>
      <c r="Q451" s="4">
        <v>2</v>
      </c>
      <c r="R451" s="4">
        <v>1</v>
      </c>
      <c r="S451" s="4">
        <v>1</v>
      </c>
      <c r="T451" s="12">
        <f>Tabela32[[#This Row],[Entregas]]-Tabela32[[#This Row],[Realizadas]]</f>
        <v>0</v>
      </c>
      <c r="U451" s="18">
        <f>Tabela32[[#This Row],[Realizadas]]/Tabela32[[#This Row],[Entregas]]</f>
        <v>1</v>
      </c>
      <c r="V451" s="19" t="str">
        <f>IF(Tabela32[[#This Row],[% Entrega]]&gt;=96%,"Atendeu a Meta","Não Atendeu a Meta")</f>
        <v>Atendeu a Meta</v>
      </c>
      <c r="W451" s="4" t="s">
        <v>40</v>
      </c>
      <c r="X451" s="4">
        <v>0</v>
      </c>
      <c r="Y451" s="5">
        <v>0</v>
      </c>
    </row>
    <row r="452" spans="1:25" x14ac:dyDescent="0.25">
      <c r="A452" s="8">
        <v>46296</v>
      </c>
      <c r="B452" s="16">
        <f>YEAR(Tabela32[[#This Row],[Data]])</f>
        <v>2026</v>
      </c>
      <c r="C452" s="16">
        <f>MONTH(Tabela32[[#This Row],[Data]])</f>
        <v>10</v>
      </c>
      <c r="D452" s="4" t="s">
        <v>35</v>
      </c>
      <c r="E452" s="4">
        <v>4</v>
      </c>
      <c r="F452" s="4" t="str">
        <f>IFERROR(VLOOKUP(Tabela32[[#This Row],[Placa]],Planilha2!$A$1:$B$12,2,0),"")</f>
        <v>Osvaldo</v>
      </c>
      <c r="G452" s="10">
        <v>10079.719999999999</v>
      </c>
      <c r="H452" s="10">
        <v>182931.56</v>
      </c>
      <c r="I452" s="4">
        <v>2661</v>
      </c>
      <c r="J452" s="17">
        <f>IFERROR(Tabela32[[#This Row],[Valor Frete]]/Tabela32[[#This Row],[Valor Mercadoria]],"")</f>
        <v>5.510104434685846E-2</v>
      </c>
      <c r="K452" s="11">
        <v>0.29166666666666669</v>
      </c>
      <c r="L452" s="15">
        <v>0.73055555555555551</v>
      </c>
      <c r="M452" s="15">
        <f>Tabela32[[#This Row],[Hr Chegada]]-Tabela32[[#This Row],[Hr Saida]]</f>
        <v>0.43888888888888883</v>
      </c>
      <c r="N452" s="4">
        <v>144011</v>
      </c>
      <c r="O452" s="4">
        <v>144077</v>
      </c>
      <c r="P452" s="4">
        <f>Tabela32[[#This Row],[Km Chegada]]-Tabela32[[#This Row],[Km Saída]]</f>
        <v>66</v>
      </c>
      <c r="Q452" s="4">
        <v>355</v>
      </c>
      <c r="R452" s="4">
        <v>31</v>
      </c>
      <c r="S452" s="4">
        <v>31</v>
      </c>
      <c r="T452" s="12">
        <f>Tabela32[[#This Row],[Entregas]]-Tabela32[[#This Row],[Realizadas]]</f>
        <v>0</v>
      </c>
      <c r="U452" s="18">
        <f>Tabela32[[#This Row],[Realizadas]]/Tabela32[[#This Row],[Entregas]]</f>
        <v>1</v>
      </c>
      <c r="V452" s="19" t="str">
        <f>IF(Tabela32[[#This Row],[% Entrega]]&gt;=96%,"Atendeu a Meta","Não Atendeu a Meta")</f>
        <v>Atendeu a Meta</v>
      </c>
      <c r="W452" s="4" t="s">
        <v>39</v>
      </c>
      <c r="X452" s="4">
        <v>1</v>
      </c>
      <c r="Y452" s="5" t="s">
        <v>92</v>
      </c>
    </row>
    <row r="453" spans="1:25" x14ac:dyDescent="0.25">
      <c r="A453" s="8">
        <v>46296</v>
      </c>
      <c r="B453" s="16">
        <f>YEAR(Tabela32[[#This Row],[Data]])</f>
        <v>2026</v>
      </c>
      <c r="C453" s="16">
        <f>MONTH(Tabela32[[#This Row],[Data]])</f>
        <v>10</v>
      </c>
      <c r="D453" s="4" t="s">
        <v>31</v>
      </c>
      <c r="E453" s="4">
        <v>11</v>
      </c>
      <c r="F453" s="4" t="str">
        <f>IFERROR(VLOOKUP(Tabela32[[#This Row],[Placa]],Planilha2!$A$1:$B$12,2,0),"")</f>
        <v>Jerson</v>
      </c>
      <c r="G453" s="10">
        <v>14997.77</v>
      </c>
      <c r="H453" s="10">
        <v>231117.04</v>
      </c>
      <c r="I453" s="4">
        <v>2050</v>
      </c>
      <c r="J453" s="17">
        <f>IFERROR(Tabela32[[#This Row],[Valor Frete]]/Tabela32[[#This Row],[Valor Mercadoria]],"")</f>
        <v>6.4892532372342604E-2</v>
      </c>
      <c r="K453" s="11">
        <v>0.27777777777777779</v>
      </c>
      <c r="L453" s="15">
        <v>0.85416666666666663</v>
      </c>
      <c r="M453" s="15">
        <f>Tabela32[[#This Row],[Hr Chegada]]-Tabela32[[#This Row],[Hr Saida]]</f>
        <v>0.57638888888888884</v>
      </c>
      <c r="N453" s="4">
        <v>281467</v>
      </c>
      <c r="O453" s="4">
        <v>281577</v>
      </c>
      <c r="P453" s="4">
        <f>Tabela32[[#This Row],[Km Chegada]]-Tabela32[[#This Row],[Km Saída]]</f>
        <v>110</v>
      </c>
      <c r="Q453" s="4">
        <v>352</v>
      </c>
      <c r="R453" s="4">
        <v>43</v>
      </c>
      <c r="S453" s="4">
        <v>43</v>
      </c>
      <c r="T453" s="12">
        <f>Tabela32[[#This Row],[Entregas]]-Tabela32[[#This Row],[Realizadas]]</f>
        <v>0</v>
      </c>
      <c r="U453" s="18">
        <f>Tabela32[[#This Row],[Realizadas]]/Tabela32[[#This Row],[Entregas]]</f>
        <v>1</v>
      </c>
      <c r="V453" s="19" t="str">
        <f>IF(Tabela32[[#This Row],[% Entrega]]&gt;=96%,"Atendeu a Meta","Não Atendeu a Meta")</f>
        <v>Atendeu a Meta</v>
      </c>
      <c r="W453" s="4" t="s">
        <v>41</v>
      </c>
      <c r="X453" s="4">
        <v>0</v>
      </c>
      <c r="Y453" s="5">
        <v>0</v>
      </c>
    </row>
    <row r="454" spans="1:25" x14ac:dyDescent="0.25">
      <c r="A454" s="8">
        <v>46296</v>
      </c>
      <c r="B454" s="16">
        <f>YEAR(Tabela32[[#This Row],[Data]])</f>
        <v>2026</v>
      </c>
      <c r="C454" s="16">
        <f>MONTH(Tabela32[[#This Row],[Data]])</f>
        <v>10</v>
      </c>
      <c r="D454" s="4" t="s">
        <v>53</v>
      </c>
      <c r="E454" s="4">
        <v>5</v>
      </c>
      <c r="F454" s="4" t="str">
        <f>IFERROR(VLOOKUP(Tabela32[[#This Row],[Placa]],Planilha2!$A$1:$B$12,2,0),"")</f>
        <v>Arnaldo</v>
      </c>
      <c r="G454" s="10">
        <v>8643.84</v>
      </c>
      <c r="H454" s="10">
        <v>187927.76</v>
      </c>
      <c r="I454" s="4">
        <v>723</v>
      </c>
      <c r="J454" s="17">
        <f>IFERROR(Tabela32[[#This Row],[Valor Frete]]/Tabela32[[#This Row],[Valor Mercadoria]],"")</f>
        <v>4.5995546373776813E-2</v>
      </c>
      <c r="K454" s="11">
        <v>0.29166666666666669</v>
      </c>
      <c r="L454" s="15">
        <v>0.74652777777777779</v>
      </c>
      <c r="M454" s="15">
        <f>Tabela32[[#This Row],[Hr Chegada]]-Tabela32[[#This Row],[Hr Saida]]</f>
        <v>0.4548611111111111</v>
      </c>
      <c r="N454" s="4">
        <v>14375</v>
      </c>
      <c r="O454" s="4">
        <v>14441</v>
      </c>
      <c r="P454" s="4">
        <f>Tabela32[[#This Row],[Km Chegada]]-Tabela32[[#This Row],[Km Saída]]</f>
        <v>66</v>
      </c>
      <c r="Q454" s="4">
        <v>347</v>
      </c>
      <c r="R454" s="4">
        <v>24</v>
      </c>
      <c r="S454" s="4">
        <v>24</v>
      </c>
      <c r="T454" s="12">
        <f>Tabela32[[#This Row],[Entregas]]-Tabela32[[#This Row],[Realizadas]]</f>
        <v>0</v>
      </c>
      <c r="U454" s="18">
        <f>Tabela32[[#This Row],[Realizadas]]/Tabela32[[#This Row],[Entregas]]</f>
        <v>1</v>
      </c>
      <c r="V454" s="19" t="str">
        <f>IF(Tabela32[[#This Row],[% Entrega]]&gt;=96%,"Atendeu a Meta","Não Atendeu a Meta")</f>
        <v>Atendeu a Meta</v>
      </c>
      <c r="W454" s="4" t="s">
        <v>39</v>
      </c>
      <c r="X454" s="4">
        <v>0</v>
      </c>
      <c r="Y454" s="5">
        <v>38.380000000000003</v>
      </c>
    </row>
    <row r="455" spans="1:25" x14ac:dyDescent="0.25">
      <c r="A455" s="8">
        <v>46296</v>
      </c>
      <c r="B455" s="16">
        <f>YEAR(Tabela32[[#This Row],[Data]])</f>
        <v>2026</v>
      </c>
      <c r="C455" s="16">
        <f>MONTH(Tabela32[[#This Row],[Data]])</f>
        <v>10</v>
      </c>
      <c r="D455" s="4" t="s">
        <v>23</v>
      </c>
      <c r="E455" s="4">
        <v>5</v>
      </c>
      <c r="F455" s="4" t="str">
        <f>IFERROR(VLOOKUP(Tabela32[[#This Row],[Placa]],Planilha2!$A$1:$B$12,2,0),"")</f>
        <v>William</v>
      </c>
      <c r="G455" s="10">
        <v>6042.12</v>
      </c>
      <c r="H455" s="10">
        <v>127329.96</v>
      </c>
      <c r="I455" s="4">
        <v>2951</v>
      </c>
      <c r="J455" s="17">
        <f>IFERROR(Tabela32[[#This Row],[Valor Frete]]/Tabela32[[#This Row],[Valor Mercadoria]],"")</f>
        <v>4.7452461306042977E-2</v>
      </c>
      <c r="K455" s="11">
        <v>0.5625</v>
      </c>
      <c r="L455" s="15">
        <v>0.76041666666666663</v>
      </c>
      <c r="M455" s="15">
        <f>Tabela32[[#This Row],[Hr Chegada]]-Tabela32[[#This Row],[Hr Saida]]</f>
        <v>0.19791666666666663</v>
      </c>
      <c r="N455" s="4">
        <v>126502</v>
      </c>
      <c r="O455" s="4">
        <v>126547</v>
      </c>
      <c r="P455" s="4">
        <f>Tabela32[[#This Row],[Km Chegada]]-Tabela32[[#This Row],[Km Saída]]</f>
        <v>45</v>
      </c>
      <c r="Q455" s="4">
        <v>618</v>
      </c>
      <c r="R455" s="4">
        <v>6</v>
      </c>
      <c r="S455" s="4">
        <v>6</v>
      </c>
      <c r="T455" s="12">
        <f>Tabela32[[#This Row],[Entregas]]-Tabela32[[#This Row],[Realizadas]]</f>
        <v>0</v>
      </c>
      <c r="U455" s="18">
        <f>Tabela32[[#This Row],[Realizadas]]/Tabela32[[#This Row],[Entregas]]</f>
        <v>1</v>
      </c>
      <c r="V455" s="19" t="str">
        <f>IF(Tabela32[[#This Row],[% Entrega]]&gt;=96%,"Atendeu a Meta","Não Atendeu a Meta")</f>
        <v>Atendeu a Meta</v>
      </c>
      <c r="W455" s="4" t="s">
        <v>39</v>
      </c>
      <c r="X455" s="4">
        <v>0</v>
      </c>
      <c r="Y455" s="5">
        <v>0</v>
      </c>
    </row>
    <row r="456" spans="1:25" x14ac:dyDescent="0.25">
      <c r="A456" s="8">
        <v>46297</v>
      </c>
      <c r="B456" s="26">
        <f>YEAR(Tabela32[[#This Row],[Data]])</f>
        <v>2026</v>
      </c>
      <c r="C456" s="26">
        <f>MONTH(Tabela32[[#This Row],[Data]])</f>
        <v>10</v>
      </c>
      <c r="D456" s="4" t="s">
        <v>29</v>
      </c>
      <c r="E456" s="4">
        <v>1</v>
      </c>
      <c r="F456" s="4" t="str">
        <f>IFERROR(VLOOKUP(Tabela32[[#This Row],[Placa]],Planilha2!$A$1:$B$12,2,0),"")</f>
        <v>Sandro</v>
      </c>
      <c r="G456" s="10">
        <v>7315.87</v>
      </c>
      <c r="H456" s="10">
        <v>97436.97</v>
      </c>
      <c r="I456" s="4">
        <v>1154</v>
      </c>
      <c r="J456" s="17">
        <f>IFERROR(Tabela32[[#This Row],[Valor Frete]]/Tabela32[[#This Row],[Valor Mercadoria]],"")</f>
        <v>7.5083102440480234E-2</v>
      </c>
      <c r="K456" s="11">
        <v>0.30555555555555558</v>
      </c>
      <c r="L456" s="15">
        <v>0.76041666666666663</v>
      </c>
      <c r="M456" s="15">
        <f>Tabela32[[#This Row],[Hr Chegada]]-Tabela32[[#This Row],[Hr Saida]]</f>
        <v>0.45486111111111105</v>
      </c>
      <c r="N456" s="4">
        <v>276503</v>
      </c>
      <c r="O456" s="4">
        <v>276565</v>
      </c>
      <c r="P456" s="4">
        <f>Tabela32[[#This Row],[Km Chegada]]-Tabela32[[#This Row],[Km Saída]]</f>
        <v>62</v>
      </c>
      <c r="Q456" s="4">
        <v>131</v>
      </c>
      <c r="R456" s="4">
        <v>20</v>
      </c>
      <c r="S456" s="4">
        <v>20</v>
      </c>
      <c r="T456" s="12">
        <f>Tabela32[[#This Row],[Entregas]]-Tabela32[[#This Row],[Realizadas]]</f>
        <v>0</v>
      </c>
      <c r="U456" s="18">
        <f>Tabela32[[#This Row],[Realizadas]]/Tabela32[[#This Row],[Entregas]]</f>
        <v>1</v>
      </c>
      <c r="V456" s="19" t="str">
        <f>IF(Tabela32[[#This Row],[% Entrega]]&gt;=96%,"Atendeu a Meta","Não Atendeu a Meta")</f>
        <v>Atendeu a Meta</v>
      </c>
      <c r="W456" s="4" t="s">
        <v>43</v>
      </c>
      <c r="X456" s="4">
        <v>0</v>
      </c>
      <c r="Y456" s="5" t="s">
        <v>82</v>
      </c>
    </row>
    <row r="457" spans="1:25" x14ac:dyDescent="0.25">
      <c r="A457" s="8">
        <v>46297</v>
      </c>
      <c r="B457" s="26">
        <f>YEAR(Tabela32[[#This Row],[Data]])</f>
        <v>2026</v>
      </c>
      <c r="C457" s="26">
        <f>MONTH(Tabela32[[#This Row],[Data]])</f>
        <v>10</v>
      </c>
      <c r="D457" s="4" t="s">
        <v>25</v>
      </c>
      <c r="E457" s="4">
        <v>1</v>
      </c>
      <c r="F457" s="4" t="str">
        <f>IFERROR(VLOOKUP(Tabela32[[#This Row],[Placa]],Planilha2!$A$1:$B$12,2,0),"")</f>
        <v>Gilberto</v>
      </c>
      <c r="G457" s="10">
        <v>21328.05</v>
      </c>
      <c r="H457" s="10">
        <v>83697.179999999993</v>
      </c>
      <c r="I457" s="4">
        <v>3675</v>
      </c>
      <c r="J457" s="17">
        <f>IFERROR(Tabela32[[#This Row],[Valor Frete]]/Tabela32[[#This Row],[Valor Mercadoria]],"")</f>
        <v>0.25482399765440128</v>
      </c>
      <c r="K457" s="11">
        <v>0.3125</v>
      </c>
      <c r="L457" s="15">
        <v>0.38194444444444442</v>
      </c>
      <c r="M457" s="15">
        <f>Tabela32[[#This Row],[Hr Chegada]]-Tabela32[[#This Row],[Hr Saida]]</f>
        <v>6.944444444444442E-2</v>
      </c>
      <c r="N457" s="4">
        <v>120652</v>
      </c>
      <c r="O457" s="4">
        <v>120660</v>
      </c>
      <c r="P457" s="4">
        <f>Tabela32[[#This Row],[Km Chegada]]-Tabela32[[#This Row],[Km Saída]]</f>
        <v>8</v>
      </c>
      <c r="Q457" s="4">
        <v>300</v>
      </c>
      <c r="R457" s="4">
        <v>1</v>
      </c>
      <c r="S457" s="4">
        <v>1</v>
      </c>
      <c r="T457" s="12">
        <f>Tabela32[[#This Row],[Entregas]]-Tabela32[[#This Row],[Realizadas]]</f>
        <v>0</v>
      </c>
      <c r="U457" s="18">
        <f>Tabela32[[#This Row],[Realizadas]]/Tabela32[[#This Row],[Entregas]]</f>
        <v>1</v>
      </c>
      <c r="V457" s="19" t="str">
        <f>IF(Tabela32[[#This Row],[% Entrega]]&gt;=96%,"Atendeu a Meta","Não Atendeu a Meta")</f>
        <v>Atendeu a Meta</v>
      </c>
      <c r="W457" s="4" t="s">
        <v>43</v>
      </c>
      <c r="X457" s="4">
        <v>0</v>
      </c>
      <c r="Y457" s="5">
        <v>0</v>
      </c>
    </row>
    <row r="458" spans="1:25" x14ac:dyDescent="0.25">
      <c r="A458" s="8">
        <v>46297</v>
      </c>
      <c r="B458" s="26">
        <f>YEAR(Tabela32[[#This Row],[Data]])</f>
        <v>2026</v>
      </c>
      <c r="C458" s="26">
        <f>MONTH(Tabela32[[#This Row],[Data]])</f>
        <v>10</v>
      </c>
      <c r="D458" s="4" t="s">
        <v>27</v>
      </c>
      <c r="E458" s="4">
        <v>1</v>
      </c>
      <c r="F458" s="4" t="str">
        <f>IFERROR(VLOOKUP(Tabela32[[#This Row],[Placa]],Planilha2!$A$1:$B$12,2,0),"")</f>
        <v>Rosinaldo</v>
      </c>
      <c r="G458" s="10">
        <v>530.82000000000005</v>
      </c>
      <c r="H458" s="10">
        <v>7594.2</v>
      </c>
      <c r="I458" s="4">
        <v>22</v>
      </c>
      <c r="J458" s="17">
        <f>IFERROR(Tabela32[[#This Row],[Valor Frete]]/Tabela32[[#This Row],[Valor Mercadoria]],"")</f>
        <v>6.9898080113771049E-2</v>
      </c>
      <c r="K458" s="11">
        <v>0.29166666666666669</v>
      </c>
      <c r="L458" s="15">
        <v>0.45833333333333331</v>
      </c>
      <c r="M458" s="15">
        <f>Tabela32[[#This Row],[Hr Chegada]]-Tabela32[[#This Row],[Hr Saida]]</f>
        <v>0.16666666666666663</v>
      </c>
      <c r="N458" s="4">
        <v>292124</v>
      </c>
      <c r="O458" s="4">
        <v>292183</v>
      </c>
      <c r="P458" s="4">
        <f>Tabela32[[#This Row],[Km Chegada]]-Tabela32[[#This Row],[Km Saída]]</f>
        <v>59</v>
      </c>
      <c r="Q458" s="4">
        <v>9</v>
      </c>
      <c r="R458" s="4">
        <v>1</v>
      </c>
      <c r="S458" s="4">
        <v>1</v>
      </c>
      <c r="T458" s="12">
        <f>Tabela32[[#This Row],[Entregas]]-Tabela32[[#This Row],[Realizadas]]</f>
        <v>0</v>
      </c>
      <c r="U458" s="18">
        <f>Tabela32[[#This Row],[Realizadas]]/Tabela32[[#This Row],[Entregas]]</f>
        <v>1</v>
      </c>
      <c r="V458" s="19" t="str">
        <f>IF(Tabela32[[#This Row],[% Entrega]]&gt;=96%,"Atendeu a Meta","Não Atendeu a Meta")</f>
        <v>Atendeu a Meta</v>
      </c>
      <c r="W458" s="4" t="s">
        <v>40</v>
      </c>
      <c r="X458" s="4">
        <v>0</v>
      </c>
      <c r="Y458" s="5">
        <v>0</v>
      </c>
    </row>
    <row r="459" spans="1:25" x14ac:dyDescent="0.25">
      <c r="A459" s="8">
        <v>46297</v>
      </c>
      <c r="B459" s="26">
        <f>YEAR(Tabela32[[#This Row],[Data]])</f>
        <v>2026</v>
      </c>
      <c r="C459" s="26">
        <f>MONTH(Tabela32[[#This Row],[Data]])</f>
        <v>10</v>
      </c>
      <c r="D459" s="4" t="s">
        <v>25</v>
      </c>
      <c r="E459" s="4">
        <v>5</v>
      </c>
      <c r="F459" s="4" t="str">
        <f>IFERROR(VLOOKUP(Tabela32[[#This Row],[Placa]],Planilha2!$A$1:$B$12,2,0),"")</f>
        <v>Gilberto</v>
      </c>
      <c r="G459" s="10">
        <v>9277.34</v>
      </c>
      <c r="H459" s="10">
        <v>146614.56</v>
      </c>
      <c r="I459" s="4">
        <v>2984</v>
      </c>
      <c r="J459" s="17">
        <f>IFERROR(Tabela32[[#This Row],[Valor Frete]]/Tabela32[[#This Row],[Valor Mercadoria]],"")</f>
        <v>6.3277071526866097E-2</v>
      </c>
      <c r="K459" s="11">
        <v>0.4375</v>
      </c>
      <c r="L459" s="15">
        <v>0.79861111111111116</v>
      </c>
      <c r="M459" s="15">
        <f>Tabela32[[#This Row],[Hr Chegada]]-Tabela32[[#This Row],[Hr Saida]]</f>
        <v>0.36111111111111116</v>
      </c>
      <c r="N459" s="4">
        <v>120660</v>
      </c>
      <c r="O459" s="4">
        <v>120714</v>
      </c>
      <c r="P459" s="4">
        <f>Tabela32[[#This Row],[Km Chegada]]-Tabela32[[#This Row],[Km Saída]]</f>
        <v>54</v>
      </c>
      <c r="Q459" s="4">
        <v>556</v>
      </c>
      <c r="R459" s="4">
        <v>4</v>
      </c>
      <c r="S459" s="4">
        <v>4</v>
      </c>
      <c r="T459" s="12">
        <f>Tabela32[[#This Row],[Entregas]]-Tabela32[[#This Row],[Realizadas]]</f>
        <v>0</v>
      </c>
      <c r="U459" s="18">
        <f>Tabela32[[#This Row],[Realizadas]]/Tabela32[[#This Row],[Entregas]]</f>
        <v>1</v>
      </c>
      <c r="V459" s="19" t="str">
        <f>IF(Tabela32[[#This Row],[% Entrega]]&gt;=96%,"Atendeu a Meta","Não Atendeu a Meta")</f>
        <v>Atendeu a Meta</v>
      </c>
      <c r="W459" s="4" t="s">
        <v>39</v>
      </c>
      <c r="X459" s="4">
        <v>0</v>
      </c>
      <c r="Y459" s="5">
        <v>0</v>
      </c>
    </row>
    <row r="460" spans="1:25" x14ac:dyDescent="0.25">
      <c r="A460" s="8">
        <v>46297</v>
      </c>
      <c r="B460" s="26">
        <f>YEAR(Tabela32[[#This Row],[Data]])</f>
        <v>2026</v>
      </c>
      <c r="C460" s="26">
        <f>MONTH(Tabela32[[#This Row],[Data]])</f>
        <v>10</v>
      </c>
      <c r="D460" s="4" t="s">
        <v>23</v>
      </c>
      <c r="E460" s="4">
        <v>2</v>
      </c>
      <c r="F460" s="4" t="str">
        <f>IFERROR(VLOOKUP(Tabela32[[#This Row],[Placa]],Planilha2!$A$1:$B$12,2,0),"")</f>
        <v>William</v>
      </c>
      <c r="G460" s="10">
        <v>9347.4699999999993</v>
      </c>
      <c r="H460" s="10">
        <v>214620.24</v>
      </c>
      <c r="I460" s="4">
        <v>1625</v>
      </c>
      <c r="J460" s="17">
        <f>IFERROR(Tabela32[[#This Row],[Valor Frete]]/Tabela32[[#This Row],[Valor Mercadoria]],"")</f>
        <v>4.355353437308615E-2</v>
      </c>
      <c r="K460" s="11">
        <v>0.27083333333333331</v>
      </c>
      <c r="L460" s="15">
        <v>0.77986111111111112</v>
      </c>
      <c r="M460" s="15">
        <f>Tabela32[[#This Row],[Hr Chegada]]-Tabela32[[#This Row],[Hr Saida]]</f>
        <v>0.50902777777777786</v>
      </c>
      <c r="N460" s="4">
        <v>126547</v>
      </c>
      <c r="O460" s="4">
        <v>126632</v>
      </c>
      <c r="P460" s="4">
        <f>Tabela32[[#This Row],[Km Chegada]]-Tabela32[[#This Row],[Km Saída]]</f>
        <v>85</v>
      </c>
      <c r="Q460" s="4">
        <v>340</v>
      </c>
      <c r="R460" s="4">
        <v>35</v>
      </c>
      <c r="S460" s="4">
        <v>34</v>
      </c>
      <c r="T460" s="12">
        <f>Tabela32[[#This Row],[Entregas]]-Tabela32[[#This Row],[Realizadas]]</f>
        <v>1</v>
      </c>
      <c r="U460" s="18">
        <f>Tabela32[[#This Row],[Realizadas]]/Tabela32[[#This Row],[Entregas]]</f>
        <v>0.97142857142857142</v>
      </c>
      <c r="V460" s="19" t="str">
        <f>IF(Tabela32[[#This Row],[% Entrega]]&gt;=96%,"Atendeu a Meta","Não Atendeu a Meta")</f>
        <v>Atendeu a Meta</v>
      </c>
      <c r="W460" s="4" t="s">
        <v>39</v>
      </c>
      <c r="X460" s="4">
        <v>1</v>
      </c>
      <c r="Y460" s="5">
        <v>13</v>
      </c>
    </row>
    <row r="461" spans="1:25" x14ac:dyDescent="0.25">
      <c r="A461" s="8">
        <v>46297</v>
      </c>
      <c r="B461" s="26">
        <f>YEAR(Tabela32[[#This Row],[Data]])</f>
        <v>2026</v>
      </c>
      <c r="C461" s="26">
        <f>MONTH(Tabela32[[#This Row],[Data]])</f>
        <v>10</v>
      </c>
      <c r="D461" s="4" t="s">
        <v>53</v>
      </c>
      <c r="E461" s="4">
        <v>5</v>
      </c>
      <c r="F461" s="4" t="str">
        <f>IFERROR(VLOOKUP(Tabela32[[#This Row],[Placa]],Planilha2!$A$1:$B$12,2,0),"")</f>
        <v>Arnaldo</v>
      </c>
      <c r="G461" s="10">
        <v>6435.47</v>
      </c>
      <c r="H461" s="10">
        <v>119341.57</v>
      </c>
      <c r="I461" s="4">
        <v>925</v>
      </c>
      <c r="J461" s="17">
        <f>IFERROR(Tabela32[[#This Row],[Valor Frete]]/Tabela32[[#This Row],[Valor Mercadoria]],"")</f>
        <v>5.3924797537019162E-2</v>
      </c>
      <c r="K461" s="11">
        <v>0.31597222222222221</v>
      </c>
      <c r="L461" s="15">
        <v>0.7680555555555556</v>
      </c>
      <c r="M461" s="15">
        <f>Tabela32[[#This Row],[Hr Chegada]]-Tabela32[[#This Row],[Hr Saida]]</f>
        <v>0.45208333333333339</v>
      </c>
      <c r="N461" s="4">
        <v>14441</v>
      </c>
      <c r="O461" s="4">
        <v>14507</v>
      </c>
      <c r="P461" s="4">
        <f>Tabela32[[#This Row],[Km Chegada]]-Tabela32[[#This Row],[Km Saída]]</f>
        <v>66</v>
      </c>
      <c r="Q461" s="4">
        <v>176</v>
      </c>
      <c r="R461" s="4">
        <v>24</v>
      </c>
      <c r="S461" s="4">
        <v>24</v>
      </c>
      <c r="T461" s="12">
        <f>Tabela32[[#This Row],[Entregas]]-Tabela32[[#This Row],[Realizadas]]</f>
        <v>0</v>
      </c>
      <c r="U461" s="18">
        <f>Tabela32[[#This Row],[Realizadas]]/Tabela32[[#This Row],[Entregas]]</f>
        <v>1</v>
      </c>
      <c r="V461" s="19" t="str">
        <f>IF(Tabela32[[#This Row],[% Entrega]]&gt;=96%,"Atendeu a Meta","Não Atendeu a Meta")</f>
        <v>Atendeu a Meta</v>
      </c>
      <c r="W461" s="4" t="s">
        <v>39</v>
      </c>
      <c r="X461" s="4">
        <v>2</v>
      </c>
      <c r="Y461" s="5" t="s">
        <v>93</v>
      </c>
    </row>
    <row r="462" spans="1:25" x14ac:dyDescent="0.25">
      <c r="A462" s="8">
        <v>46297</v>
      </c>
      <c r="B462" s="26">
        <f>YEAR(Tabela32[[#This Row],[Data]])</f>
        <v>2026</v>
      </c>
      <c r="C462" s="26">
        <f>MONTH(Tabela32[[#This Row],[Data]])</f>
        <v>10</v>
      </c>
      <c r="D462" s="4" t="s">
        <v>33</v>
      </c>
      <c r="E462" s="4">
        <v>1</v>
      </c>
      <c r="F462" s="4" t="str">
        <f>IFERROR(VLOOKUP(Tabela32[[#This Row],[Placa]],Planilha2!$A$1:$B$12,2,0),"")</f>
        <v>Paulo</v>
      </c>
      <c r="G462" s="10">
        <v>1407.66</v>
      </c>
      <c r="H462" s="10">
        <v>10652.29</v>
      </c>
      <c r="I462" s="4">
        <v>37</v>
      </c>
      <c r="J462" s="17">
        <f>IFERROR(Tabela32[[#This Row],[Valor Frete]]/Tabela32[[#This Row],[Valor Mercadoria]],"")</f>
        <v>0.13214623334513048</v>
      </c>
      <c r="K462" s="11">
        <v>0.2951388888888889</v>
      </c>
      <c r="L462" s="15">
        <v>0.62916666666666665</v>
      </c>
      <c r="M462" s="15">
        <f>Tabela32[[#This Row],[Hr Chegada]]-Tabela32[[#This Row],[Hr Saida]]</f>
        <v>0.33402777777777776</v>
      </c>
      <c r="N462" s="4">
        <v>156572</v>
      </c>
      <c r="O462" s="4">
        <v>156632</v>
      </c>
      <c r="P462" s="4">
        <f>Tabela32[[#This Row],[Km Chegada]]-Tabela32[[#This Row],[Km Saída]]</f>
        <v>60</v>
      </c>
      <c r="Q462" s="4">
        <v>11</v>
      </c>
      <c r="R462" s="4">
        <v>2</v>
      </c>
      <c r="S462" s="4">
        <v>2</v>
      </c>
      <c r="T462" s="12">
        <f>Tabela32[[#This Row],[Entregas]]-Tabela32[[#This Row],[Realizadas]]</f>
        <v>0</v>
      </c>
      <c r="U462" s="18">
        <f>Tabela32[[#This Row],[Realizadas]]/Tabela32[[#This Row],[Entregas]]</f>
        <v>1</v>
      </c>
      <c r="V462" s="19" t="str">
        <f>IF(Tabela32[[#This Row],[% Entrega]]&gt;=96%,"Atendeu a Meta","Não Atendeu a Meta")</f>
        <v>Atendeu a Meta</v>
      </c>
      <c r="W462" s="4" t="s">
        <v>40</v>
      </c>
      <c r="X462" s="4">
        <v>0</v>
      </c>
      <c r="Y462" s="5">
        <v>0</v>
      </c>
    </row>
    <row r="463" spans="1:25" x14ac:dyDescent="0.25">
      <c r="A463" s="8">
        <v>46297</v>
      </c>
      <c r="B463" s="26">
        <f>YEAR(Tabela32[[#This Row],[Data]])</f>
        <v>2026</v>
      </c>
      <c r="C463" s="26">
        <f>MONTH(Tabela32[[#This Row],[Data]])</f>
        <v>10</v>
      </c>
      <c r="D463" s="4" t="s">
        <v>22</v>
      </c>
      <c r="E463" s="4">
        <v>3</v>
      </c>
      <c r="F463" s="4" t="str">
        <f>IFERROR(VLOOKUP(Tabela32[[#This Row],[Placa]],Planilha2!$A$1:$B$12,2,0),"")</f>
        <v>Wesley</v>
      </c>
      <c r="G463" s="10">
        <v>4722.1000000000004</v>
      </c>
      <c r="H463" s="10">
        <v>77528.509999999995</v>
      </c>
      <c r="I463" s="4">
        <v>537</v>
      </c>
      <c r="J463" s="17">
        <f>IFERROR(Tabela32[[#This Row],[Valor Frete]]/Tabela32[[#This Row],[Valor Mercadoria]],"")</f>
        <v>6.0907916326522989E-2</v>
      </c>
      <c r="K463" s="11">
        <v>0.3125</v>
      </c>
      <c r="L463" s="15">
        <v>0.7319444444444444</v>
      </c>
      <c r="M463" s="15">
        <f>Tabela32[[#This Row],[Hr Chegada]]-Tabela32[[#This Row],[Hr Saida]]</f>
        <v>0.4194444444444444</v>
      </c>
      <c r="N463" s="4">
        <v>305801</v>
      </c>
      <c r="O463" s="4">
        <v>305858</v>
      </c>
      <c r="P463" s="4">
        <f>Tabela32[[#This Row],[Km Chegada]]-Tabela32[[#This Row],[Km Saída]]</f>
        <v>57</v>
      </c>
      <c r="Q463" s="4">
        <v>92</v>
      </c>
      <c r="R463" s="4">
        <v>17</v>
      </c>
      <c r="S463" s="4">
        <v>17</v>
      </c>
      <c r="T463" s="12">
        <f>Tabela32[[#This Row],[Entregas]]-Tabela32[[#This Row],[Realizadas]]</f>
        <v>0</v>
      </c>
      <c r="U463" s="18">
        <f>Tabela32[[#This Row],[Realizadas]]/Tabela32[[#This Row],[Entregas]]</f>
        <v>1</v>
      </c>
      <c r="V463" s="19" t="str">
        <f>IF(Tabela32[[#This Row],[% Entrega]]&gt;=96%,"Atendeu a Meta","Não Atendeu a Meta")</f>
        <v>Atendeu a Meta</v>
      </c>
      <c r="W463" s="4" t="s">
        <v>39</v>
      </c>
      <c r="X463" s="4">
        <v>0</v>
      </c>
      <c r="Y463" s="5">
        <v>0</v>
      </c>
    </row>
    <row r="464" spans="1:25" x14ac:dyDescent="0.25">
      <c r="A464" s="8">
        <v>46297</v>
      </c>
      <c r="B464" s="26">
        <f>YEAR(Tabela32[[#This Row],[Data]])</f>
        <v>2026</v>
      </c>
      <c r="C464" s="26">
        <f>MONTH(Tabela32[[#This Row],[Data]])</f>
        <v>10</v>
      </c>
      <c r="D464" s="4" t="s">
        <v>35</v>
      </c>
      <c r="E464" s="4">
        <v>1</v>
      </c>
      <c r="F464" s="4" t="str">
        <f>IFERROR(VLOOKUP(Tabela32[[#This Row],[Placa]],Planilha2!$A$1:$B$12,2,0),"")</f>
        <v>Osvaldo</v>
      </c>
      <c r="G464" s="10">
        <v>8358.85</v>
      </c>
      <c r="H464" s="10">
        <v>139999.38</v>
      </c>
      <c r="I464" s="4">
        <v>1219</v>
      </c>
      <c r="J464" s="17">
        <f>IFERROR(Tabela32[[#This Row],[Valor Frete]]/Tabela32[[#This Row],[Valor Mercadoria]],"")</f>
        <v>5.9706335842344443E-2</v>
      </c>
      <c r="K464" s="11">
        <v>0.3125</v>
      </c>
      <c r="L464" s="15">
        <v>0.72222222222222221</v>
      </c>
      <c r="M464" s="15">
        <f>Tabela32[[#This Row],[Hr Chegada]]-Tabela32[[#This Row],[Hr Saida]]</f>
        <v>0.40972222222222221</v>
      </c>
      <c r="N464" s="4">
        <v>144077</v>
      </c>
      <c r="O464" s="4">
        <v>144128</v>
      </c>
      <c r="P464" s="4">
        <f>Tabela32[[#This Row],[Km Chegada]]-Tabela32[[#This Row],[Km Saída]]</f>
        <v>51</v>
      </c>
      <c r="Q464" s="4">
        <v>142</v>
      </c>
      <c r="R464" s="4">
        <v>17</v>
      </c>
      <c r="S464" s="4">
        <v>17</v>
      </c>
      <c r="T464" s="12">
        <f>Tabela32[[#This Row],[Entregas]]-Tabela32[[#This Row],[Realizadas]]</f>
        <v>0</v>
      </c>
      <c r="U464" s="18">
        <f>Tabela32[[#This Row],[Realizadas]]/Tabela32[[#This Row],[Entregas]]</f>
        <v>1</v>
      </c>
      <c r="V464" s="19" t="str">
        <f>IF(Tabela32[[#This Row],[% Entrega]]&gt;=96%,"Atendeu a Meta","Não Atendeu a Meta")</f>
        <v>Atendeu a Meta</v>
      </c>
      <c r="W464" s="4" t="s">
        <v>43</v>
      </c>
      <c r="X464" s="4">
        <v>0</v>
      </c>
      <c r="Y464" s="5">
        <v>38.380000000000003</v>
      </c>
    </row>
    <row r="465" spans="1:25" x14ac:dyDescent="0.25">
      <c r="A465" s="8">
        <v>46297</v>
      </c>
      <c r="B465" s="26">
        <f>YEAR(Tabela32[[#This Row],[Data]])</f>
        <v>2026</v>
      </c>
      <c r="C465" s="26">
        <f>MONTH(Tabela32[[#This Row],[Data]])</f>
        <v>10</v>
      </c>
      <c r="D465" s="4" t="s">
        <v>31</v>
      </c>
      <c r="E465" s="4">
        <v>11</v>
      </c>
      <c r="F465" s="4" t="str">
        <f>IFERROR(VLOOKUP(Tabela32[[#This Row],[Placa]],Planilha2!$A$1:$B$12,2,0),"")</f>
        <v>Jerson</v>
      </c>
      <c r="G465" s="10">
        <v>9147.68</v>
      </c>
      <c r="H465" s="10">
        <v>147663.99</v>
      </c>
      <c r="I465" s="4">
        <v>1098</v>
      </c>
      <c r="J465" s="17">
        <f>IFERROR(Tabela32[[#This Row],[Valor Frete]]/Tabela32[[#This Row],[Valor Mercadoria]],"")</f>
        <v>6.1949294475924704E-2</v>
      </c>
      <c r="K465" s="11">
        <v>0.27083333333333331</v>
      </c>
      <c r="L465" s="15">
        <v>0.75694444444444442</v>
      </c>
      <c r="M465" s="15">
        <f>Tabela32[[#This Row],[Hr Chegada]]-Tabela32[[#This Row],[Hr Saida]]</f>
        <v>0.4861111111111111</v>
      </c>
      <c r="N465" s="4">
        <v>281617</v>
      </c>
      <c r="O465" s="4">
        <v>281735</v>
      </c>
      <c r="P465" s="4">
        <f>Tabela32[[#This Row],[Km Chegada]]-Tabela32[[#This Row],[Km Saída]]</f>
        <v>118</v>
      </c>
      <c r="Q465" s="4">
        <v>178</v>
      </c>
      <c r="R465" s="4">
        <v>31</v>
      </c>
      <c r="S465" s="4">
        <v>31</v>
      </c>
      <c r="T465" s="12">
        <f>Tabela32[[#This Row],[Entregas]]-Tabela32[[#This Row],[Realizadas]]</f>
        <v>0</v>
      </c>
      <c r="U465" s="18">
        <f>Tabela32[[#This Row],[Realizadas]]/Tabela32[[#This Row],[Entregas]]</f>
        <v>1</v>
      </c>
      <c r="V465" s="19" t="str">
        <f>IF(Tabela32[[#This Row],[% Entrega]]&gt;=96%,"Atendeu a Meta","Não Atendeu a Meta")</f>
        <v>Atendeu a Meta</v>
      </c>
      <c r="W465" s="4" t="s">
        <v>41</v>
      </c>
      <c r="X465" s="4">
        <v>0</v>
      </c>
      <c r="Y465" s="5">
        <v>0</v>
      </c>
    </row>
    <row r="466" spans="1:25" x14ac:dyDescent="0.25">
      <c r="A466" s="8">
        <v>46297</v>
      </c>
      <c r="B466" s="26">
        <f>YEAR(Tabela32[[#This Row],[Data]])</f>
        <v>2026</v>
      </c>
      <c r="C466" s="26">
        <f>MONTH(Tabela32[[#This Row],[Data]])</f>
        <v>10</v>
      </c>
      <c r="D466" s="4" t="s">
        <v>28</v>
      </c>
      <c r="E466" s="4">
        <v>5</v>
      </c>
      <c r="F466" s="4" t="str">
        <f>IFERROR(VLOOKUP(Tabela32[[#This Row],[Placa]],Planilha2!$A$1:$B$12,2,0),"")</f>
        <v>Edilson</v>
      </c>
      <c r="G466" s="10">
        <v>14684.14</v>
      </c>
      <c r="H466" s="10">
        <v>277099.78000000003</v>
      </c>
      <c r="I466" s="4">
        <v>2217</v>
      </c>
      <c r="J466" s="17">
        <f>IFERROR(Tabela32[[#This Row],[Valor Frete]]/Tabela32[[#This Row],[Valor Mercadoria]],"")</f>
        <v>5.2992247052668168E-2</v>
      </c>
      <c r="K466" s="11">
        <v>0.27083333333333331</v>
      </c>
      <c r="L466" s="15">
        <v>0.75</v>
      </c>
      <c r="M466" s="15">
        <f>Tabela32[[#This Row],[Hr Chegada]]-Tabela32[[#This Row],[Hr Saida]]</f>
        <v>0.47916666666666669</v>
      </c>
      <c r="N466" s="4">
        <v>106643</v>
      </c>
      <c r="O466" s="4">
        <v>106674</v>
      </c>
      <c r="P466" s="4">
        <f>Tabela32[[#This Row],[Km Chegada]]-Tabela32[[#This Row],[Km Saída]]</f>
        <v>31</v>
      </c>
      <c r="Q466" s="4">
        <v>343</v>
      </c>
      <c r="R466" s="4">
        <v>8</v>
      </c>
      <c r="S466" s="4">
        <v>8</v>
      </c>
      <c r="T466" s="12">
        <f>Tabela32[[#This Row],[Entregas]]-Tabela32[[#This Row],[Realizadas]]</f>
        <v>0</v>
      </c>
      <c r="U466" s="18">
        <f>Tabela32[[#This Row],[Realizadas]]/Tabela32[[#This Row],[Entregas]]</f>
        <v>1</v>
      </c>
      <c r="V466" s="19" t="str">
        <f>IF(Tabela32[[#This Row],[% Entrega]]&gt;=96%,"Atendeu a Meta","Não Atendeu a Meta")</f>
        <v>Atendeu a Meta</v>
      </c>
      <c r="W466" s="4" t="s">
        <v>39</v>
      </c>
      <c r="X466" s="4">
        <v>0</v>
      </c>
      <c r="Y466" s="5">
        <v>0</v>
      </c>
    </row>
    <row r="467" spans="1:25" x14ac:dyDescent="0.25">
      <c r="A467" s="8">
        <v>46300</v>
      </c>
      <c r="B467" s="26">
        <f>YEAR(Tabela32[[#This Row],[Data]])</f>
        <v>2026</v>
      </c>
      <c r="C467" s="26">
        <f>MONTH(Tabela32[[#This Row],[Data]])</f>
        <v>10</v>
      </c>
      <c r="D467" s="4" t="s">
        <v>27</v>
      </c>
      <c r="E467" s="4">
        <v>1</v>
      </c>
      <c r="F467" s="4" t="str">
        <f>IFERROR(VLOOKUP(Tabela32[[#This Row],[Placa]],Planilha2!$A$1:$B$12,2,0),"")</f>
        <v>Rosinaldo</v>
      </c>
      <c r="G467" s="10">
        <v>2662.58</v>
      </c>
      <c r="H467" s="10">
        <v>66312.78</v>
      </c>
      <c r="I467" s="4">
        <v>527</v>
      </c>
      <c r="J467" s="17">
        <f>IFERROR(Tabela32[[#This Row],[Valor Frete]]/Tabela32[[#This Row],[Valor Mercadoria]],"")</f>
        <v>4.0151838001664233E-2</v>
      </c>
      <c r="K467" s="11">
        <v>0.29166666666666669</v>
      </c>
      <c r="L467" s="15">
        <v>0.4826388888888889</v>
      </c>
      <c r="M467" s="15">
        <f>Tabela32[[#This Row],[Hr Chegada]]-Tabela32[[#This Row],[Hr Saida]]</f>
        <v>0.19097222222222221</v>
      </c>
      <c r="N467" s="4">
        <v>292172</v>
      </c>
      <c r="O467" s="4">
        <v>292204</v>
      </c>
      <c r="P467" s="4">
        <f>Tabela32[[#This Row],[Km Chegada]]-Tabela32[[#This Row],[Km Saída]]</f>
        <v>32</v>
      </c>
      <c r="Q467" s="4">
        <v>71</v>
      </c>
      <c r="R467" s="4">
        <v>2</v>
      </c>
      <c r="S467" s="4">
        <v>2</v>
      </c>
      <c r="T467" s="12">
        <f>Tabela32[[#This Row],[Entregas]]-Tabela32[[#This Row],[Realizadas]]</f>
        <v>0</v>
      </c>
      <c r="U467" s="18">
        <f>Tabela32[[#This Row],[Realizadas]]/Tabela32[[#This Row],[Entregas]]</f>
        <v>1</v>
      </c>
      <c r="V467" s="19" t="str">
        <f>IF(Tabela32[[#This Row],[% Entrega]]&gt;=96%,"Atendeu a Meta","Não Atendeu a Meta")</f>
        <v>Atendeu a Meta</v>
      </c>
      <c r="W467" s="4" t="s">
        <v>40</v>
      </c>
      <c r="X467" s="4">
        <v>0</v>
      </c>
      <c r="Y467" s="5">
        <v>0</v>
      </c>
    </row>
    <row r="468" spans="1:25" x14ac:dyDescent="0.25">
      <c r="A468" s="8">
        <v>46300</v>
      </c>
      <c r="B468" s="26">
        <f>YEAR(Tabela32[[#This Row],[Data]])</f>
        <v>2026</v>
      </c>
      <c r="C468" s="26">
        <f>MONTH(Tabela32[[#This Row],[Data]])</f>
        <v>10</v>
      </c>
      <c r="D468" s="4" t="s">
        <v>36</v>
      </c>
      <c r="E468" s="4">
        <v>5</v>
      </c>
      <c r="F468" s="4" t="str">
        <f>IFERROR(VLOOKUP(Tabela32[[#This Row],[Placa]],Planilha2!$A$1:$B$12,2,0),"")</f>
        <v>Heremilton</v>
      </c>
      <c r="G468" s="10">
        <v>63334.46</v>
      </c>
      <c r="H468" s="10">
        <v>996731.26</v>
      </c>
      <c r="I468" s="4">
        <v>10926</v>
      </c>
      <c r="J468" s="17">
        <f>IFERROR(Tabela32[[#This Row],[Valor Frete]]/Tabela32[[#This Row],[Valor Mercadoria]],"")</f>
        <v>6.3542162809261143E-2</v>
      </c>
      <c r="K468" s="11">
        <v>0.27777777777777779</v>
      </c>
      <c r="L468" s="15">
        <v>0.81041666666666667</v>
      </c>
      <c r="M468" s="15">
        <f>Tabela32[[#This Row],[Hr Chegada]]-Tabela32[[#This Row],[Hr Saida]]</f>
        <v>0.53263888888888888</v>
      </c>
      <c r="N468" s="4">
        <v>367835</v>
      </c>
      <c r="O468" s="4">
        <v>367889</v>
      </c>
      <c r="P468" s="4">
        <f>Tabela32[[#This Row],[Km Chegada]]-Tabela32[[#This Row],[Km Saída]]</f>
        <v>54</v>
      </c>
      <c r="Q468" s="4">
        <v>1202</v>
      </c>
      <c r="R468" s="4">
        <v>33</v>
      </c>
      <c r="S468" s="4">
        <v>33</v>
      </c>
      <c r="T468" s="12">
        <f>Tabela32[[#This Row],[Entregas]]-Tabela32[[#This Row],[Realizadas]]</f>
        <v>0</v>
      </c>
      <c r="U468" s="18">
        <f>Tabela32[[#This Row],[Realizadas]]/Tabela32[[#This Row],[Entregas]]</f>
        <v>1</v>
      </c>
      <c r="V468" s="19" t="str">
        <f>IF(Tabela32[[#This Row],[% Entrega]]&gt;=96%,"Atendeu a Meta","Não Atendeu a Meta")</f>
        <v>Atendeu a Meta</v>
      </c>
      <c r="W468" s="4" t="s">
        <v>39</v>
      </c>
      <c r="X468" s="4">
        <v>0</v>
      </c>
      <c r="Y468" s="5">
        <v>0</v>
      </c>
    </row>
    <row r="469" spans="1:25" x14ac:dyDescent="0.25">
      <c r="A469" s="8">
        <v>46300</v>
      </c>
      <c r="B469" s="26">
        <f>YEAR(Tabela32[[#This Row],[Data]])</f>
        <v>2026</v>
      </c>
      <c r="C469" s="26">
        <f>MONTH(Tabela32[[#This Row],[Data]])</f>
        <v>10</v>
      </c>
      <c r="D469" s="4" t="s">
        <v>23</v>
      </c>
      <c r="E469" s="4">
        <v>3</v>
      </c>
      <c r="F469" s="4" t="str">
        <f>IFERROR(VLOOKUP(Tabela32[[#This Row],[Placa]],Planilha2!$A$1:$B$12,2,0),"")</f>
        <v>William</v>
      </c>
      <c r="G469" s="10">
        <v>10856.39</v>
      </c>
      <c r="H469" s="10">
        <v>151158.64000000001</v>
      </c>
      <c r="I469" s="4">
        <v>1531</v>
      </c>
      <c r="J469" s="17">
        <f>IFERROR(Tabela32[[#This Row],[Valor Frete]]/Tabela32[[#This Row],[Valor Mercadoria]],"")</f>
        <v>7.1821167483380369E-2</v>
      </c>
      <c r="K469" s="11">
        <v>0.29166666666666669</v>
      </c>
      <c r="L469" s="15">
        <v>0.70833333333333337</v>
      </c>
      <c r="M469" s="15">
        <f>Tabela32[[#This Row],[Hr Chegada]]-Tabela32[[#This Row],[Hr Saida]]</f>
        <v>0.41666666666666669</v>
      </c>
      <c r="N469" s="4">
        <v>126632</v>
      </c>
      <c r="O469" s="4">
        <v>126676</v>
      </c>
      <c r="P469" s="4">
        <f>Tabela32[[#This Row],[Km Chegada]]-Tabela32[[#This Row],[Km Saída]]</f>
        <v>44</v>
      </c>
      <c r="Q469" s="4">
        <v>312</v>
      </c>
      <c r="R469" s="4">
        <v>22</v>
      </c>
      <c r="S469" s="4">
        <v>22</v>
      </c>
      <c r="T469" s="12">
        <f>Tabela32[[#This Row],[Entregas]]-Tabela32[[#This Row],[Realizadas]]</f>
        <v>0</v>
      </c>
      <c r="U469" s="18">
        <f>Tabela32[[#This Row],[Realizadas]]/Tabela32[[#This Row],[Entregas]]</f>
        <v>1</v>
      </c>
      <c r="V469" s="19" t="str">
        <f>IF(Tabela32[[#This Row],[% Entrega]]&gt;=96%,"Atendeu a Meta","Não Atendeu a Meta")</f>
        <v>Atendeu a Meta</v>
      </c>
      <c r="W469" s="4" t="s">
        <v>39</v>
      </c>
      <c r="X469" s="4">
        <v>0</v>
      </c>
      <c r="Y469" s="5">
        <v>0</v>
      </c>
    </row>
    <row r="470" spans="1:25" x14ac:dyDescent="0.25">
      <c r="A470" s="8">
        <v>46300</v>
      </c>
      <c r="B470" s="26">
        <f>YEAR(Tabela32[[#This Row],[Data]])</f>
        <v>2026</v>
      </c>
      <c r="C470" s="26">
        <f>MONTH(Tabela32[[#This Row],[Data]])</f>
        <v>10</v>
      </c>
      <c r="D470" s="4" t="s">
        <v>33</v>
      </c>
      <c r="E470" s="4">
        <v>1</v>
      </c>
      <c r="F470" s="4" t="str">
        <f>IFERROR(VLOOKUP(Tabela32[[#This Row],[Placa]],Planilha2!$A$1:$B$12,2,0),"")</f>
        <v>Paulo</v>
      </c>
      <c r="G470" s="10">
        <v>1275.44</v>
      </c>
      <c r="H470" s="10">
        <v>15864.18</v>
      </c>
      <c r="I470" s="4">
        <v>137</v>
      </c>
      <c r="J470" s="17">
        <f>IFERROR(Tabela32[[#This Row],[Valor Frete]]/Tabela32[[#This Row],[Valor Mercadoria]],"")</f>
        <v>8.0397474057909077E-2</v>
      </c>
      <c r="K470" s="11">
        <v>0.3125</v>
      </c>
      <c r="L470" s="15">
        <v>0.6479166666666667</v>
      </c>
      <c r="M470" s="15">
        <f>Tabela32[[#This Row],[Hr Chegada]]-Tabela32[[#This Row],[Hr Saida]]</f>
        <v>0.3354166666666667</v>
      </c>
      <c r="N470" s="4">
        <v>156661</v>
      </c>
      <c r="O470" s="4">
        <v>156691</v>
      </c>
      <c r="P470" s="4">
        <f>Tabela32[[#This Row],[Km Chegada]]-Tabela32[[#This Row],[Km Saída]]</f>
        <v>30</v>
      </c>
      <c r="Q470" s="4">
        <v>76</v>
      </c>
      <c r="R470" s="4">
        <v>2</v>
      </c>
      <c r="S470" s="4">
        <v>2</v>
      </c>
      <c r="T470" s="12">
        <f>Tabela32[[#This Row],[Entregas]]-Tabela32[[#This Row],[Realizadas]]</f>
        <v>0</v>
      </c>
      <c r="U470" s="18">
        <f>Tabela32[[#This Row],[Realizadas]]/Tabela32[[#This Row],[Entregas]]</f>
        <v>1</v>
      </c>
      <c r="V470" s="19" t="str">
        <f>IF(Tabela32[[#This Row],[% Entrega]]&gt;=96%,"Atendeu a Meta","Não Atendeu a Meta")</f>
        <v>Atendeu a Meta</v>
      </c>
      <c r="W470" s="4" t="s">
        <v>43</v>
      </c>
      <c r="X470" s="4">
        <v>0</v>
      </c>
      <c r="Y470" s="5">
        <v>0</v>
      </c>
    </row>
    <row r="471" spans="1:25" x14ac:dyDescent="0.25">
      <c r="A471" s="8">
        <v>46300</v>
      </c>
      <c r="B471" s="26">
        <f>YEAR(Tabela32[[#This Row],[Data]])</f>
        <v>2026</v>
      </c>
      <c r="C471" s="26">
        <f>MONTH(Tabela32[[#This Row],[Data]])</f>
        <v>10</v>
      </c>
      <c r="D471" s="4" t="s">
        <v>31</v>
      </c>
      <c r="E471" s="4">
        <v>2</v>
      </c>
      <c r="F471" s="4" t="str">
        <f>IFERROR(VLOOKUP(Tabela32[[#This Row],[Placa]],Planilha2!$A$1:$B$12,2,0),"")</f>
        <v>Jerson</v>
      </c>
      <c r="G471" s="10">
        <v>12657.88</v>
      </c>
      <c r="H471" s="10">
        <v>263127.61</v>
      </c>
      <c r="I471" s="4">
        <v>245</v>
      </c>
      <c r="J471" s="17">
        <f>IFERROR(Tabela32[[#This Row],[Valor Frete]]/Tabela32[[#This Row],[Valor Mercadoria]],"")</f>
        <v>4.8105480074857973E-2</v>
      </c>
      <c r="K471" s="11">
        <v>0.27430555555555558</v>
      </c>
      <c r="L471" s="15">
        <v>0.79236111111111107</v>
      </c>
      <c r="M471" s="15">
        <f>Tabela32[[#This Row],[Hr Chegada]]-Tabela32[[#This Row],[Hr Saida]]</f>
        <v>0.51805555555555549</v>
      </c>
      <c r="N471" s="4">
        <v>281766</v>
      </c>
      <c r="O471" s="4">
        <v>281825</v>
      </c>
      <c r="P471" s="4">
        <f>Tabela32[[#This Row],[Km Chegada]]-Tabela32[[#This Row],[Km Saída]]</f>
        <v>59</v>
      </c>
      <c r="Q471" s="4">
        <v>245</v>
      </c>
      <c r="R471" s="4">
        <v>48</v>
      </c>
      <c r="S471" s="4">
        <v>47</v>
      </c>
      <c r="T471" s="12">
        <f>Tabela32[[#This Row],[Entregas]]-Tabela32[[#This Row],[Realizadas]]</f>
        <v>1</v>
      </c>
      <c r="U471" s="18">
        <f>Tabela32[[#This Row],[Realizadas]]/Tabela32[[#This Row],[Entregas]]</f>
        <v>0.97916666666666663</v>
      </c>
      <c r="V471" s="19" t="str">
        <f>IF(Tabela32[[#This Row],[% Entrega]]&gt;=96%,"Atendeu a Meta","Não Atendeu a Meta")</f>
        <v>Atendeu a Meta</v>
      </c>
      <c r="W471" s="4" t="s">
        <v>39</v>
      </c>
      <c r="X471" s="4">
        <v>5</v>
      </c>
      <c r="Y471" s="5" t="s">
        <v>94</v>
      </c>
    </row>
    <row r="472" spans="1:25" x14ac:dyDescent="0.25">
      <c r="A472" s="8">
        <v>46300</v>
      </c>
      <c r="B472" s="26">
        <f>YEAR(Tabela32[[#This Row],[Data]])</f>
        <v>2026</v>
      </c>
      <c r="C472" s="26">
        <f>MONTH(Tabela32[[#This Row],[Data]])</f>
        <v>10</v>
      </c>
      <c r="D472" s="4" t="s">
        <v>28</v>
      </c>
      <c r="E472" s="4">
        <v>1</v>
      </c>
      <c r="F472" s="4" t="str">
        <f>IFERROR(VLOOKUP(Tabela32[[#This Row],[Placa]],Planilha2!$A$1:$B$12,2,0),"")</f>
        <v>Edilson</v>
      </c>
      <c r="G472" s="10">
        <v>10169.49</v>
      </c>
      <c r="H472" s="10">
        <v>123211.28</v>
      </c>
      <c r="I472" s="4">
        <v>3496</v>
      </c>
      <c r="J472" s="17">
        <f>IFERROR(Tabela32[[#This Row],[Valor Frete]]/Tabela32[[#This Row],[Valor Mercadoria]],"")</f>
        <v>8.2537004728787819E-2</v>
      </c>
      <c r="K472" s="11">
        <v>0.27083333333333331</v>
      </c>
      <c r="L472" s="15">
        <v>0.44722222222222224</v>
      </c>
      <c r="M472" s="15">
        <f>Tabela32[[#This Row],[Hr Chegada]]-Tabela32[[#This Row],[Hr Saida]]</f>
        <v>0.17638888888888893</v>
      </c>
      <c r="N472" s="4">
        <v>106677</v>
      </c>
      <c r="O472" s="4">
        <v>106699</v>
      </c>
      <c r="P472" s="4">
        <f>Tabela32[[#This Row],[Km Chegada]]-Tabela32[[#This Row],[Km Saída]]</f>
        <v>22</v>
      </c>
      <c r="Q472" s="4">
        <v>307</v>
      </c>
      <c r="R472" s="4">
        <v>2</v>
      </c>
      <c r="S472" s="4">
        <v>2</v>
      </c>
      <c r="T472" s="12">
        <f>Tabela32[[#This Row],[Entregas]]-Tabela32[[#This Row],[Realizadas]]</f>
        <v>0</v>
      </c>
      <c r="U472" s="18">
        <f>Tabela32[[#This Row],[Realizadas]]/Tabela32[[#This Row],[Entregas]]</f>
        <v>1</v>
      </c>
      <c r="V472" s="19" t="str">
        <f>IF(Tabela32[[#This Row],[% Entrega]]&gt;=96%,"Atendeu a Meta","Não Atendeu a Meta")</f>
        <v>Atendeu a Meta</v>
      </c>
      <c r="W472" s="4" t="s">
        <v>43</v>
      </c>
      <c r="X472" s="4">
        <v>0</v>
      </c>
      <c r="Y472" s="5">
        <v>0</v>
      </c>
    </row>
    <row r="473" spans="1:25" x14ac:dyDescent="0.25">
      <c r="A473" s="8">
        <v>46300</v>
      </c>
      <c r="B473" s="26">
        <f>YEAR(Tabela32[[#This Row],[Data]])</f>
        <v>2026</v>
      </c>
      <c r="C473" s="26">
        <f>MONTH(Tabela32[[#This Row],[Data]])</f>
        <v>10</v>
      </c>
      <c r="D473" s="4" t="s">
        <v>53</v>
      </c>
      <c r="E473" s="4">
        <v>1</v>
      </c>
      <c r="F473" s="4" t="str">
        <f>IFERROR(VLOOKUP(Tabela32[[#This Row],[Placa]],Planilha2!$A$1:$B$12,2,0),"")</f>
        <v>Arnaldo</v>
      </c>
      <c r="G473" s="10">
        <v>9033.7900000000009</v>
      </c>
      <c r="H473" s="10">
        <v>153227.56</v>
      </c>
      <c r="I473" s="4">
        <v>1938</v>
      </c>
      <c r="J473" s="17">
        <f>IFERROR(Tabela32[[#This Row],[Valor Frete]]/Tabela32[[#This Row],[Valor Mercadoria]],"")</f>
        <v>5.8956691602998844E-2</v>
      </c>
      <c r="K473" s="11">
        <v>0.3263888888888889</v>
      </c>
      <c r="L473" s="15">
        <v>0.79166666666666663</v>
      </c>
      <c r="M473" s="15">
        <f>Tabela32[[#This Row],[Hr Chegada]]-Tabela32[[#This Row],[Hr Saida]]</f>
        <v>0.46527777777777773</v>
      </c>
      <c r="N473" s="4">
        <v>14508</v>
      </c>
      <c r="O473" s="4">
        <v>14572</v>
      </c>
      <c r="P473" s="4">
        <f>Tabela32[[#This Row],[Km Chegada]]-Tabela32[[#This Row],[Km Saída]]</f>
        <v>64</v>
      </c>
      <c r="Q473" s="4">
        <v>345</v>
      </c>
      <c r="R473" s="4">
        <v>22</v>
      </c>
      <c r="S473" s="4">
        <v>22</v>
      </c>
      <c r="T473" s="12">
        <f>Tabela32[[#This Row],[Entregas]]-Tabela32[[#This Row],[Realizadas]]</f>
        <v>0</v>
      </c>
      <c r="U473" s="18">
        <f>Tabela32[[#This Row],[Realizadas]]/Tabela32[[#This Row],[Entregas]]</f>
        <v>1</v>
      </c>
      <c r="V473" s="19" t="str">
        <f>IF(Tabela32[[#This Row],[% Entrega]]&gt;=96%,"Atendeu a Meta","Não Atendeu a Meta")</f>
        <v>Atendeu a Meta</v>
      </c>
      <c r="W473" s="4" t="s">
        <v>43</v>
      </c>
      <c r="X473" s="4">
        <v>1</v>
      </c>
      <c r="Y473" s="5">
        <v>10.38</v>
      </c>
    </row>
    <row r="474" spans="1:25" x14ac:dyDescent="0.25">
      <c r="A474" s="8">
        <v>46300</v>
      </c>
      <c r="B474" s="26">
        <f>YEAR(Tabela32[[#This Row],[Data]])</f>
        <v>2026</v>
      </c>
      <c r="C474" s="26">
        <f>MONTH(Tabela32[[#This Row],[Data]])</f>
        <v>10</v>
      </c>
      <c r="D474" s="4" t="s">
        <v>22</v>
      </c>
      <c r="E474" s="4">
        <v>5</v>
      </c>
      <c r="F474" s="4" t="str">
        <f>IFERROR(VLOOKUP(Tabela32[[#This Row],[Placa]],Planilha2!$A$1:$B$12,2,0),"")</f>
        <v>Wesley</v>
      </c>
      <c r="G474" s="10">
        <v>14452.93</v>
      </c>
      <c r="H474" s="10">
        <v>116696.96000000001</v>
      </c>
      <c r="I474" s="4">
        <v>2197</v>
      </c>
      <c r="J474" s="17">
        <f>IFERROR(Tabela32[[#This Row],[Valor Frete]]/Tabela32[[#This Row],[Valor Mercadoria]],"")</f>
        <v>0.12385009858011725</v>
      </c>
      <c r="K474" s="11">
        <v>0.29166666666666669</v>
      </c>
      <c r="L474" s="15">
        <v>0.76388888888888884</v>
      </c>
      <c r="M474" s="15">
        <f>Tabela32[[#This Row],[Hr Chegada]]-Tabela32[[#This Row],[Hr Saida]]</f>
        <v>0.47222222222222215</v>
      </c>
      <c r="N474" s="4">
        <v>305860</v>
      </c>
      <c r="O474" s="4">
        <v>305906</v>
      </c>
      <c r="P474" s="4">
        <f>Tabela32[[#This Row],[Km Chegada]]-Tabela32[[#This Row],[Km Saída]]</f>
        <v>46</v>
      </c>
      <c r="Q474" s="4">
        <v>504</v>
      </c>
      <c r="R474" s="4">
        <v>16</v>
      </c>
      <c r="S474" s="4">
        <v>16</v>
      </c>
      <c r="T474" s="12">
        <f>Tabela32[[#This Row],[Entregas]]-Tabela32[[#This Row],[Realizadas]]</f>
        <v>0</v>
      </c>
      <c r="U474" s="18">
        <f>Tabela32[[#This Row],[Realizadas]]/Tabela32[[#This Row],[Entregas]]</f>
        <v>1</v>
      </c>
      <c r="V474" s="19" t="str">
        <f>IF(Tabela32[[#This Row],[% Entrega]]&gt;=96%,"Atendeu a Meta","Não Atendeu a Meta")</f>
        <v>Atendeu a Meta</v>
      </c>
      <c r="W474" s="4" t="s">
        <v>39</v>
      </c>
      <c r="X474" s="4">
        <v>4</v>
      </c>
      <c r="Y474" s="5" t="s">
        <v>88</v>
      </c>
    </row>
    <row r="475" spans="1:25" x14ac:dyDescent="0.25">
      <c r="A475" s="8">
        <v>46300</v>
      </c>
      <c r="B475" s="26">
        <f>YEAR(Tabela32[[#This Row],[Data]])</f>
        <v>2026</v>
      </c>
      <c r="C475" s="26">
        <f>MONTH(Tabela32[[#This Row],[Data]])</f>
        <v>10</v>
      </c>
      <c r="D475" s="4" t="s">
        <v>29</v>
      </c>
      <c r="E475" s="4">
        <v>5</v>
      </c>
      <c r="F475" s="4" t="str">
        <f>IFERROR(VLOOKUP(Tabela32[[#This Row],[Placa]],Planilha2!$A$1:$B$12,2,0),"")</f>
        <v>Sandro</v>
      </c>
      <c r="G475" s="10">
        <v>7520.67</v>
      </c>
      <c r="H475" s="10">
        <v>54089.18</v>
      </c>
      <c r="I475" s="4">
        <v>2768</v>
      </c>
      <c r="J475" s="17">
        <f>IFERROR(Tabela32[[#This Row],[Valor Frete]]/Tabela32[[#This Row],[Valor Mercadoria]],"")</f>
        <v>0.13904204131029532</v>
      </c>
      <c r="K475" s="11">
        <v>0.29166666666666669</v>
      </c>
      <c r="L475" s="15">
        <v>0.77430555555555558</v>
      </c>
      <c r="M475" s="15">
        <f>Tabela32[[#This Row],[Hr Chegada]]-Tabela32[[#This Row],[Hr Saida]]</f>
        <v>0.4826388888888889</v>
      </c>
      <c r="N475" s="4">
        <v>276566</v>
      </c>
      <c r="O475" s="4">
        <v>276623</v>
      </c>
      <c r="P475" s="4">
        <f>Tabela32[[#This Row],[Km Chegada]]-Tabela32[[#This Row],[Km Saída]]</f>
        <v>57</v>
      </c>
      <c r="Q475" s="4">
        <v>267</v>
      </c>
      <c r="R475" s="4">
        <v>5</v>
      </c>
      <c r="S475" s="4">
        <v>5</v>
      </c>
      <c r="T475" s="12">
        <f>Tabela32[[#This Row],[Entregas]]-Tabela32[[#This Row],[Realizadas]]</f>
        <v>0</v>
      </c>
      <c r="U475" s="18">
        <f>Tabela32[[#This Row],[Realizadas]]/Tabela32[[#This Row],[Entregas]]</f>
        <v>1</v>
      </c>
      <c r="V475" s="19" t="str">
        <f>IF(Tabela32[[#This Row],[% Entrega]]&gt;=96%,"Atendeu a Meta","Não Atendeu a Meta")</f>
        <v>Atendeu a Meta</v>
      </c>
      <c r="W475" s="4" t="s">
        <v>39</v>
      </c>
      <c r="X475" s="4">
        <v>0</v>
      </c>
      <c r="Y475" s="5">
        <v>0</v>
      </c>
    </row>
    <row r="476" spans="1:25" x14ac:dyDescent="0.25">
      <c r="A476" s="8">
        <v>46300</v>
      </c>
      <c r="B476" s="26">
        <f>YEAR(Tabela32[[#This Row],[Data]])</f>
        <v>2026</v>
      </c>
      <c r="C476" s="26">
        <f>MONTH(Tabela32[[#This Row],[Data]])</f>
        <v>10</v>
      </c>
      <c r="D476" s="4" t="s">
        <v>25</v>
      </c>
      <c r="E476" s="4">
        <v>1</v>
      </c>
      <c r="F476" s="4" t="str">
        <f>IFERROR(VLOOKUP(Tabela32[[#This Row],[Placa]],Planilha2!$A$1:$B$12,2,0),"")</f>
        <v>Gilberto</v>
      </c>
      <c r="G476" s="10">
        <v>3823.44</v>
      </c>
      <c r="H476" s="10">
        <v>69287.11</v>
      </c>
      <c r="I476" s="4">
        <v>405</v>
      </c>
      <c r="J476" s="17">
        <f>IFERROR(Tabela32[[#This Row],[Valor Frete]]/Tabela32[[#This Row],[Valor Mercadoria]],"")</f>
        <v>5.5182558487430054E-2</v>
      </c>
      <c r="K476" s="11">
        <v>0.3125</v>
      </c>
      <c r="L476" s="15">
        <v>0.79861111111111116</v>
      </c>
      <c r="M476" s="15">
        <f>Tabela32[[#This Row],[Hr Chegada]]-Tabela32[[#This Row],[Hr Saida]]</f>
        <v>0.48611111111111116</v>
      </c>
      <c r="N476" s="4">
        <v>120715</v>
      </c>
      <c r="O476" s="4">
        <v>120828</v>
      </c>
      <c r="P476" s="4">
        <f>Tabela32[[#This Row],[Km Chegada]]-Tabela32[[#This Row],[Km Saída]]</f>
        <v>113</v>
      </c>
      <c r="Q476" s="4">
        <v>115</v>
      </c>
      <c r="R476" s="4">
        <v>16</v>
      </c>
      <c r="S476" s="4">
        <v>16</v>
      </c>
      <c r="T476" s="12">
        <f>Tabela32[[#This Row],[Entregas]]-Tabela32[[#This Row],[Realizadas]]</f>
        <v>0</v>
      </c>
      <c r="U476" s="18">
        <f>Tabela32[[#This Row],[Realizadas]]/Tabela32[[#This Row],[Entregas]]</f>
        <v>1</v>
      </c>
      <c r="V476" s="19" t="str">
        <f>IF(Tabela32[[#This Row],[% Entrega]]&gt;=96%,"Atendeu a Meta","Não Atendeu a Meta")</f>
        <v>Atendeu a Meta</v>
      </c>
      <c r="W476" s="4" t="s">
        <v>40</v>
      </c>
      <c r="X476" s="4">
        <v>0</v>
      </c>
      <c r="Y476" s="5">
        <v>0</v>
      </c>
    </row>
    <row r="477" spans="1:25" x14ac:dyDescent="0.25">
      <c r="A477" s="8">
        <v>46300</v>
      </c>
      <c r="B477" s="26">
        <f>YEAR(Tabela32[[#This Row],[Data]])</f>
        <v>2026</v>
      </c>
      <c r="C477" s="26">
        <f>MONTH(Tabela32[[#This Row],[Data]])</f>
        <v>10</v>
      </c>
      <c r="D477" s="4" t="s">
        <v>35</v>
      </c>
      <c r="E477" s="4">
        <v>11</v>
      </c>
      <c r="F477" s="4" t="str">
        <f>IFERROR(VLOOKUP(Tabela32[[#This Row],[Placa]],Planilha2!$A$1:$B$12,2,0),"")</f>
        <v>Osvaldo</v>
      </c>
      <c r="G477" s="10">
        <v>13461.47</v>
      </c>
      <c r="H477" s="10">
        <v>199033</v>
      </c>
      <c r="I477" s="4">
        <v>2989</v>
      </c>
      <c r="J477" s="17">
        <f>IFERROR(Tabela32[[#This Row],[Valor Frete]]/Tabela32[[#This Row],[Valor Mercadoria]],"")</f>
        <v>6.7634362140951504E-2</v>
      </c>
      <c r="K477" s="11">
        <v>0.27083333333333331</v>
      </c>
      <c r="L477" s="15">
        <v>0.77777777777777779</v>
      </c>
      <c r="M477" s="15">
        <f>Tabela32[[#This Row],[Hr Chegada]]-Tabela32[[#This Row],[Hr Saida]]</f>
        <v>0.50694444444444442</v>
      </c>
      <c r="N477" s="4">
        <v>144186</v>
      </c>
      <c r="O477" s="4">
        <v>144311</v>
      </c>
      <c r="P477" s="4">
        <f>Tabela32[[#This Row],[Km Chegada]]-Tabela32[[#This Row],[Km Saída]]</f>
        <v>125</v>
      </c>
      <c r="Q477" s="4">
        <v>235</v>
      </c>
      <c r="R477" s="4">
        <v>22</v>
      </c>
      <c r="S477" s="4">
        <v>22</v>
      </c>
      <c r="T477" s="12">
        <f>Tabela32[[#This Row],[Entregas]]-Tabela32[[#This Row],[Realizadas]]</f>
        <v>0</v>
      </c>
      <c r="U477" s="18">
        <f>Tabela32[[#This Row],[Realizadas]]/Tabela32[[#This Row],[Entregas]]</f>
        <v>1</v>
      </c>
      <c r="V477" s="19" t="str">
        <f>IF(Tabela32[[#This Row],[% Entrega]]&gt;=96%,"Atendeu a Meta","Não Atendeu a Meta")</f>
        <v>Atendeu a Meta</v>
      </c>
      <c r="W477" s="4" t="s">
        <v>41</v>
      </c>
      <c r="X477" s="4">
        <v>0</v>
      </c>
      <c r="Y477" s="5">
        <v>0</v>
      </c>
    </row>
    <row r="478" spans="1:25" x14ac:dyDescent="0.25">
      <c r="A478" s="8">
        <v>46300</v>
      </c>
      <c r="B478" s="26">
        <f>YEAR(Tabela32[[#This Row],[Data]])</f>
        <v>2026</v>
      </c>
      <c r="C478" s="26">
        <f>MONTH(Tabela32[[#This Row],[Data]])</f>
        <v>10</v>
      </c>
      <c r="D478" s="4" t="s">
        <v>27</v>
      </c>
      <c r="E478" s="4">
        <v>4</v>
      </c>
      <c r="F478" s="4" t="str">
        <f>IFERROR(VLOOKUP(Tabela32[[#This Row],[Placa]],Planilha2!$A$1:$B$12,2,0),"")</f>
        <v>Rosinaldo</v>
      </c>
      <c r="G478" s="10">
        <v>2965.97</v>
      </c>
      <c r="H478" s="10">
        <v>40516.230000000003</v>
      </c>
      <c r="I478" s="4">
        <v>1109</v>
      </c>
      <c r="J478" s="17">
        <f>IFERROR(Tabela32[[#This Row],[Valor Frete]]/Tabela32[[#This Row],[Valor Mercadoria]],"")</f>
        <v>7.3204491138489425E-2</v>
      </c>
      <c r="K478" s="11">
        <v>0.56944444444444442</v>
      </c>
      <c r="L478" s="15">
        <v>0.74652777777777779</v>
      </c>
      <c r="M478" s="15">
        <f>Tabela32[[#This Row],[Hr Chegada]]-Tabela32[[#This Row],[Hr Saida]]</f>
        <v>0.17708333333333337</v>
      </c>
      <c r="N478" s="4">
        <v>292204</v>
      </c>
      <c r="O478" s="4">
        <v>292247</v>
      </c>
      <c r="P478" s="4">
        <f>Tabela32[[#This Row],[Km Chegada]]-Tabela32[[#This Row],[Km Saída]]</f>
        <v>43</v>
      </c>
      <c r="Q478" s="4">
        <v>202</v>
      </c>
      <c r="R478" s="4">
        <v>5</v>
      </c>
      <c r="S478" s="4">
        <v>5</v>
      </c>
      <c r="T478" s="12">
        <f>Tabela32[[#This Row],[Entregas]]-Tabela32[[#This Row],[Realizadas]]</f>
        <v>0</v>
      </c>
      <c r="U478" s="18">
        <f>Tabela32[[#This Row],[Realizadas]]/Tabela32[[#This Row],[Entregas]]</f>
        <v>1</v>
      </c>
      <c r="V478" s="19" t="str">
        <f>IF(Tabela32[[#This Row],[% Entrega]]&gt;=96%,"Atendeu a Meta","Não Atendeu a Meta")</f>
        <v>Atendeu a Meta</v>
      </c>
      <c r="W478" s="4" t="s">
        <v>39</v>
      </c>
      <c r="X478" s="4">
        <v>0</v>
      </c>
      <c r="Y478" s="5">
        <v>0</v>
      </c>
    </row>
    <row r="479" spans="1:25" x14ac:dyDescent="0.25">
      <c r="A479" s="8">
        <v>46298</v>
      </c>
      <c r="B479" s="26">
        <f>YEAR(Tabela32[[#This Row],[Data]])</f>
        <v>2026</v>
      </c>
      <c r="C479" s="26">
        <f>MONTH(Tabela32[[#This Row],[Data]])</f>
        <v>10</v>
      </c>
      <c r="D479" s="4" t="s">
        <v>35</v>
      </c>
      <c r="E479" s="4">
        <v>3</v>
      </c>
      <c r="F479" s="4" t="str">
        <f>IFERROR(VLOOKUP(Tabela32[[#This Row],[Placa]],Planilha2!$A$1:$B$12,2,0),"")</f>
        <v>Osvaldo</v>
      </c>
      <c r="G479" s="10">
        <v>13116.14</v>
      </c>
      <c r="H479" s="10">
        <v>179913.44</v>
      </c>
      <c r="I479" s="4">
        <v>2596</v>
      </c>
      <c r="J479" s="17">
        <f>IFERROR(Tabela32[[#This Row],[Valor Frete]]/Tabela32[[#This Row],[Valor Mercadoria]],"")</f>
        <v>7.2902502447843798E-2</v>
      </c>
      <c r="K479" s="11">
        <v>0.3125</v>
      </c>
      <c r="L479" s="15">
        <v>0.51388888888888884</v>
      </c>
      <c r="M479" s="15">
        <f>Tabela32[[#This Row],[Hr Chegada]]-Tabela32[[#This Row],[Hr Saida]]</f>
        <v>0.20138888888888884</v>
      </c>
      <c r="N479" s="4">
        <v>144128</v>
      </c>
      <c r="O479" s="4">
        <v>144168</v>
      </c>
      <c r="P479" s="4">
        <f>Tabela32[[#This Row],[Km Chegada]]-Tabela32[[#This Row],[Km Saída]]</f>
        <v>40</v>
      </c>
      <c r="Q479" s="4">
        <v>405</v>
      </c>
      <c r="R479" s="4">
        <v>8</v>
      </c>
      <c r="S479" s="4">
        <v>8</v>
      </c>
      <c r="T479" s="12">
        <f>Tabela32[[#This Row],[Entregas]]-Tabela32[[#This Row],[Realizadas]]</f>
        <v>0</v>
      </c>
      <c r="U479" s="18">
        <f>Tabela32[[#This Row],[Realizadas]]/Tabela32[[#This Row],[Entregas]]</f>
        <v>1</v>
      </c>
      <c r="V479" s="19" t="str">
        <f>IF(Tabela32[[#This Row],[% Entrega]]&gt;=96%,"Atendeu a Meta","Não Atendeu a Meta")</f>
        <v>Atendeu a Meta</v>
      </c>
      <c r="W479" s="4" t="s">
        <v>39</v>
      </c>
      <c r="X479" s="4">
        <v>0</v>
      </c>
      <c r="Y479" s="5">
        <v>0</v>
      </c>
    </row>
  </sheetData>
  <conditionalFormatting sqref="J2:J479">
    <cfRule type="cellIs" dxfId="65" priority="1" operator="lessThan">
      <formula>0.05</formula>
    </cfRule>
    <cfRule type="cellIs" dxfId="64" priority="2" operator="greaterThanOrEqual">
      <formula>0.05</formula>
    </cfRule>
  </conditionalFormatting>
  <conditionalFormatting sqref="U2:U479">
    <cfRule type="cellIs" dxfId="63" priority="7" stopIfTrue="1" operator="lessThanOrEqual">
      <formula>0.949</formula>
    </cfRule>
    <cfRule type="cellIs" dxfId="62" priority="8" stopIfTrue="1" operator="greaterThanOrEqual">
      <formula>0.9</formula>
    </cfRule>
    <cfRule type="cellIs" dxfId="61" priority="9" stopIfTrue="1" operator="greaterThanOrEqual">
      <formula>90</formula>
    </cfRule>
    <cfRule type="cellIs" dxfId="60" priority="10" stopIfTrue="1" operator="lessThan">
      <formula>0</formula>
    </cfRule>
    <cfRule type="cellIs" dxfId="59" priority="11" stopIfTrue="1" operator="lessThan">
      <formula>1</formula>
    </cfRule>
    <cfRule type="cellIs" dxfId="58" priority="12" stopIfTrue="1" operator="greaterThan">
      <formula>100</formula>
    </cfRule>
    <cfRule type="cellIs" dxfId="57" priority="13" stopIfTrue="1" operator="greaterThan">
      <formula>1</formula>
    </cfRule>
  </conditionalFormatting>
  <conditionalFormatting sqref="V2:V479">
    <cfRule type="expression" dxfId="56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55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D2:D479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2026-10-06T20:39:20Z</dcterms:modified>
</cp:coreProperties>
</file>