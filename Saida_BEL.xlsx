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897FDDB8-4589-406F-9D57-74B66091774D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3" i="4" l="1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<sst xmlns="http://schemas.openxmlformats.org/spreadsheetml/2006/main" count="1237" uniqueCount="101">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</sst>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7" totalsRowShown="0" headerRowDxfId="133" dataDxfId="131" headerRowBorderDxfId="132" tableBorderDxfId="130" totalsRowBorderDxfId="129" headerRowCellStyle="Normal 2 2 2">
  <autoFilter ref="A1:V27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533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 dataCellStyle="Moeda"/>
    <tableColumn id="7" xr3:uid="{7D623530-7EED-4526-B289-B392FA2EF883}" name="Valor Mercadoria" dataDxfId="94" dataCellStyle="Moeda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97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7"/>
  <sheetViews>
    <sheetView showGridLines="0" tabSelected="1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T27" sqref="T27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</sheetData>
  <conditionalFormatting sqref="H2:H27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27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27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533"/>
  <sheetViews>
    <sheetView showGridLines="0" workbookViewId="0">
      <pane xSplit="10" ySplit="1" topLeftCell="W505" activePane="bottomRight" state="frozen"/>
      <selection pane="topRight" activeCell="I1" sqref="I1"/>
      <selection pane="bottomLeft" activeCell="A2" sqref="A2"/>
      <selection pane="bottomRight" activeCell="Y532" sqref="Y532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82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93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Wesley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94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Wesley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88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76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Wesley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63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Wesley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Wesley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63</v>
      </c>
      <c r="X511" s="4">
        <v>3</v>
      </c>
      <c r="Y511" s="5" t="s">
        <v>69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63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95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Wesley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26">
        <f>YEAR(Tabela32[[#This Row],[Data]])</f>
        <v>2026</v>
      </c>
      <c r="C523" s="2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26">
        <f>YEAR(Tabela32[[#This Row],[Data]])</f>
        <v>2026</v>
      </c>
      <c r="C524" s="2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96</v>
      </c>
    </row>
    <row r="525" spans="1:25" x14ac:dyDescent="0.25">
      <c r="A525" s="8">
        <v>46308</v>
      </c>
      <c r="B525" s="26">
        <f>YEAR(Tabela32[[#This Row],[Data]])</f>
        <v>2026</v>
      </c>
      <c r="C525" s="26">
        <f>MONTH(Tabela32[[#This Row],[Data]])</f>
        <v>10</v>
      </c>
      <c r="D525" s="4" t="s">
        <v>97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26">
        <f>YEAR(Tabela32[[#This Row],[Data]])</f>
        <v>2026</v>
      </c>
      <c r="C526" s="2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98</v>
      </c>
    </row>
    <row r="527" spans="1:25" x14ac:dyDescent="0.25">
      <c r="A527" s="8">
        <v>46308</v>
      </c>
      <c r="B527" s="26">
        <f>YEAR(Tabela32[[#This Row],[Data]])</f>
        <v>2026</v>
      </c>
      <c r="C527" s="2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26">
        <f>YEAR(Tabela32[[#This Row],[Data]])</f>
        <v>2026</v>
      </c>
      <c r="C528" s="2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26">
        <f>YEAR(Tabela32[[#This Row],[Data]])</f>
        <v>2026</v>
      </c>
      <c r="C529" s="2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99</v>
      </c>
    </row>
    <row r="530" spans="1:25" x14ac:dyDescent="0.25">
      <c r="A530" s="8">
        <v>46308</v>
      </c>
      <c r="B530" s="26">
        <f>YEAR(Tabela32[[#This Row],[Data]])</f>
        <v>2026</v>
      </c>
      <c r="C530" s="2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Wesley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100</v>
      </c>
    </row>
    <row r="531" spans="1:25" x14ac:dyDescent="0.25">
      <c r="A531" s="8">
        <v>46308</v>
      </c>
      <c r="B531" s="26">
        <f>YEAR(Tabela32[[#This Row],[Data]])</f>
        <v>2026</v>
      </c>
      <c r="C531" s="2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26">
        <f>YEAR(Tabela32[[#This Row],[Data]])</f>
        <v>2026</v>
      </c>
      <c r="C532" s="2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26">
        <f>YEAR(Tabela32[[#This Row],[Data]])</f>
        <v>2026</v>
      </c>
      <c r="C533" s="2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</sheetData>
  <conditionalFormatting sqref="J2:J533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533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533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D2:D533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2026-10-14T21:55:37Z</dcterms:modified>
</cp:coreProperties>
</file>